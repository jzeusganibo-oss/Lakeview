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35" sheetId="1" r:id="rId4"/>
    <sheet state="visible" name="1931" sheetId="2" r:id="rId5"/>
    <sheet state="visible" name="1127" sheetId="3" r:id="rId6"/>
    <sheet state="visible" name="1228" sheetId="4" r:id="rId7"/>
    <sheet state="visible" name="1230" sheetId="5" r:id="rId8"/>
    <sheet state="visible" name="828" sheetId="6" r:id="rId9"/>
    <sheet state="visible" name="105" sheetId="7" r:id="rId10"/>
    <sheet state="visible" name="Summary" sheetId="8" r:id="rId11"/>
    <sheet state="visible" name="parking" sheetId="9" r:id="rId12"/>
    <sheet state="visible" name="Kristin" sheetId="10" r:id="rId13"/>
    <sheet state="visible" name="SALES NOTES" sheetId="11" r:id="rId14"/>
  </sheets>
  <definedNames>
    <definedName hidden="1" localSheetId="0" name="_xlnm._FilterDatabase">'635'!$B$1:$B$3</definedName>
    <definedName hidden="1" localSheetId="1" name="_xlnm._FilterDatabase">'1931'!$B$1:$B$3</definedName>
    <definedName hidden="1" localSheetId="6" name="_xlnm._FilterDatabase">'105'!$B$1:$B$3</definedName>
  </definedNames>
  <calcPr/>
  <extLst>
    <ext uri="GoogleSheetsCustomDataVersion2">
      <go:sheetsCustomData xmlns:go="http://customooxmlschemas.google.com/" r:id="rId15" roundtripDataChecksum="R+re7k0Ua3kpmrqiRArOHnmM33DRDKjhCbEL6CXYM+0="/>
    </ext>
  </extLst>
</workbook>
</file>

<file path=xl/sharedStrings.xml><?xml version="1.0" encoding="utf-8"?>
<sst xmlns="http://schemas.openxmlformats.org/spreadsheetml/2006/main" count="3126" uniqueCount="553">
  <si>
    <t xml:space="preserve"> </t>
  </si>
  <si>
    <t>1931 BOOKING</t>
  </si>
  <si>
    <t>1127 BOOKING</t>
  </si>
  <si>
    <t>1228 BOOKING</t>
  </si>
  <si>
    <t>Full payment</t>
  </si>
  <si>
    <t>Payment</t>
  </si>
  <si>
    <t>1931 RECEIVABLE FROM ATE CZARINA</t>
  </si>
  <si>
    <t>Date</t>
  </si>
  <si>
    <t>Amount</t>
  </si>
  <si>
    <t>Parking</t>
  </si>
  <si>
    <t>Agent's Commissions</t>
  </si>
  <si>
    <t>Remarks</t>
  </si>
  <si>
    <t>Reservation</t>
  </si>
  <si>
    <t>Balance</t>
  </si>
  <si>
    <t>Cleaning Fee</t>
  </si>
  <si>
    <t>Others</t>
  </si>
  <si>
    <t>Receivable Balance</t>
  </si>
  <si>
    <t>Gcash</t>
  </si>
  <si>
    <t>BDO</t>
  </si>
  <si>
    <t>GCASH</t>
  </si>
  <si>
    <t>Ate CZARINA</t>
  </si>
  <si>
    <t>Jan</t>
  </si>
  <si>
    <t>3-4</t>
  </si>
  <si>
    <t>524 RECEIVABLE FROM ATE TESS</t>
  </si>
  <si>
    <t>5-8</t>
  </si>
  <si>
    <t>635 RECEIVABLE FROM ATE CZARINA</t>
  </si>
  <si>
    <t>8-9</t>
  </si>
  <si>
    <t>1228 RECEIVABLE FROM ATE TESS</t>
  </si>
  <si>
    <t>Agent's Commission</t>
  </si>
  <si>
    <t>14-15</t>
  </si>
  <si>
    <t>15-16</t>
  </si>
  <si>
    <t>16-17</t>
  </si>
  <si>
    <t>17-18</t>
  </si>
  <si>
    <t>18-19</t>
  </si>
  <si>
    <t>19-20</t>
  </si>
  <si>
    <t>20-22</t>
  </si>
  <si>
    <t>Ate Tess</t>
  </si>
  <si>
    <t>22-23</t>
  </si>
  <si>
    <t>Feb</t>
  </si>
  <si>
    <t>ATE TESS</t>
  </si>
  <si>
    <t>DEC</t>
  </si>
  <si>
    <t>23-24</t>
  </si>
  <si>
    <t>airbnb</t>
  </si>
  <si>
    <t>parking</t>
  </si>
  <si>
    <t>24-25</t>
  </si>
  <si>
    <t>25-26</t>
  </si>
  <si>
    <t>13-14</t>
  </si>
  <si>
    <t>26-27</t>
  </si>
  <si>
    <t>27-29</t>
  </si>
  <si>
    <t>29-30</t>
  </si>
  <si>
    <t>30-31</t>
  </si>
  <si>
    <t>4-5</t>
  </si>
  <si>
    <t>31-1</t>
  </si>
  <si>
    <t>Airbnb</t>
  </si>
  <si>
    <t>15-17</t>
  </si>
  <si>
    <t>Meralco</t>
  </si>
  <si>
    <t>17-19</t>
  </si>
  <si>
    <t>7-8</t>
  </si>
  <si>
    <t>6-7</t>
  </si>
  <si>
    <t>Association dues</t>
  </si>
  <si>
    <t>Airfryer</t>
  </si>
  <si>
    <t>Decor</t>
  </si>
  <si>
    <t>airbnb; p ate tess</t>
  </si>
  <si>
    <t>Remittance</t>
  </si>
  <si>
    <t>19-21</t>
  </si>
  <si>
    <t>15-18</t>
  </si>
  <si>
    <t>Total</t>
  </si>
  <si>
    <t>10-12</t>
  </si>
  <si>
    <t>21-22</t>
  </si>
  <si>
    <t>20-21</t>
  </si>
  <si>
    <t>22-24</t>
  </si>
  <si>
    <t>24-26</t>
  </si>
  <si>
    <t>27-28</t>
  </si>
  <si>
    <t>28-29</t>
  </si>
  <si>
    <t>28-1</t>
  </si>
  <si>
    <t>30-1</t>
  </si>
  <si>
    <t>grease trap</t>
  </si>
  <si>
    <t>General cleaning</t>
  </si>
  <si>
    <t>21-23</t>
  </si>
  <si>
    <t>Association Dues</t>
  </si>
  <si>
    <t>TOTAL</t>
  </si>
  <si>
    <t>cancelled</t>
  </si>
  <si>
    <t>Laundry</t>
  </si>
  <si>
    <t>heater repair</t>
  </si>
  <si>
    <t>supplies</t>
  </si>
  <si>
    <t>violation</t>
  </si>
  <si>
    <t>26-28</t>
  </si>
  <si>
    <t>5-6</t>
  </si>
  <si>
    <t>28-30</t>
  </si>
  <si>
    <t>31-2</t>
  </si>
  <si>
    <t>25-24</t>
  </si>
  <si>
    <t>Mar</t>
  </si>
  <si>
    <t>water</t>
  </si>
  <si>
    <t>Grease trap</t>
  </si>
  <si>
    <t>CANCELLED</t>
  </si>
  <si>
    <t>500 VIOLATION</t>
  </si>
  <si>
    <t>JAN</t>
  </si>
  <si>
    <t>CACELLED</t>
  </si>
  <si>
    <t>Cancelled</t>
  </si>
  <si>
    <t>25-27</t>
  </si>
  <si>
    <t>cancelled (2-4)</t>
  </si>
  <si>
    <t>14-16</t>
  </si>
  <si>
    <t>16-18</t>
  </si>
  <si>
    <t>Jaykath (Mar 21)</t>
  </si>
  <si>
    <t>23-26</t>
  </si>
  <si>
    <t>FEB</t>
  </si>
  <si>
    <t>forfeited</t>
  </si>
  <si>
    <t>400 extend</t>
  </si>
  <si>
    <t>23-25</t>
  </si>
  <si>
    <t>Aircon cleaning</t>
  </si>
  <si>
    <t>remittance</t>
  </si>
  <si>
    <t>bidet replace</t>
  </si>
  <si>
    <t>Apr</t>
  </si>
  <si>
    <t>bulb</t>
  </si>
  <si>
    <t>Water</t>
  </si>
  <si>
    <t>check</t>
  </si>
  <si>
    <t>che limjuco</t>
  </si>
  <si>
    <t>13-15</t>
  </si>
  <si>
    <t>28-2</t>
  </si>
  <si>
    <t xml:space="preserve">Remittance </t>
  </si>
  <si>
    <t>18-20</t>
  </si>
  <si>
    <t>MAR</t>
  </si>
  <si>
    <t>parking (800)</t>
  </si>
  <si>
    <t>emely moran</t>
  </si>
  <si>
    <t>29-2</t>
  </si>
  <si>
    <t>extend</t>
  </si>
  <si>
    <t>17-22</t>
  </si>
  <si>
    <t>May</t>
  </si>
  <si>
    <t>500 violation</t>
  </si>
  <si>
    <t>parking (motor)</t>
  </si>
  <si>
    <t>30-2</t>
  </si>
  <si>
    <t>exted</t>
  </si>
  <si>
    <t>APR</t>
  </si>
  <si>
    <t>900 parking</t>
  </si>
  <si>
    <t>parking?</t>
  </si>
  <si>
    <t>24--25</t>
  </si>
  <si>
    <t>1,000 violation</t>
  </si>
  <si>
    <t>29-31</t>
  </si>
  <si>
    <t>20-30</t>
  </si>
  <si>
    <t>Jun</t>
  </si>
  <si>
    <t>greasetrap</t>
  </si>
  <si>
    <t>MAY</t>
  </si>
  <si>
    <t>kath and jay</t>
  </si>
  <si>
    <t>27-30</t>
  </si>
  <si>
    <t>19-22</t>
  </si>
  <si>
    <t>(error 500)</t>
  </si>
  <si>
    <t>June</t>
  </si>
  <si>
    <t>tandem 1931</t>
  </si>
  <si>
    <t>JULY</t>
  </si>
  <si>
    <t>16-28</t>
  </si>
  <si>
    <t>Mary andersen</t>
  </si>
  <si>
    <t>Meralco MAR</t>
  </si>
  <si>
    <t>dishwashing</t>
  </si>
  <si>
    <t>Meralco FEB</t>
  </si>
  <si>
    <t>JUN</t>
  </si>
  <si>
    <t>extension (tandem)</t>
  </si>
  <si>
    <t>April</t>
  </si>
  <si>
    <t>online</t>
  </si>
  <si>
    <t>extension</t>
  </si>
  <si>
    <t>750 parking</t>
  </si>
  <si>
    <t>AIRCON</t>
  </si>
  <si>
    <t>tita tey</t>
  </si>
  <si>
    <t>15-21</t>
  </si>
  <si>
    <t>13-17</t>
  </si>
  <si>
    <t>22-25</t>
  </si>
  <si>
    <t>cancelled 16</t>
  </si>
  <si>
    <t>AUG</t>
  </si>
  <si>
    <t>29-1</t>
  </si>
  <si>
    <t>May to aug water</t>
  </si>
  <si>
    <t>wind residences</t>
  </si>
  <si>
    <t>parking april 19</t>
  </si>
  <si>
    <t>17-20</t>
  </si>
  <si>
    <t>JUL</t>
  </si>
  <si>
    <t>Summary</t>
  </si>
  <si>
    <t>Less</t>
  </si>
  <si>
    <t>1931  Meralco</t>
  </si>
  <si>
    <t>105 assoc</t>
  </si>
  <si>
    <t>Supplies</t>
  </si>
  <si>
    <t>ate czarina</t>
  </si>
  <si>
    <t>SEPT</t>
  </si>
  <si>
    <t>13-18</t>
  </si>
  <si>
    <t>20-26</t>
  </si>
  <si>
    <t>walk in</t>
  </si>
  <si>
    <t>aircon cleaning</t>
  </si>
  <si>
    <t>16-20</t>
  </si>
  <si>
    <t>23-27</t>
  </si>
  <si>
    <t>OCT</t>
  </si>
  <si>
    <t>Grease Trap</t>
  </si>
  <si>
    <t>19-25</t>
  </si>
  <si>
    <t>cancelled 27</t>
  </si>
  <si>
    <t>LV</t>
  </si>
  <si>
    <t>Maya/LB</t>
  </si>
  <si>
    <t>Glai</t>
  </si>
  <si>
    <t>800 parking</t>
  </si>
  <si>
    <t>CImB</t>
  </si>
  <si>
    <t>Car</t>
  </si>
  <si>
    <t xml:space="preserve">parking 16-18 </t>
  </si>
  <si>
    <t>Nov</t>
  </si>
  <si>
    <t>17-21</t>
  </si>
  <si>
    <t>26-29</t>
  </si>
  <si>
    <t>18-21</t>
  </si>
  <si>
    <t>25-28</t>
  </si>
  <si>
    <t>Bulb</t>
  </si>
  <si>
    <t>Dec</t>
  </si>
  <si>
    <t>14-18</t>
  </si>
  <si>
    <t>broken (480)</t>
  </si>
  <si>
    <t>21-27</t>
  </si>
  <si>
    <t>violation (500)</t>
  </si>
  <si>
    <t>Assoc dues</t>
  </si>
  <si>
    <t>23-28</t>
  </si>
  <si>
    <t>Drinking Water</t>
  </si>
  <si>
    <t>20-24</t>
  </si>
  <si>
    <t>18-24</t>
  </si>
  <si>
    <t>dish washing</t>
  </si>
  <si>
    <t>NOV</t>
  </si>
  <si>
    <t>early in</t>
  </si>
  <si>
    <t>24-28</t>
  </si>
  <si>
    <t>Violation</t>
  </si>
  <si>
    <t>Assoc Dues</t>
  </si>
  <si>
    <t>15-19</t>
  </si>
  <si>
    <t>28-31</t>
  </si>
  <si>
    <t>Lorenzo gomez</t>
  </si>
  <si>
    <t>Drinking water</t>
  </si>
  <si>
    <t>parking (3)</t>
  </si>
  <si>
    <t>repair -3500</t>
  </si>
  <si>
    <t>Aug 11 parking</t>
  </si>
  <si>
    <t>carla carreon</t>
  </si>
  <si>
    <t>violation -3000</t>
  </si>
  <si>
    <t>parking (21-23)</t>
  </si>
  <si>
    <t>parking (24)</t>
  </si>
  <si>
    <t>lyza marie jazul</t>
  </si>
  <si>
    <t>gripo</t>
  </si>
  <si>
    <t>parking (25)</t>
  </si>
  <si>
    <t>26-30</t>
  </si>
  <si>
    <t>parking (26-28)</t>
  </si>
  <si>
    <t>Parking (30)</t>
  </si>
  <si>
    <t>Electric kettle</t>
  </si>
  <si>
    <t>Service</t>
  </si>
  <si>
    <t>dianne genteroy</t>
  </si>
  <si>
    <t>heater</t>
  </si>
  <si>
    <t>Aircon</t>
  </si>
  <si>
    <t>18-22</t>
  </si>
  <si>
    <t xml:space="preserve">extension </t>
  </si>
  <si>
    <t>MAy</t>
  </si>
  <si>
    <t>karylle suriaga</t>
  </si>
  <si>
    <t>14-17</t>
  </si>
  <si>
    <t>13-16</t>
  </si>
  <si>
    <t>16-19</t>
  </si>
  <si>
    <t>Kuya Andrew</t>
  </si>
  <si>
    <t>19-24</t>
  </si>
  <si>
    <t>shower</t>
  </si>
  <si>
    <t>25-31</t>
  </si>
  <si>
    <t>24-27</t>
  </si>
  <si>
    <t>Jul</t>
  </si>
  <si>
    <t>parking (24-26)</t>
  </si>
  <si>
    <t xml:space="preserve">May 14, balance from tandem units </t>
  </si>
  <si>
    <t>Less meralco may</t>
  </si>
  <si>
    <t>grease trap (jan 8)</t>
  </si>
  <si>
    <t>parking (oct 4-5)</t>
  </si>
  <si>
    <t>Kath</t>
  </si>
  <si>
    <t>Aug</t>
  </si>
  <si>
    <t>steven erfe</t>
  </si>
  <si>
    <t>aysa azur</t>
  </si>
  <si>
    <t>20-25</t>
  </si>
  <si>
    <t>Lica Penera</t>
  </si>
  <si>
    <t>add'l pax/parking</t>
  </si>
  <si>
    <t>Monthly dues</t>
  </si>
  <si>
    <t>water'</t>
  </si>
  <si>
    <t>Shower repair</t>
  </si>
  <si>
    <t>Bulb and outlet</t>
  </si>
  <si>
    <t>cancelled 5-6</t>
  </si>
  <si>
    <t>cancelled 1D</t>
  </si>
  <si>
    <t>feb 6, Kath &amp; Jay</t>
  </si>
  <si>
    <t>paid to ate tess</t>
  </si>
  <si>
    <t>rex kenneth</t>
  </si>
  <si>
    <t>1230 BOOKING</t>
  </si>
  <si>
    <t>1230 RECEIVABLE FROM ATE TESS</t>
  </si>
  <si>
    <t>24-29</t>
  </si>
  <si>
    <t>parkinbg 3 nights</t>
  </si>
  <si>
    <t>grease trap (Mar 16)</t>
  </si>
  <si>
    <t>4-6</t>
  </si>
  <si>
    <t>400 to ate tess</t>
  </si>
  <si>
    <t xml:space="preserve">cancelled </t>
  </si>
  <si>
    <t>parking ate tess</t>
  </si>
  <si>
    <t>9-10</t>
  </si>
  <si>
    <t>10-11</t>
  </si>
  <si>
    <t>11-13</t>
  </si>
  <si>
    <t>Airnb</t>
  </si>
  <si>
    <t>bed skirt</t>
  </si>
  <si>
    <t>iris</t>
  </si>
  <si>
    <t>Grease trap (nov 5)</t>
  </si>
  <si>
    <t>ma'am naicy</t>
  </si>
  <si>
    <t>GIft</t>
  </si>
  <si>
    <t>cancelled 2k</t>
  </si>
  <si>
    <t>resched</t>
  </si>
  <si>
    <t>jerecho dela rosa</t>
  </si>
  <si>
    <t>May 14- 2,000?</t>
  </si>
  <si>
    <t>ate tess</t>
  </si>
  <si>
    <t>Jillian castelltort</t>
  </si>
  <si>
    <t>bal ate czarina</t>
  </si>
  <si>
    <t>22-27</t>
  </si>
  <si>
    <t>AJ mae</t>
  </si>
  <si>
    <t>Marc denver real</t>
  </si>
  <si>
    <t>Kaisser Buen Oviera</t>
  </si>
  <si>
    <t>association dues</t>
  </si>
  <si>
    <t>Jaime Rosario</t>
  </si>
  <si>
    <t>Grease trap (dec 8</t>
  </si>
  <si>
    <t xml:space="preserve">JUN
</t>
  </si>
  <si>
    <t>parkin</t>
  </si>
  <si>
    <t>Jan 15-16</t>
  </si>
  <si>
    <t>parking jan 15</t>
  </si>
  <si>
    <t>Precious Clarito</t>
  </si>
  <si>
    <t>Rubie Ann Ohiman</t>
  </si>
  <si>
    <t>repairs</t>
  </si>
  <si>
    <t>soap</t>
  </si>
  <si>
    <t>25-29</t>
  </si>
  <si>
    <t>aircon</t>
  </si>
  <si>
    <t>gcash to kath</t>
  </si>
  <si>
    <t>Grease trap (jan 8)</t>
  </si>
  <si>
    <t>supplies (jan 21)</t>
  </si>
  <si>
    <t>1--2</t>
  </si>
  <si>
    <t>-</t>
  </si>
  <si>
    <t>breaker repair</t>
  </si>
  <si>
    <t>Jann marvin</t>
  </si>
  <si>
    <t>Grease trap (feb 11)</t>
  </si>
  <si>
    <t>Grease trap (7.31)</t>
  </si>
  <si>
    <t>Asukal and kape</t>
  </si>
  <si>
    <t>parking mar 18</t>
  </si>
  <si>
    <t>parking (2 motor)</t>
  </si>
  <si>
    <t>free</t>
  </si>
  <si>
    <t>Grease trap (mar 24)</t>
  </si>
  <si>
    <t>w/ parking motor</t>
  </si>
  <si>
    <t>general cleaning</t>
  </si>
  <si>
    <t>parking 11-13</t>
  </si>
  <si>
    <t>27-31</t>
  </si>
  <si>
    <t>31-4</t>
  </si>
  <si>
    <t>extend 3pm</t>
  </si>
  <si>
    <t>parking 23-25</t>
  </si>
  <si>
    <t>parking 25-26</t>
  </si>
  <si>
    <t>internet</t>
  </si>
  <si>
    <t>parking 5-8</t>
  </si>
  <si>
    <t>parking 9-10</t>
  </si>
  <si>
    <t>ok</t>
  </si>
  <si>
    <t>c/o ate czarina</t>
  </si>
  <si>
    <t>19-23</t>
  </si>
  <si>
    <t>Assoc</t>
  </si>
  <si>
    <t>b1 15 parking</t>
  </si>
  <si>
    <t>Grease trap 5/4</t>
  </si>
  <si>
    <t>Internet (april - may)</t>
  </si>
  <si>
    <t>828 BOOKING</t>
  </si>
  <si>
    <t>828 RECEIVABLE FROM ATE TESS</t>
  </si>
  <si>
    <t>1127 (13-1)</t>
  </si>
  <si>
    <t>Con</t>
  </si>
  <si>
    <t>parking ate czarina</t>
  </si>
  <si>
    <t>camcelled</t>
  </si>
  <si>
    <t>parking (22-24)</t>
  </si>
  <si>
    <t>105 BOOKING</t>
  </si>
  <si>
    <t>4-9</t>
  </si>
  <si>
    <t>Parking (5-7)</t>
  </si>
  <si>
    <t>105 RECEIVABLE FROM ATE CZARINA</t>
  </si>
  <si>
    <t>Grease trap 6/5</t>
  </si>
  <si>
    <t>switch</t>
  </si>
  <si>
    <t>parking (Jul 6-7)</t>
  </si>
  <si>
    <t>con</t>
  </si>
  <si>
    <t>zchan ardel floro</t>
  </si>
  <si>
    <t>cancelled dec 14</t>
  </si>
  <si>
    <t>w/parking</t>
  </si>
  <si>
    <t>Cleaning</t>
  </si>
  <si>
    <t>Joemar baclayo</t>
  </si>
  <si>
    <t>Rica buenafe</t>
  </si>
  <si>
    <t>francis kurt torres</t>
  </si>
  <si>
    <t>sally fresco</t>
  </si>
  <si>
    <t>rick dela cruz</t>
  </si>
  <si>
    <t>ken esma (dec 27-29 cancelled)</t>
  </si>
  <si>
    <t>Excss</t>
  </si>
  <si>
    <t>16-22</t>
  </si>
  <si>
    <t>Aivy maluto</t>
  </si>
  <si>
    <t>parking (8.4)</t>
  </si>
  <si>
    <t>Ate czarina</t>
  </si>
  <si>
    <t>parking (8.13)</t>
  </si>
  <si>
    <t>parking (8.14)</t>
  </si>
  <si>
    <t>cancelled 15</t>
  </si>
  <si>
    <t>Bidet</t>
  </si>
  <si>
    <t>grease trap (jan 11)</t>
  </si>
  <si>
    <t>parking (8.20)</t>
  </si>
  <si>
    <t>meralco</t>
  </si>
  <si>
    <t>parking (8.21)</t>
  </si>
  <si>
    <t>parking (8.22)</t>
  </si>
  <si>
    <t>Bidet replace</t>
  </si>
  <si>
    <t>parking (8.31)</t>
  </si>
  <si>
    <t>parking (8.29-31)</t>
  </si>
  <si>
    <t>Grease trap (8.6)</t>
  </si>
  <si>
    <t>grease trap (feb 17)</t>
  </si>
  <si>
    <t>repair bidet</t>
  </si>
  <si>
    <t>Aicon cleaning</t>
  </si>
  <si>
    <t>Shoppee drain</t>
  </si>
  <si>
    <t>Cabinet repair</t>
  </si>
  <si>
    <t>15-20</t>
  </si>
  <si>
    <t>OK</t>
  </si>
  <si>
    <t>grease trap (mar 4</t>
  </si>
  <si>
    <t xml:space="preserve">aviles </t>
  </si>
  <si>
    <t>bed repair</t>
  </si>
  <si>
    <t>grease trap (4/11)</t>
  </si>
  <si>
    <t>parking 1230</t>
  </si>
  <si>
    <t>katth and jay</t>
  </si>
  <si>
    <t>Bed repair</t>
  </si>
  <si>
    <t>grease trap (5/4)</t>
  </si>
  <si>
    <t>kath &amp; jay</t>
  </si>
  <si>
    <t>rice cooker</t>
  </si>
  <si>
    <t>grease trap (6/17)</t>
  </si>
  <si>
    <t>grease trap (6/5)</t>
  </si>
  <si>
    <t>Microwave</t>
  </si>
  <si>
    <t>Water heater</t>
  </si>
  <si>
    <t>extend 1 hr</t>
  </si>
  <si>
    <t>extend 3 hrs</t>
  </si>
  <si>
    <t>Jelai garcia (online)</t>
  </si>
  <si>
    <t>Grease trap (7/7)</t>
  </si>
  <si>
    <t>broken plate</t>
  </si>
  <si>
    <t>450 parking</t>
  </si>
  <si>
    <t>Grease trap (8.10)</t>
  </si>
  <si>
    <t>Ate Tess Summary</t>
  </si>
  <si>
    <t>Ate Czarina Summary</t>
  </si>
  <si>
    <t>December- February Balance</t>
  </si>
  <si>
    <t>February</t>
  </si>
  <si>
    <t>Foam</t>
  </si>
  <si>
    <t>January Deposit</t>
  </si>
  <si>
    <t>battery</t>
  </si>
  <si>
    <t>1231 internet</t>
  </si>
  <si>
    <t>assoc dues 828</t>
  </si>
  <si>
    <t>Water Heater</t>
  </si>
  <si>
    <t>March</t>
  </si>
  <si>
    <t>March to May Balance</t>
  </si>
  <si>
    <t>Less:</t>
  </si>
  <si>
    <t>1931 meralco</t>
  </si>
  <si>
    <t>1931 Assoc dues</t>
  </si>
  <si>
    <t>monthly dues</t>
  </si>
  <si>
    <t>635 water</t>
  </si>
  <si>
    <t>105 water</t>
  </si>
  <si>
    <t>105 meralco</t>
  </si>
  <si>
    <t>bidet 105</t>
  </si>
  <si>
    <t>bidet 635</t>
  </si>
  <si>
    <t>Jun to July</t>
  </si>
  <si>
    <t>October 2025 to Mar 2026</t>
  </si>
  <si>
    <t>extend 2pm</t>
  </si>
  <si>
    <t>MOP</t>
  </si>
  <si>
    <t>Summary April to June</t>
  </si>
  <si>
    <t xml:space="preserve">body wash </t>
  </si>
  <si>
    <t>Grand total</t>
  </si>
  <si>
    <t>unit 635</t>
  </si>
  <si>
    <t>Water and GAF</t>
  </si>
  <si>
    <t>July to Aug</t>
  </si>
  <si>
    <t>1931 Association Dues</t>
  </si>
  <si>
    <t>Doormat</t>
  </si>
  <si>
    <t>July</t>
  </si>
  <si>
    <t>105 GAF (07/03)</t>
  </si>
  <si>
    <t>Lare chek in</t>
  </si>
  <si>
    <t>shampoo/soap</t>
  </si>
  <si>
    <t>Parking 105 (July 30)</t>
  </si>
  <si>
    <t>±±</t>
  </si>
  <si>
    <t xml:space="preserve">Sept </t>
  </si>
  <si>
    <t>Water plus GAF</t>
  </si>
  <si>
    <t>1931 bidet head 345</t>
  </si>
  <si>
    <t>931 bidet installation 150</t>
  </si>
  <si>
    <t>1931 Bulb 928</t>
  </si>
  <si>
    <t>1931 Greasetrap 500</t>
  </si>
  <si>
    <t>635 Bulb c/ tech 100</t>
  </si>
  <si>
    <t>635 Greasetrap 500</t>
  </si>
  <si>
    <t>635 late check in 200 sheila?</t>
  </si>
  <si>
    <t>October</t>
  </si>
  <si>
    <t>November</t>
  </si>
  <si>
    <t>16-21</t>
  </si>
  <si>
    <t>Tissue</t>
  </si>
  <si>
    <t>Labor</t>
  </si>
  <si>
    <t>Receiver</t>
  </si>
  <si>
    <t>December</t>
  </si>
  <si>
    <t>Freon</t>
  </si>
  <si>
    <t>PCB board</t>
  </si>
  <si>
    <t>Divide 2</t>
  </si>
  <si>
    <t>Rent</t>
  </si>
  <si>
    <t>zus coffe emil?</t>
  </si>
  <si>
    <t>Wifi (May - Dec)</t>
  </si>
  <si>
    <t>8 mos</t>
  </si>
  <si>
    <t>January</t>
  </si>
  <si>
    <t xml:space="preserve">Wifi </t>
  </si>
  <si>
    <t xml:space="preserve">Installation </t>
  </si>
  <si>
    <t>Repair</t>
  </si>
  <si>
    <t>Kuya dario</t>
  </si>
  <si>
    <t>Heater</t>
  </si>
  <si>
    <t>May&amp;Jun</t>
  </si>
  <si>
    <t>2x</t>
  </si>
  <si>
    <t>1931 Meralco</t>
  </si>
  <si>
    <t>Aircon cleaning 1931</t>
  </si>
  <si>
    <t>Excess</t>
  </si>
  <si>
    <t>Shower</t>
  </si>
  <si>
    <t>22-26</t>
  </si>
  <si>
    <t>9-11</t>
  </si>
  <si>
    <t>D2</t>
  </si>
  <si>
    <t>11-12</t>
  </si>
  <si>
    <t>D1</t>
  </si>
  <si>
    <t>k</t>
  </si>
  <si>
    <t>T</t>
  </si>
  <si>
    <t>P</t>
  </si>
  <si>
    <t>Y</t>
  </si>
  <si>
    <t>d1</t>
  </si>
  <si>
    <t>d2</t>
  </si>
  <si>
    <t>M</t>
  </si>
  <si>
    <t>early check out dec 8</t>
  </si>
  <si>
    <t>rebooked</t>
  </si>
  <si>
    <t xml:space="preserve"> 19-20</t>
  </si>
  <si>
    <t>M, D1</t>
  </si>
  <si>
    <t>C</t>
  </si>
  <si>
    <t>ights Date Unit Amount Paid</t>
  </si>
  <si>
    <t>D3</t>
  </si>
  <si>
    <t>12-13</t>
  </si>
  <si>
    <t xml:space="preserve">Aug </t>
  </si>
  <si>
    <t>31-sept</t>
  </si>
  <si>
    <t>Incentive</t>
  </si>
  <si>
    <t>Grand Total</t>
  </si>
  <si>
    <t>Paid 9.1.24</t>
  </si>
  <si>
    <t>1 Sept 1-2 P 300</t>
  </si>
  <si>
    <t>2 Sept 4-6 D3 600</t>
  </si>
  <si>
    <t>14-19</t>
  </si>
  <si>
    <t>Sept</t>
  </si>
  <si>
    <t>21-26</t>
  </si>
  <si>
    <t>SALE (1,500 for 2 nights) 1,800/ night</t>
  </si>
  <si>
    <t>Agents</t>
  </si>
  <si>
    <t>Summer</t>
  </si>
  <si>
    <t>March to May</t>
  </si>
  <si>
    <t>Rainy Days</t>
  </si>
  <si>
    <t>August</t>
  </si>
  <si>
    <t>Movie night / puzzles</t>
  </si>
  <si>
    <t>SRP</t>
  </si>
  <si>
    <t>Ber Month</t>
  </si>
  <si>
    <t>September</t>
  </si>
  <si>
    <t>Mon - Thurs</t>
  </si>
  <si>
    <t>Fri / Sun</t>
  </si>
  <si>
    <t>Saturday</t>
  </si>
  <si>
    <t>HOLIDAY RATE</t>
  </si>
  <si>
    <t xml:space="preserve">No lower than 2,500 </t>
  </si>
  <si>
    <t>December 15</t>
  </si>
  <si>
    <t>Holy week</t>
  </si>
  <si>
    <t>john azucena</t>
  </si>
  <si>
    <t>ian ronel aguila</t>
  </si>
  <si>
    <t xml:space="preserve">Water </t>
  </si>
  <si>
    <t>Kettle</t>
  </si>
  <si>
    <t>Meralco (jan 2)</t>
  </si>
  <si>
    <t>Adance dues</t>
  </si>
  <si>
    <t>dues</t>
  </si>
  <si>
    <t>dec 5- jan 5</t>
  </si>
  <si>
    <t>over</t>
  </si>
  <si>
    <t>GAF</t>
  </si>
  <si>
    <t>Jan 5- feb 5</t>
  </si>
  <si>
    <t>feb 5- mar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</si>
</sst>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-* #,##0.00_-;\-* #,##0.00_-;_-* &quot;-&quot;??_-;_-@"/>
    <numFmt numFmtId="165" formatCode="_(&quot;$&quot;* #,##0.00_);_(&quot;$&quot;* \(#,##0.00\);_(&quot;$&quot;* &quot;-&quot;??_);_(@_)"/>
    <numFmt numFmtId="166" formatCode="m-d"/>
    <numFmt numFmtId="167" formatCode="mmm d"/>
    <numFmt numFmtId="168" formatCode="&quot;$&quot;#,##0.00"/>
    <numFmt numFmtId="169" formatCode="_(* #,##0.00_);_(* \(#,##0.00\);_(* &quot;-&quot;??_);_(@_)"/>
  </numFmts>
  <fonts count="43">
    <font>
      <sz val="11.0"/>
      <color theme="1"/>
      <name val="Calibri"/>
      <scheme val="minor"/>
    </font>
    <font>
      <color theme="1"/>
      <name val="Arial"/>
    </font>
    <font>
      <b/>
      <sz val="10.0"/>
      <color theme="1"/>
      <name val="Calibri"/>
    </font>
    <font>
      <b/>
      <sz val="11.0"/>
      <color rgb="FFFFFFFF"/>
      <name val="Calibri"/>
    </font>
    <font>
      <i/>
      <sz val="5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1.0"/>
      <color rgb="FFFF0000"/>
      <name val="Calibri"/>
    </font>
    <font>
      <i/>
      <sz val="5.0"/>
      <color rgb="FF000000"/>
      <name val="Calibri"/>
    </font>
    <font>
      <b/>
      <color theme="1"/>
      <name val="Calibri"/>
    </font>
    <font/>
    <font>
      <b/>
      <sz val="10.0"/>
      <color rgb="FF000000"/>
      <name val="Calibri"/>
    </font>
    <font>
      <b/>
      <sz val="12.0"/>
      <color theme="1"/>
      <name val="Calibri"/>
    </font>
    <font>
      <b/>
      <sz val="11.0"/>
      <color rgb="FF000000"/>
      <name val="Calibri"/>
    </font>
    <font>
      <b/>
      <sz val="10.0"/>
      <color theme="1"/>
      <name val="Arial"/>
    </font>
    <font>
      <sz val="11.0"/>
      <color rgb="FF000000"/>
      <name val="Calibri"/>
    </font>
    <font>
      <color theme="1"/>
      <name val="Calibri"/>
    </font>
    <font>
      <color theme="1"/>
      <name val="Calibri"/>
      <scheme val="minor"/>
    </font>
    <font>
      <b/>
      <color rgb="FFFFFFFF"/>
      <name val="Calibri"/>
    </font>
    <font>
      <b/>
      <sz val="11.0"/>
      <color rgb="FFC00000"/>
      <name val="Calibri"/>
    </font>
    <font>
      <color rgb="FF000000"/>
      <name val="Calibri"/>
      <scheme val="minor"/>
    </font>
    <font>
      <color rgb="FFFFFFFF"/>
      <name val="Calibri"/>
    </font>
    <font>
      <color rgb="FF980000"/>
      <name val="Calibri"/>
    </font>
    <font>
      <color rgb="FF000000"/>
      <name val="Calibri"/>
    </font>
    <font>
      <color rgb="FFFF0000"/>
      <name val="Calibri"/>
    </font>
    <font>
      <i/>
      <sz val="11.0"/>
      <color rgb="FFFF0000"/>
      <name val="Calibri"/>
    </font>
    <font>
      <b/>
      <color theme="1"/>
      <name val="Calibri"/>
      <scheme val="minor"/>
    </font>
    <font>
      <b/>
      <sz val="11.0"/>
      <color rgb="FFFF0000"/>
      <name val="Calibri"/>
    </font>
    <font>
      <sz val="11.0"/>
      <color rgb="FF434343"/>
      <name val="Calibri"/>
    </font>
    <font>
      <sz val="10.0"/>
      <color theme="1"/>
      <name val="Arial"/>
    </font>
    <font>
      <b/>
      <sz val="13.0"/>
      <color rgb="FFC00000"/>
      <name val="Calibri"/>
    </font>
    <font>
      <b/>
      <color rgb="FFFF0000"/>
      <name val="Calibri"/>
    </font>
    <font>
      <i/>
      <color rgb="FFFF0000"/>
      <name val="Calibri"/>
    </font>
    <font>
      <sz val="11.0"/>
      <color rgb="FFFFFFFF"/>
      <name val="Calibri"/>
    </font>
    <font>
      <sz val="11.0"/>
      <color rgb="FF0000FF"/>
      <name val="Calibri"/>
    </font>
    <font>
      <b/>
      <i/>
      <sz val="11.0"/>
      <color rgb="FFFF0000"/>
      <name val="Calibri"/>
    </font>
    <font>
      <b/>
      <sz val="13.0"/>
      <color rgb="FF000000"/>
      <name val="Calibri"/>
    </font>
    <font>
      <i/>
      <sz val="11.0"/>
      <color rgb="FF000000"/>
      <name val="Calibri"/>
    </font>
    <font>
      <i/>
      <sz val="8.0"/>
      <color theme="1"/>
      <name val="Calibri"/>
      <scheme val="minor"/>
    </font>
    <font>
      <sz val="12.0"/>
      <color rgb="FF222222"/>
      <name val="Arial"/>
    </font>
    <font>
      <b/>
      <sz val="12.0"/>
      <color rgb="FF222222"/>
      <name val="Arial"/>
    </font>
    <font>
      <color rgb="FFFF0000"/>
      <name val="Calibri"/>
      <scheme val="minor"/>
    </font>
    <font>
      <b/>
      <i/>
      <sz val="11.0"/>
      <color rgb="FF000000"/>
      <name val="Calibri"/>
    </font>
  </fonts>
  <fills count="28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000000"/>
        <bgColor rgb="FF000000"/>
      </patternFill>
    </fill>
    <fill>
      <patternFill patternType="solid">
        <fgColor rgb="FF2E75B5"/>
        <bgColor rgb="FF2E75B5"/>
      </patternFill>
    </fill>
    <fill>
      <patternFill patternType="solid">
        <fgColor rgb="FF548135"/>
        <bgColor rgb="FF548135"/>
      </patternFill>
    </fill>
    <fill>
      <patternFill patternType="solid">
        <fgColor rgb="FF7F7F7F"/>
        <bgColor rgb="FF7F7F7F"/>
      </patternFill>
    </fill>
    <fill>
      <patternFill patternType="solid">
        <fgColor theme="8"/>
        <bgColor theme="8"/>
      </patternFill>
    </fill>
    <fill>
      <patternFill patternType="solid">
        <fgColor rgb="FF9CC2E5"/>
        <bgColor rgb="FF9CC2E5"/>
      </patternFill>
    </fill>
    <fill>
      <patternFill patternType="solid">
        <fgColor rgb="FFADB9CA"/>
        <bgColor rgb="FFADB9CA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E2EFD9"/>
        <bgColor rgb="FFE2EFD9"/>
      </patternFill>
    </fill>
    <fill>
      <patternFill patternType="solid">
        <fgColor rgb="FFB7B7B7"/>
        <bgColor rgb="FFB7B7B7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rgb="FFF4B083"/>
        <bgColor rgb="FFF4B083"/>
      </patternFill>
    </fill>
    <fill>
      <patternFill patternType="solid">
        <fgColor rgb="FFF7CAAC"/>
        <bgColor rgb="FFF7CAAC"/>
      </patternFill>
    </fill>
    <fill>
      <patternFill patternType="solid">
        <fgColor rgb="FFBFBFBF"/>
        <bgColor rgb="FFBFBFBF"/>
      </patternFill>
    </fill>
    <fill>
      <patternFill patternType="solid">
        <fgColor rgb="FFF42A2F"/>
        <bgColor rgb="FFF42A2F"/>
      </patternFill>
    </fill>
    <fill>
      <patternFill patternType="solid">
        <fgColor rgb="FFF02C56"/>
        <bgColor rgb="FFF02C56"/>
      </patternFill>
    </fill>
    <fill>
      <patternFill patternType="solid">
        <fgColor rgb="FFF97F8B"/>
        <bgColor rgb="FFF97F8B"/>
      </patternFill>
    </fill>
    <fill>
      <patternFill patternType="solid">
        <fgColor rgb="FFD8D8D8"/>
        <bgColor rgb="FFD8D8D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66">
    <border/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top style="medium">
        <color rgb="FFFFFFFF"/>
      </top>
      <bottom style="medium">
        <color rgb="FFFFFFFF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right style="medium">
        <color rgb="FF000000"/>
      </right>
      <top style="medium">
        <color rgb="FFFFFFFF"/>
      </top>
      <bottom style="medium">
        <color rgb="FFFFFFFF"/>
      </bottom>
    </border>
    <border>
      <top style="medium">
        <color rgb="FF000000"/>
      </top>
    </border>
    <border>
      <left/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/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FFFFFF"/>
      </right>
    </border>
    <border>
      <bottom style="medium">
        <color rgb="FFFFFFFF"/>
      </bottom>
    </border>
    <border>
      <right style="medium">
        <color rgb="FFFFFFFF"/>
      </right>
      <bottom style="medium">
        <color rgb="FFFFFFFF"/>
      </bottom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medium">
        <color rgb="FF000000"/>
      </bottom>
    </border>
    <border>
      <right style="medium">
        <color rgb="FFFFFFFF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top style="thin">
        <color rgb="FF000000"/>
      </top>
    </border>
    <border>
      <left/>
      <right/>
      <top/>
      <bottom/>
    </border>
    <border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9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1" fillId="2" fontId="2" numFmtId="0" xfId="0" applyAlignment="1" applyBorder="1" applyFill="1" applyFont="1">
      <alignment readingOrder="0"/>
    </xf>
    <xf borderId="2" fillId="3" fontId="3" numFmtId="164" xfId="0" applyAlignment="1" applyBorder="1" applyFill="1" applyFont="1" applyNumberFormat="1">
      <alignment shrinkToFit="0" vertical="bottom" wrapText="0"/>
    </xf>
    <xf borderId="3" fillId="2" fontId="4" numFmtId="0" xfId="0" applyAlignment="1" applyBorder="1" applyFill="1" applyFont="1">
      <alignment horizontal="center" shrinkToFit="0" vertical="center" wrapText="1"/>
    </xf>
    <xf borderId="3" fillId="2" fontId="5" numFmtId="0" xfId="0" applyAlignment="1" applyBorder="1" applyFill="1" applyFont="1">
      <alignment horizontal="center"/>
    </xf>
    <xf borderId="3" fillId="2" fontId="6" numFmtId="164" xfId="0" applyBorder="1" applyFill="1" applyFont="1" applyNumberFormat="1"/>
    <xf borderId="1" fillId="4" fontId="2" numFmtId="0" xfId="0" applyBorder="1" applyFill="1" applyFont="1"/>
    <xf borderId="4" fillId="2" fontId="5" numFmtId="0" xfId="0" applyBorder="1" applyFill="1" applyFont="1"/>
    <xf borderId="1" fillId="5" fontId="2" numFmtId="0" xfId="0" applyBorder="1" applyFill="1" applyFont="1"/>
    <xf borderId="3" fillId="2" fontId="5" numFmtId="164" xfId="0" applyBorder="1" applyFill="1" applyFont="1" applyNumberFormat="1"/>
    <xf borderId="3" fillId="5" fontId="4" numFmtId="0" xfId="0" applyAlignment="1" applyBorder="1" applyFill="1" applyFont="1">
      <alignment horizontal="center" shrinkToFit="0" vertical="center" wrapText="1"/>
    </xf>
    <xf borderId="3" fillId="2" fontId="5" numFmtId="0" xfId="0" applyBorder="1" applyFill="1" applyFont="1"/>
    <xf borderId="3" fillId="5" fontId="5" numFmtId="0" xfId="0" applyAlignment="1" applyBorder="1" applyFill="1" applyFont="1">
      <alignment horizontal="center"/>
    </xf>
    <xf borderId="5" fillId="2" fontId="7" numFmtId="0" xfId="0" applyBorder="1" applyFill="1" applyFont="1"/>
    <xf borderId="2" fillId="3" fontId="1" numFmtId="164" xfId="0" applyAlignment="1" applyBorder="1" applyFill="1" applyFont="1" applyNumberFormat="1">
      <alignment horizontal="center" vertical="bottom"/>
    </xf>
    <xf borderId="3" fillId="4" fontId="8" numFmtId="0" xfId="0" applyAlignment="1" applyBorder="1" applyFill="1" applyFont="1">
      <alignment horizontal="center" shrinkToFit="0" vertical="center" wrapText="1"/>
    </xf>
    <xf borderId="2" fillId="3" fontId="1" numFmtId="4" xfId="0" applyAlignment="1" applyBorder="1" applyFill="1" applyFont="1" applyNumberFormat="1">
      <alignment vertical="bottom"/>
    </xf>
    <xf borderId="3" fillId="4" fontId="5" numFmtId="0" xfId="0" applyAlignment="1" applyBorder="1" applyFill="1" applyFont="1">
      <alignment horizontal="center"/>
    </xf>
    <xf borderId="3" fillId="4" fontId="6" numFmtId="164" xfId="0" applyBorder="1" applyFill="1" applyFont="1" applyNumberFormat="1"/>
    <xf borderId="4" fillId="4" fontId="5" numFmtId="0" xfId="0" applyBorder="1" applyFill="1" applyFont="1"/>
    <xf borderId="3" fillId="4" fontId="5" numFmtId="164" xfId="0" applyBorder="1" applyFill="1" applyFont="1" applyNumberFormat="1"/>
    <xf borderId="6" fillId="3" fontId="1" numFmtId="165" xfId="0" applyAlignment="1" applyBorder="1" applyFill="1" applyFont="1" applyNumberFormat="1">
      <alignment vertical="bottom"/>
    </xf>
    <xf borderId="3" fillId="4" fontId="5" numFmtId="0" xfId="0" applyBorder="1" applyFill="1" applyFont="1"/>
    <xf borderId="7" fillId="6" fontId="9" numFmtId="4" xfId="0" applyAlignment="1" applyBorder="1" applyFill="1" applyFont="1" applyNumberFormat="1">
      <alignment horizontal="center" vertical="bottom"/>
    </xf>
    <xf borderId="7" fillId="6" fontId="1" numFmtId="4" xfId="0" applyAlignment="1" applyBorder="1" applyFill="1" applyFont="1" applyNumberFormat="1">
      <alignment vertical="bottom"/>
    </xf>
    <xf borderId="3" fillId="5" fontId="6" numFmtId="164" xfId="0" applyBorder="1" applyFill="1" applyFont="1" applyNumberFormat="1"/>
    <xf borderId="8" fillId="2" fontId="2" numFmtId="164" xfId="0" applyAlignment="1" applyBorder="1" applyFill="1" applyFont="1" applyNumberFormat="1">
      <alignment horizontal="center" vertical="center"/>
    </xf>
    <xf borderId="5" fillId="4" fontId="7" numFmtId="0" xfId="0" applyBorder="1" applyFill="1" applyFont="1"/>
    <xf borderId="8" fillId="7" fontId="2" numFmtId="164" xfId="0" applyAlignment="1" applyBorder="1" applyFill="1" applyFont="1" applyNumberFormat="1">
      <alignment horizontal="center" vertical="center"/>
    </xf>
    <xf borderId="7" fillId="0" fontId="10" numFmtId="0" xfId="0" applyBorder="1" applyFont="1"/>
    <xf borderId="9" fillId="0" fontId="10" numFmtId="0" xfId="0" applyBorder="1" applyFont="1"/>
    <xf borderId="10" fillId="8" fontId="5" numFmtId="164" xfId="0" applyBorder="1" applyFill="1" applyFont="1" applyNumberFormat="1"/>
    <xf borderId="11" fillId="8" fontId="6" numFmtId="0" xfId="0" applyBorder="1" applyFill="1" applyFont="1"/>
    <xf borderId="11" fillId="8" fontId="5" numFmtId="0" xfId="0" applyBorder="1" applyFill="1" applyFont="1"/>
    <xf borderId="5" fillId="8" fontId="5" numFmtId="0" xfId="0" applyBorder="1" applyFill="1" applyFont="1"/>
    <xf borderId="0" fillId="0" fontId="5" numFmtId="0" xfId="0" applyAlignment="1" applyFont="1">
      <alignment horizontal="center" vertical="center"/>
    </xf>
    <xf borderId="12" fillId="4" fontId="2" numFmtId="0" xfId="0" applyAlignment="1" applyBorder="1" applyFill="1" applyFont="1">
      <alignment horizontal="center" vertical="center"/>
    </xf>
    <xf borderId="13" fillId="4" fontId="11" numFmtId="0" xfId="0" applyAlignment="1" applyBorder="1" applyFill="1" applyFont="1">
      <alignment horizontal="center" vertical="center"/>
    </xf>
    <xf borderId="14" fillId="4" fontId="2" numFmtId="0" xfId="0" applyAlignment="1" applyBorder="1" applyFill="1" applyFont="1">
      <alignment horizontal="center" vertical="center"/>
    </xf>
    <xf borderId="15" fillId="4" fontId="2" numFmtId="164" xfId="0" applyAlignment="1" applyBorder="1" applyFill="1" applyFont="1" applyNumberFormat="1">
      <alignment horizontal="center" vertical="center"/>
    </xf>
    <xf borderId="16" fillId="4" fontId="9" numFmtId="0" xfId="0" applyAlignment="1" applyBorder="1" applyFill="1" applyFont="1">
      <alignment horizontal="center" vertical="center"/>
    </xf>
    <xf borderId="15" fillId="4" fontId="2" numFmtId="164" xfId="0" applyAlignment="1" applyBorder="1" applyFill="1" applyFont="1" applyNumberFormat="1">
      <alignment horizontal="center" shrinkToFit="0" vertical="center" wrapText="1"/>
    </xf>
    <xf borderId="17" fillId="4" fontId="2" numFmtId="164" xfId="0" applyAlignment="1" applyBorder="1" applyFill="1" applyFont="1" applyNumberFormat="1">
      <alignment horizontal="center" vertical="center"/>
    </xf>
    <xf borderId="18" fillId="0" fontId="10" numFmtId="0" xfId="0" applyBorder="1" applyFont="1"/>
    <xf borderId="19" fillId="4" fontId="12" numFmtId="164" xfId="0" applyAlignment="1" applyBorder="1" applyFill="1" applyFont="1" applyNumberFormat="1">
      <alignment horizontal="center" vertical="center"/>
    </xf>
    <xf borderId="20" fillId="0" fontId="10" numFmtId="0" xfId="0" applyBorder="1" applyFont="1"/>
    <xf borderId="21" fillId="0" fontId="10" numFmtId="0" xfId="0" applyBorder="1" applyFont="1"/>
    <xf borderId="22" fillId="0" fontId="10" numFmtId="0" xfId="0" applyBorder="1" applyFont="1"/>
    <xf borderId="23" fillId="8" fontId="13" numFmtId="164" xfId="0" applyAlignment="1" applyBorder="1" applyFill="1" applyFont="1" applyNumberFormat="1">
      <alignment horizontal="center" shrinkToFit="0" vertical="center" wrapText="1"/>
    </xf>
    <xf borderId="15" fillId="8" fontId="13" numFmtId="164" xfId="0" applyAlignment="1" applyBorder="1" applyFill="1" applyFont="1" applyNumberFormat="1">
      <alignment horizontal="center" vertical="center"/>
    </xf>
    <xf borderId="15" fillId="8" fontId="13" numFmtId="164" xfId="0" applyAlignment="1" applyBorder="1" applyFill="1" applyFont="1" applyNumberFormat="1">
      <alignment horizontal="center" shrinkToFit="0" vertical="center" wrapText="1"/>
    </xf>
    <xf borderId="19" fillId="8" fontId="13" numFmtId="164" xfId="0" applyAlignment="1" applyBorder="1" applyFill="1" applyFont="1" applyNumberFormat="1">
      <alignment horizontal="center" vertical="center"/>
    </xf>
    <xf borderId="24" fillId="4" fontId="2" numFmtId="0" xfId="0" applyAlignment="1" applyBorder="1" applyFill="1" applyFont="1">
      <alignment horizontal="center" vertical="center"/>
    </xf>
    <xf borderId="25" fillId="4" fontId="11" numFmtId="0" xfId="0" applyAlignment="1" applyBorder="1" applyFill="1" applyFont="1">
      <alignment horizontal="center" vertical="center"/>
    </xf>
    <xf borderId="26" fillId="4" fontId="2" numFmtId="0" xfId="0" applyAlignment="1" applyBorder="1" applyFill="1" applyFont="1">
      <alignment horizontal="center" vertical="center"/>
    </xf>
    <xf borderId="27" fillId="0" fontId="10" numFmtId="0" xfId="0" applyBorder="1" applyFont="1"/>
    <xf borderId="28" fillId="0" fontId="10" numFmtId="0" xfId="0" applyBorder="1" applyFont="1"/>
    <xf borderId="29" fillId="4" fontId="2" numFmtId="164" xfId="0" applyAlignment="1" applyBorder="1" applyFill="1" applyFont="1" applyNumberFormat="1">
      <alignment horizontal="center" vertical="center"/>
    </xf>
    <xf borderId="30" fillId="0" fontId="10" numFmtId="0" xfId="0" applyBorder="1" applyFont="1"/>
    <xf borderId="26" fillId="7" fontId="14" numFmtId="164" xfId="0" applyAlignment="1" applyBorder="1" applyFill="1" applyFont="1" applyNumberFormat="1">
      <alignment horizontal="center" vertical="center"/>
    </xf>
    <xf borderId="31" fillId="7" fontId="2" numFmtId="164" xfId="0" applyAlignment="1" applyBorder="1" applyFill="1" applyFont="1" applyNumberFormat="1">
      <alignment horizontal="center" vertical="center"/>
    </xf>
    <xf borderId="32" fillId="8" fontId="2" numFmtId="164" xfId="0" applyAlignment="1" applyBorder="1" applyFill="1" applyFont="1" applyNumberFormat="1">
      <alignment horizontal="center" vertical="center"/>
    </xf>
    <xf borderId="33" fillId="0" fontId="10" numFmtId="0" xfId="0" applyBorder="1" applyFont="1"/>
    <xf borderId="29" fillId="0" fontId="9" numFmtId="0" xfId="0" applyBorder="1" applyFont="1"/>
    <xf borderId="29" fillId="0" fontId="15" numFmtId="166" xfId="0" applyAlignment="1" applyBorder="1" applyFont="1" applyNumberFormat="1">
      <alignment horizontal="center"/>
    </xf>
    <xf borderId="29" fillId="0" fontId="5" numFmtId="0" xfId="0" applyAlignment="1" applyBorder="1" applyFont="1">
      <alignment horizontal="center"/>
    </xf>
    <xf borderId="29" fillId="0" fontId="5" numFmtId="164" xfId="0" applyBorder="1" applyFont="1" applyNumberFormat="1"/>
    <xf borderId="29" fillId="0" fontId="16" numFmtId="0" xfId="0" applyBorder="1" applyFont="1"/>
    <xf borderId="29" fillId="0" fontId="7" numFmtId="164" xfId="0" applyBorder="1" applyFont="1" applyNumberFormat="1"/>
    <xf borderId="18" fillId="9" fontId="5" numFmtId="164" xfId="0" applyBorder="1" applyFill="1" applyFont="1" applyNumberFormat="1"/>
    <xf borderId="29" fillId="9" fontId="5" numFmtId="164" xfId="0" applyBorder="1" applyFill="1" applyFont="1" applyNumberFormat="1"/>
    <xf quotePrefix="1" borderId="29" fillId="0" fontId="15" numFmtId="0" xfId="0" applyAlignment="1" applyBorder="1" applyFont="1">
      <alignment horizontal="center"/>
    </xf>
    <xf borderId="9" fillId="6" fontId="1" numFmtId="4" xfId="0" applyAlignment="1" applyBorder="1" applyFill="1" applyFont="1" applyNumberFormat="1">
      <alignment vertical="bottom"/>
    </xf>
    <xf borderId="4" fillId="5" fontId="5" numFmtId="0" xfId="0" applyBorder="1" applyFill="1" applyFont="1"/>
    <xf borderId="3" fillId="5" fontId="5" numFmtId="4" xfId="0" applyBorder="1" applyFill="1" applyFont="1" applyNumberFormat="1"/>
    <xf borderId="34" fillId="10" fontId="6" numFmtId="4" xfId="0" applyAlignment="1" applyBorder="1" applyFill="1" applyFont="1" applyNumberFormat="1">
      <alignment horizontal="center" shrinkToFit="0" vertical="bottom" wrapText="0"/>
    </xf>
    <xf borderId="3" fillId="5" fontId="5" numFmtId="164" xfId="0" applyBorder="1" applyFill="1" applyFont="1" applyNumberFormat="1"/>
    <xf borderId="34" fillId="0" fontId="10" numFmtId="0" xfId="0" applyBorder="1" applyFont="1"/>
    <xf borderId="10" fillId="2" fontId="5" numFmtId="164" xfId="0" applyBorder="1" applyFill="1" applyFont="1" applyNumberFormat="1"/>
    <xf borderId="5" fillId="5" fontId="7" numFmtId="0" xfId="0" applyBorder="1" applyFill="1" applyFont="1"/>
    <xf borderId="29" fillId="11" fontId="16" numFmtId="0" xfId="0" applyBorder="1" applyFill="1" applyFont="1"/>
    <xf quotePrefix="1" borderId="29" fillId="11" fontId="15" numFmtId="0" xfId="0" applyAlignment="1" applyBorder="1" applyFill="1" applyFont="1">
      <alignment horizontal="center"/>
    </xf>
    <xf borderId="8" fillId="12" fontId="2" numFmtId="164" xfId="0" applyAlignment="1" applyBorder="1" applyFill="1" applyFont="1" applyNumberFormat="1">
      <alignment horizontal="center" vertical="center"/>
    </xf>
    <xf borderId="11" fillId="2" fontId="6" numFmtId="0" xfId="0" applyAlignment="1" applyBorder="1" applyFill="1" applyFont="1">
      <alignment readingOrder="0"/>
    </xf>
    <xf borderId="35" fillId="0" fontId="10" numFmtId="0" xfId="0" applyBorder="1" applyFont="1"/>
    <xf borderId="0" fillId="0" fontId="1" numFmtId="0" xfId="0" applyAlignment="1" applyFont="1">
      <alignment vertical="bottom"/>
    </xf>
    <xf borderId="29" fillId="11" fontId="5" numFmtId="0" xfId="0" applyAlignment="1" applyBorder="1" applyFill="1" applyFont="1">
      <alignment horizontal="center"/>
    </xf>
    <xf borderId="29" fillId="11" fontId="5" numFmtId="164" xfId="0" applyBorder="1" applyFill="1" applyFont="1" applyNumberFormat="1"/>
    <xf borderId="11" fillId="2" fontId="5" numFmtId="0" xfId="0" applyBorder="1" applyFill="1" applyFont="1"/>
    <xf borderId="29" fillId="11" fontId="7" numFmtId="164" xfId="0" applyBorder="1" applyFill="1" applyFont="1" applyNumberFormat="1"/>
    <xf borderId="18" fillId="11" fontId="5" numFmtId="164" xfId="0" applyBorder="1" applyFill="1" applyFont="1" applyNumberFormat="1"/>
    <xf borderId="5" fillId="2" fontId="5" numFmtId="0" xfId="0" applyBorder="1" applyFill="1" applyFont="1"/>
    <xf borderId="0" fillId="0" fontId="17" numFmtId="0" xfId="0" applyFont="1"/>
    <xf borderId="0" fillId="3" fontId="18" numFmtId="0" xfId="0" applyAlignment="1" applyFill="1" applyFont="1">
      <alignment horizontal="center" vertical="bottom"/>
    </xf>
    <xf borderId="36" fillId="0" fontId="10" numFmtId="0" xfId="0" applyBorder="1" applyFont="1"/>
    <xf borderId="10" fillId="13" fontId="5" numFmtId="164" xfId="0" applyBorder="1" applyFill="1" applyFont="1" applyNumberFormat="1"/>
    <xf borderId="12" fillId="2" fontId="2" numFmtId="0" xfId="0" applyAlignment="1" applyBorder="1" applyFill="1" applyFont="1">
      <alignment horizontal="center" vertical="center"/>
    </xf>
    <xf borderId="11" fillId="13" fontId="6" numFmtId="0" xfId="0" applyBorder="1" applyFill="1" applyFont="1"/>
    <xf borderId="36" fillId="3" fontId="18" numFmtId="4" xfId="0" applyAlignment="1" applyBorder="1" applyFill="1" applyFont="1" applyNumberFormat="1">
      <alignment horizontal="center" vertical="bottom"/>
    </xf>
    <xf borderId="13" fillId="2" fontId="2" numFmtId="0" xfId="0" applyAlignment="1" applyBorder="1" applyFill="1" applyFont="1">
      <alignment horizontal="center" vertical="center"/>
    </xf>
    <xf borderId="11" fillId="13" fontId="5" numFmtId="0" xfId="0" applyBorder="1" applyFill="1" applyFont="1"/>
    <xf borderId="14" fillId="2" fontId="2" numFmtId="0" xfId="0" applyAlignment="1" applyBorder="1" applyFill="1" applyFont="1">
      <alignment horizontal="center" vertical="center"/>
    </xf>
    <xf borderId="36" fillId="0" fontId="16" numFmtId="4" xfId="0" applyAlignment="1" applyBorder="1" applyFont="1" applyNumberFormat="1">
      <alignment horizontal="center" vertical="center"/>
    </xf>
    <xf borderId="29" fillId="11" fontId="15" numFmtId="166" xfId="0" applyAlignment="1" applyBorder="1" applyFill="1" applyFont="1" applyNumberFormat="1">
      <alignment horizontal="center"/>
    </xf>
    <xf borderId="15" fillId="2" fontId="2" numFmtId="164" xfId="0" applyAlignment="1" applyBorder="1" applyFill="1" applyFont="1" applyNumberFormat="1">
      <alignment horizontal="center" vertical="center"/>
    </xf>
    <xf borderId="36" fillId="3" fontId="18" numFmtId="4" xfId="0" applyAlignment="1" applyBorder="1" applyFill="1" applyFont="1" applyNumberFormat="1">
      <alignment horizontal="center" shrinkToFit="0" vertical="bottom" wrapText="1"/>
    </xf>
    <xf borderId="16" fillId="2" fontId="9" numFmtId="0" xfId="0" applyAlignment="1" applyBorder="1" applyFill="1" applyFont="1">
      <alignment horizontal="center" vertical="center"/>
    </xf>
    <xf borderId="37" fillId="3" fontId="18" numFmtId="4" xfId="0" applyAlignment="1" applyBorder="1" applyFill="1" applyFont="1" applyNumberFormat="1">
      <alignment horizontal="center" vertical="bottom"/>
    </xf>
    <xf borderId="15" fillId="2" fontId="2" numFmtId="164" xfId="0" applyAlignment="1" applyBorder="1" applyFill="1" applyFont="1" applyNumberFormat="1">
      <alignment horizontal="center" shrinkToFit="0" vertical="center" wrapText="1"/>
    </xf>
    <xf borderId="29" fillId="0" fontId="15" numFmtId="0" xfId="0" applyAlignment="1" applyBorder="1" applyFont="1">
      <alignment horizontal="center"/>
    </xf>
    <xf borderId="17" fillId="2" fontId="2" numFmtId="164" xfId="0" applyAlignment="1" applyBorder="1" applyFill="1" applyFont="1" applyNumberFormat="1">
      <alignment horizontal="center" vertical="center"/>
    </xf>
    <xf borderId="19" fillId="2" fontId="12" numFmtId="164" xfId="0" applyAlignment="1" applyBorder="1" applyFill="1" applyFont="1" applyNumberFormat="1">
      <alignment horizontal="center" vertical="center"/>
    </xf>
    <xf borderId="23" fillId="2" fontId="13" numFmtId="164" xfId="0" applyAlignment="1" applyBorder="1" applyFill="1" applyFont="1" applyNumberFormat="1">
      <alignment horizontal="center" shrinkToFit="0" vertical="center" wrapText="1"/>
    </xf>
    <xf borderId="5" fillId="13" fontId="5" numFmtId="0" xfId="0" applyBorder="1" applyFill="1" applyFont="1"/>
    <xf borderId="38" fillId="0" fontId="10" numFmtId="0" xfId="0" applyBorder="1" applyFont="1"/>
    <xf borderId="15" fillId="2" fontId="13" numFmtId="164" xfId="0" applyAlignment="1" applyBorder="1" applyFill="1" applyFont="1" applyNumberFormat="1">
      <alignment horizontal="center" vertical="center"/>
    </xf>
    <xf borderId="0" fillId="0" fontId="16" numFmtId="4" xfId="0" applyAlignment="1" applyFont="1" applyNumberFormat="1">
      <alignment horizontal="left"/>
    </xf>
    <xf borderId="39" fillId="3" fontId="18" numFmtId="165" xfId="0" applyAlignment="1" applyBorder="1" applyFill="1" applyFont="1" applyNumberFormat="1">
      <alignment horizontal="center" vertical="bottom"/>
    </xf>
    <xf borderId="0" fillId="0" fontId="16" numFmtId="4" xfId="0" applyFont="1" applyNumberFormat="1"/>
    <xf borderId="15" fillId="2" fontId="13" numFmtId="164" xfId="0" applyAlignment="1" applyBorder="1" applyFill="1" applyFont="1" applyNumberFormat="1">
      <alignment horizontal="center" shrinkToFit="0" vertical="center" wrapText="1"/>
    </xf>
    <xf borderId="21" fillId="6" fontId="1" numFmtId="4" xfId="0" applyAlignment="1" applyBorder="1" applyFill="1" applyFont="1" applyNumberFormat="1">
      <alignment vertical="bottom"/>
    </xf>
    <xf borderId="0" fillId="0" fontId="17" numFmtId="4" xfId="0" applyFont="1" applyNumberFormat="1"/>
    <xf borderId="22" fillId="6" fontId="1" numFmtId="4" xfId="0" applyAlignment="1" applyBorder="1" applyFill="1" applyFont="1" applyNumberFormat="1">
      <alignment vertical="bottom"/>
    </xf>
    <xf borderId="29" fillId="11" fontId="15" numFmtId="0" xfId="0" applyAlignment="1" applyBorder="1" applyFill="1" applyFont="1">
      <alignment horizontal="center"/>
    </xf>
    <xf borderId="16" fillId="10" fontId="6" numFmtId="4" xfId="0" applyAlignment="1" applyBorder="1" applyFill="1" applyFont="1" applyNumberFormat="1">
      <alignment horizontal="center" shrinkToFit="0" vertical="bottom" wrapText="1"/>
    </xf>
    <xf borderId="40" fillId="5" fontId="2" numFmtId="0" xfId="0" applyAlignment="1" applyBorder="1" applyFill="1" applyFont="1">
      <alignment horizontal="center" vertical="center"/>
    </xf>
    <xf borderId="41" fillId="0" fontId="10" numFmtId="0" xfId="0" applyBorder="1" applyFont="1"/>
    <xf borderId="16" fillId="10" fontId="6" numFmtId="4" xfId="0" applyAlignment="1" applyBorder="1" applyFill="1" applyFont="1" applyNumberFormat="1">
      <alignment horizontal="center" vertical="bottom"/>
    </xf>
    <xf borderId="42" fillId="0" fontId="10" numFmtId="0" xfId="0" applyBorder="1" applyFont="1"/>
    <xf borderId="19" fillId="2" fontId="13" numFmtId="164" xfId="0" applyAlignment="1" applyBorder="1" applyFill="1" applyFont="1" applyNumberFormat="1">
      <alignment horizontal="center" vertical="center"/>
    </xf>
    <xf borderId="16" fillId="10" fontId="6" numFmtId="164" xfId="0" applyAlignment="1" applyBorder="1" applyFill="1" applyFont="1" applyNumberFormat="1">
      <alignment horizontal="center" shrinkToFit="0" vertical="bottom" wrapText="1"/>
    </xf>
    <xf borderId="15" fillId="5" fontId="2" numFmtId="164" xfId="0" applyAlignment="1" applyBorder="1" applyFill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15" fillId="5" fontId="2" numFmtId="164" xfId="0" applyAlignment="1" applyBorder="1" applyFill="1" applyFont="1" applyNumberFormat="1">
      <alignment horizontal="center" readingOrder="0" shrinkToFit="0" vertical="center" wrapText="1"/>
    </xf>
    <xf borderId="39" fillId="10" fontId="6" numFmtId="164" xfId="0" applyAlignment="1" applyBorder="1" applyFill="1" applyFont="1" applyNumberFormat="1">
      <alignment horizontal="center" vertical="bottom"/>
    </xf>
    <xf borderId="15" fillId="5" fontId="2" numFmtId="164" xfId="0" applyAlignment="1" applyBorder="1" applyFill="1" applyFont="1" applyNumberFormat="1">
      <alignment horizontal="center" shrinkToFit="0" vertical="center" wrapText="1"/>
    </xf>
    <xf borderId="17" fillId="5" fontId="2" numFmtId="4" xfId="0" applyAlignment="1" applyBorder="1" applyFill="1" applyFont="1" applyNumberFormat="1">
      <alignment horizontal="center" vertical="center"/>
    </xf>
    <xf borderId="24" fillId="2" fontId="2" numFmtId="0" xfId="0" applyAlignment="1" applyBorder="1" applyFill="1" applyFont="1">
      <alignment horizontal="center" vertical="center"/>
    </xf>
    <xf borderId="19" fillId="5" fontId="12" numFmtId="164" xfId="0" applyAlignment="1" applyBorder="1" applyFill="1" applyFont="1" applyNumberFormat="1">
      <alignment horizontal="center" vertical="center"/>
    </xf>
    <xf borderId="25" fillId="2" fontId="2" numFmtId="0" xfId="0" applyAlignment="1" applyBorder="1" applyFill="1" applyFont="1">
      <alignment horizontal="center" vertical="center"/>
    </xf>
    <xf borderId="26" fillId="2" fontId="2" numFmtId="0" xfId="0" applyAlignment="1" applyBorder="1" applyFill="1" applyFont="1">
      <alignment horizontal="center" vertical="center"/>
    </xf>
    <xf borderId="23" fillId="13" fontId="13" numFmtId="164" xfId="0" applyAlignment="1" applyBorder="1" applyFill="1" applyFont="1" applyNumberFormat="1">
      <alignment horizontal="center" shrinkToFit="0" vertical="center" wrapText="1"/>
    </xf>
    <xf borderId="43" fillId="0" fontId="10" numFmtId="0" xfId="0" applyBorder="1" applyFont="1"/>
    <xf borderId="15" fillId="13" fontId="13" numFmtId="164" xfId="0" applyAlignment="1" applyBorder="1" applyFill="1" applyFont="1" applyNumberFormat="1">
      <alignment horizontal="center" vertical="center"/>
    </xf>
    <xf borderId="44" fillId="0" fontId="10" numFmtId="0" xfId="0" applyBorder="1" applyFont="1"/>
    <xf borderId="29" fillId="2" fontId="2" numFmtId="164" xfId="0" applyAlignment="1" applyBorder="1" applyFill="1" applyFont="1" applyNumberFormat="1">
      <alignment horizontal="center" vertical="center"/>
    </xf>
    <xf borderId="15" fillId="13" fontId="13" numFmtId="164" xfId="0" applyAlignment="1" applyBorder="1" applyFill="1" applyFont="1" applyNumberFormat="1">
      <alignment horizontal="center" shrinkToFit="0" vertical="center" wrapText="1"/>
    </xf>
    <xf borderId="19" fillId="13" fontId="13" numFmtId="164" xfId="0" applyAlignment="1" applyBorder="1" applyFill="1" applyFont="1" applyNumberFormat="1">
      <alignment horizontal="center" vertical="center"/>
    </xf>
    <xf borderId="36" fillId="3" fontId="18" numFmtId="4" xfId="0" applyAlignment="1" applyBorder="1" applyFill="1" applyFont="1" applyNumberFormat="1">
      <alignment vertical="bottom"/>
    </xf>
    <xf borderId="26" fillId="2" fontId="14" numFmtId="164" xfId="0" applyAlignment="1" applyBorder="1" applyFill="1" applyFont="1" applyNumberFormat="1">
      <alignment horizontal="center" vertical="center"/>
    </xf>
    <xf borderId="0" fillId="0" fontId="5" numFmtId="4" xfId="0" applyAlignment="1" applyFont="1" applyNumberFormat="1">
      <alignment horizontal="left" vertical="center"/>
    </xf>
    <xf borderId="16" fillId="6" fontId="1" numFmtId="4" xfId="0" applyAlignment="1" applyBorder="1" applyFill="1" applyFont="1" applyNumberFormat="1">
      <alignment horizontal="center" vertical="bottom"/>
    </xf>
    <xf borderId="0" fillId="0" fontId="5" numFmtId="4" xfId="0" applyAlignment="1" applyFont="1" applyNumberFormat="1">
      <alignment horizontal="center" vertical="center"/>
    </xf>
    <xf borderId="16" fillId="6" fontId="9" numFmtId="4" xfId="0" applyAlignment="1" applyBorder="1" applyFill="1" applyFont="1" applyNumberFormat="1">
      <alignment horizontal="center" vertical="bottom"/>
    </xf>
    <xf borderId="31" fillId="2" fontId="2" numFmtId="164" xfId="0" applyAlignment="1" applyBorder="1" applyFill="1" applyFont="1" applyNumberFormat="1">
      <alignment horizontal="center" vertical="center"/>
    </xf>
    <xf borderId="39" fillId="10" fontId="9" numFmtId="4" xfId="0" applyAlignment="1" applyBorder="1" applyFill="1" applyFont="1" applyNumberFormat="1">
      <alignment horizontal="center" vertical="bottom"/>
    </xf>
    <xf borderId="32" fillId="2" fontId="2" numFmtId="164" xfId="0" applyAlignment="1" applyBorder="1" applyFill="1" applyFont="1" applyNumberFormat="1">
      <alignment horizontal="center" vertical="center"/>
    </xf>
    <xf borderId="45" fillId="0" fontId="10" numFmtId="0" xfId="0" applyBorder="1" applyFont="1"/>
    <xf borderId="46" fillId="0" fontId="10" numFmtId="0" xfId="0" applyBorder="1" applyFont="1"/>
    <xf borderId="29" fillId="5" fontId="2" numFmtId="4" xfId="0" applyAlignment="1" applyBorder="1" applyFill="1" applyFont="1" applyNumberFormat="1">
      <alignment horizontal="center" vertical="center"/>
    </xf>
    <xf borderId="29" fillId="5" fontId="2" numFmtId="164" xfId="0" applyAlignment="1" applyBorder="1" applyFill="1" applyFont="1" applyNumberFormat="1">
      <alignment horizontal="center" vertical="center"/>
    </xf>
    <xf borderId="26" fillId="12" fontId="14" numFmtId="164" xfId="0" applyAlignment="1" applyBorder="1" applyFill="1" applyFont="1" applyNumberFormat="1">
      <alignment horizontal="center" vertical="center"/>
    </xf>
    <xf borderId="29" fillId="0" fontId="9" numFmtId="0" xfId="0" applyAlignment="1" applyBorder="1" applyFont="1">
      <alignment readingOrder="0"/>
    </xf>
    <xf borderId="31" fillId="12" fontId="2" numFmtId="164" xfId="0" applyAlignment="1" applyBorder="1" applyFill="1" applyFont="1" applyNumberFormat="1">
      <alignment horizontal="center" vertical="center"/>
    </xf>
    <xf borderId="29" fillId="0" fontId="5" numFmtId="166" xfId="0" applyAlignment="1" applyBorder="1" applyFont="1" applyNumberFormat="1">
      <alignment horizontal="center" readingOrder="0"/>
    </xf>
    <xf borderId="32" fillId="13" fontId="2" numFmtId="164" xfId="0" applyAlignment="1" applyBorder="1" applyFill="1" applyFont="1" applyNumberFormat="1">
      <alignment horizontal="center" vertical="center"/>
    </xf>
    <xf borderId="29" fillId="0" fontId="5" numFmtId="0" xfId="0" applyAlignment="1" applyBorder="1" applyFont="1">
      <alignment horizontal="center" readingOrder="0"/>
    </xf>
    <xf borderId="29" fillId="11" fontId="16" numFmtId="166" xfId="0" applyAlignment="1" applyBorder="1" applyFill="1" applyFont="1" applyNumberFormat="1">
      <alignment horizontal="center"/>
    </xf>
    <xf borderId="29" fillId="11" fontId="16" numFmtId="0" xfId="0" applyAlignment="1" applyBorder="1" applyFill="1" applyFont="1">
      <alignment horizontal="center"/>
    </xf>
    <xf borderId="29" fillId="11" fontId="16" numFmtId="4" xfId="0" applyBorder="1" applyFill="1" applyFont="1" applyNumberFormat="1"/>
    <xf borderId="15" fillId="0" fontId="6" numFmtId="0" xfId="0" applyBorder="1" applyFont="1"/>
    <xf borderId="15" fillId="0" fontId="5" numFmtId="166" xfId="0" applyAlignment="1" applyBorder="1" applyFont="1" applyNumberFormat="1">
      <alignment horizontal="center"/>
    </xf>
    <xf borderId="15" fillId="0" fontId="5" numFmtId="0" xfId="0" applyAlignment="1" applyBorder="1" applyFont="1">
      <alignment horizontal="center"/>
    </xf>
    <xf borderId="0" fillId="0" fontId="17" numFmtId="0" xfId="0" applyAlignment="1" applyFont="1">
      <alignment readingOrder="0"/>
    </xf>
    <xf borderId="29" fillId="0" fontId="5" numFmtId="164" xfId="0" applyAlignment="1" applyBorder="1" applyFont="1" applyNumberFormat="1">
      <alignment readingOrder="0"/>
    </xf>
    <xf borderId="15" fillId="0" fontId="5" numFmtId="164" xfId="0" applyBorder="1" applyFont="1" applyNumberFormat="1"/>
    <xf borderId="29" fillId="0" fontId="5" numFmtId="164" xfId="0" applyBorder="1" applyFont="1" applyNumberFormat="1"/>
    <xf borderId="15" fillId="0" fontId="5" numFmtId="0" xfId="0" applyBorder="1" applyFont="1"/>
    <xf borderId="29" fillId="0" fontId="16" numFmtId="0" xfId="0" applyBorder="1" applyFont="1"/>
    <xf borderId="29" fillId="11" fontId="16" numFmtId="4" xfId="0" applyAlignment="1" applyBorder="1" applyFill="1" applyFont="1" applyNumberFormat="1">
      <alignment shrinkToFit="0" wrapText="0"/>
    </xf>
    <xf borderId="15" fillId="0" fontId="5" numFmtId="4" xfId="0" applyBorder="1" applyFont="1" applyNumberFormat="1"/>
    <xf borderId="29" fillId="11" fontId="16" numFmtId="4" xfId="0" applyAlignment="1" applyBorder="1" applyFill="1" applyFont="1" applyNumberFormat="1">
      <alignment readingOrder="0"/>
    </xf>
    <xf borderId="29" fillId="11" fontId="16" numFmtId="0" xfId="0" applyAlignment="1" applyBorder="1" applyFill="1" applyFont="1">
      <alignment readingOrder="0"/>
    </xf>
    <xf borderId="29" fillId="0" fontId="7" numFmtId="164" xfId="0" applyBorder="1" applyFont="1" applyNumberFormat="1"/>
    <xf borderId="29" fillId="0" fontId="16" numFmtId="166" xfId="0" applyAlignment="1" applyBorder="1" applyFont="1" applyNumberFormat="1">
      <alignment horizontal="center"/>
    </xf>
    <xf borderId="47" fillId="0" fontId="7" numFmtId="164" xfId="0" applyBorder="1" applyFont="1" applyNumberFormat="1"/>
    <xf borderId="18" fillId="2" fontId="5" numFmtId="164" xfId="0" applyAlignment="1" applyBorder="1" applyFill="1" applyFont="1" applyNumberFormat="1">
      <alignment readingOrder="0"/>
    </xf>
    <xf borderId="29" fillId="0" fontId="16" numFmtId="0" xfId="0" applyAlignment="1" applyBorder="1" applyFont="1">
      <alignment horizontal="center"/>
    </xf>
    <xf borderId="29" fillId="2" fontId="5" numFmtId="164" xfId="0" applyBorder="1" applyFill="1" applyFont="1" applyNumberFormat="1"/>
    <xf borderId="48" fillId="9" fontId="5" numFmtId="164" xfId="0" applyBorder="1" applyFill="1" applyFont="1" applyNumberFormat="1"/>
    <xf borderId="29" fillId="0" fontId="16" numFmtId="4" xfId="0" applyBorder="1" applyFont="1" applyNumberFormat="1"/>
    <xf borderId="15" fillId="11" fontId="5" numFmtId="166" xfId="0" applyAlignment="1" applyBorder="1" applyFill="1" applyFont="1" applyNumberFormat="1">
      <alignment horizontal="center"/>
    </xf>
    <xf borderId="15" fillId="11" fontId="5" numFmtId="0" xfId="0" applyAlignment="1" applyBorder="1" applyFill="1" applyFont="1">
      <alignment horizontal="center"/>
    </xf>
    <xf borderId="15" fillId="11" fontId="5" numFmtId="164" xfId="0" applyBorder="1" applyFill="1" applyFont="1" applyNumberFormat="1"/>
    <xf borderId="29" fillId="14" fontId="16" numFmtId="4" xfId="0" applyBorder="1" applyFill="1" applyFont="1" applyNumberFormat="1"/>
    <xf borderId="15" fillId="11" fontId="5" numFmtId="0" xfId="0" applyBorder="1" applyFill="1" applyFont="1"/>
    <xf borderId="29" fillId="14" fontId="16" numFmtId="4" xfId="0" applyAlignment="1" applyBorder="1" applyFill="1" applyFont="1" applyNumberFormat="1">
      <alignment shrinkToFit="0" wrapText="0"/>
    </xf>
    <xf borderId="15" fillId="11" fontId="5" numFmtId="4" xfId="0" applyBorder="1" applyFill="1" applyFont="1" applyNumberFormat="1"/>
    <xf borderId="47" fillId="11" fontId="7" numFmtId="164" xfId="0" applyBorder="1" applyFill="1" applyFont="1" applyNumberFormat="1"/>
    <xf borderId="48" fillId="11" fontId="5" numFmtId="164" xfId="0" applyBorder="1" applyFill="1" applyFont="1" applyNumberFormat="1"/>
    <xf borderId="29" fillId="14" fontId="5" numFmtId="164" xfId="0" applyBorder="1" applyFill="1" applyFont="1" applyNumberFormat="1"/>
    <xf borderId="29" fillId="14" fontId="16" numFmtId="0" xfId="0" applyBorder="1" applyFill="1" applyFont="1"/>
    <xf quotePrefix="1" borderId="29" fillId="0" fontId="16" numFmtId="0" xfId="0" applyAlignment="1" applyBorder="1" applyFont="1">
      <alignment horizontal="center"/>
    </xf>
    <xf borderId="29" fillId="14" fontId="16" numFmtId="4" xfId="0" applyAlignment="1" applyBorder="1" applyFill="1" applyFont="1" applyNumberFormat="1">
      <alignment readingOrder="0"/>
    </xf>
    <xf borderId="29" fillId="14" fontId="16" numFmtId="0" xfId="0" applyAlignment="1" applyBorder="1" applyFill="1" applyFont="1">
      <alignment readingOrder="0"/>
    </xf>
    <xf borderId="0" fillId="0" fontId="17" numFmtId="0" xfId="0" applyFont="1"/>
    <xf borderId="29" fillId="2" fontId="5" numFmtId="164" xfId="0" applyAlignment="1" applyBorder="1" applyFill="1" applyFont="1" applyNumberFormat="1">
      <alignment readingOrder="0"/>
    </xf>
    <xf quotePrefix="1" borderId="15" fillId="0" fontId="5" numFmtId="0" xfId="0" applyAlignment="1" applyBorder="1" applyFont="1">
      <alignment horizontal="center"/>
    </xf>
    <xf quotePrefix="1" borderId="29" fillId="11" fontId="16" numFmtId="0" xfId="0" applyAlignment="1" applyBorder="1" applyFill="1" applyFont="1">
      <alignment horizontal="center"/>
    </xf>
    <xf borderId="15" fillId="0" fontId="16" numFmtId="0" xfId="0" applyBorder="1" applyFont="1"/>
    <xf borderId="15" fillId="0" fontId="15" numFmtId="0" xfId="0" applyAlignment="1" applyBorder="1" applyFont="1">
      <alignment horizontal="center"/>
    </xf>
    <xf borderId="15" fillId="0" fontId="7" numFmtId="164" xfId="0" applyBorder="1" applyFont="1" applyNumberFormat="1"/>
    <xf borderId="42" fillId="9" fontId="5" numFmtId="164" xfId="0" applyBorder="1" applyFill="1" applyFont="1" applyNumberFormat="1"/>
    <xf borderId="15" fillId="9" fontId="5" numFmtId="164" xfId="0" applyBorder="1" applyFill="1" applyFont="1" applyNumberFormat="1"/>
    <xf borderId="29" fillId="0" fontId="17" numFmtId="0" xfId="0" applyBorder="1" applyFont="1"/>
    <xf borderId="29" fillId="0" fontId="15" numFmtId="0" xfId="0" applyAlignment="1" applyBorder="1" applyFont="1">
      <alignment horizontal="center"/>
    </xf>
    <xf borderId="29" fillId="0" fontId="5" numFmtId="0" xfId="0" applyAlignment="1" applyBorder="1" applyFont="1">
      <alignment horizontal="center"/>
    </xf>
    <xf borderId="29" fillId="0" fontId="5" numFmtId="164" xfId="0" applyBorder="1" applyFont="1" applyNumberFormat="1"/>
    <xf borderId="29" fillId="0" fontId="7" numFmtId="164" xfId="0" applyBorder="1" applyFont="1" applyNumberFormat="1"/>
    <xf borderId="29" fillId="9" fontId="5" numFmtId="164" xfId="0" applyBorder="1" applyFill="1" applyFont="1" applyNumberFormat="1"/>
    <xf borderId="29" fillId="9" fontId="5" numFmtId="164" xfId="0" applyAlignment="1" applyBorder="1" applyFill="1" applyFont="1" applyNumberFormat="1">
      <alignment readingOrder="0"/>
    </xf>
    <xf borderId="29" fillId="11" fontId="16" numFmtId="0" xfId="0" applyBorder="1" applyFill="1" applyFont="1"/>
    <xf borderId="29" fillId="11" fontId="5" numFmtId="0" xfId="0" applyAlignment="1" applyBorder="1" applyFill="1" applyFont="1">
      <alignment horizontal="center" readingOrder="0"/>
    </xf>
    <xf borderId="29" fillId="11" fontId="5" numFmtId="0" xfId="0" applyAlignment="1" applyBorder="1" applyFill="1" applyFont="1">
      <alignment horizontal="center"/>
    </xf>
    <xf borderId="49" fillId="9" fontId="5" numFmtId="164" xfId="0" applyAlignment="1" applyBorder="1" applyFill="1" applyFont="1" applyNumberFormat="1">
      <alignment readingOrder="0"/>
    </xf>
    <xf borderId="29" fillId="11" fontId="5" numFmtId="164" xfId="0" applyBorder="1" applyFill="1" applyFont="1" applyNumberFormat="1"/>
    <xf borderId="15" fillId="11" fontId="6" numFmtId="0" xfId="0" applyBorder="1" applyFill="1" applyFont="1"/>
    <xf borderId="50" fillId="7" fontId="6" numFmtId="0" xfId="0" applyBorder="1" applyFill="1" applyFont="1"/>
    <xf borderId="50" fillId="7" fontId="13" numFmtId="0" xfId="0" applyBorder="1" applyFill="1" applyFont="1"/>
    <xf borderId="29" fillId="11" fontId="7" numFmtId="164" xfId="0" applyBorder="1" applyFill="1" applyFont="1" applyNumberFormat="1"/>
    <xf borderId="18" fillId="11" fontId="5" numFmtId="164" xfId="0" applyBorder="1" applyFill="1" applyFont="1" applyNumberFormat="1"/>
    <xf borderId="50" fillId="7" fontId="6" numFmtId="164" xfId="0" applyBorder="1" applyFill="1" applyFont="1" applyNumberFormat="1"/>
    <xf borderId="50" fillId="7" fontId="19" numFmtId="164" xfId="0" applyAlignment="1" applyBorder="1" applyFill="1" applyFont="1" applyNumberFormat="1">
      <alignment horizontal="center"/>
    </xf>
    <xf borderId="50" fillId="7" fontId="5" numFmtId="0" xfId="0" applyAlignment="1" applyBorder="1" applyFill="1" applyFont="1">
      <alignment readingOrder="0"/>
    </xf>
    <xf borderId="29" fillId="0" fontId="9" numFmtId="0" xfId="0" applyAlignment="1" applyBorder="1" applyFont="1">
      <alignment readingOrder="0"/>
    </xf>
    <xf borderId="29" fillId="0" fontId="15" numFmtId="166" xfId="0" applyAlignment="1" applyBorder="1" applyFont="1" applyNumberFormat="1">
      <alignment horizontal="center" readingOrder="0"/>
    </xf>
    <xf borderId="29" fillId="0" fontId="5" numFmtId="164" xfId="0" applyAlignment="1" applyBorder="1" applyFont="1" applyNumberFormat="1">
      <alignment readingOrder="0"/>
    </xf>
    <xf borderId="18" fillId="9" fontId="5" numFmtId="164" xfId="0" applyAlignment="1" applyBorder="1" applyFill="1" applyFont="1" applyNumberFormat="1">
      <alignment readingOrder="0"/>
    </xf>
    <xf borderId="29" fillId="11" fontId="15" numFmtId="166" xfId="0" applyAlignment="1" applyBorder="1" applyFill="1" applyFont="1" applyNumberFormat="1">
      <alignment horizontal="center" readingOrder="0"/>
    </xf>
    <xf borderId="41" fillId="0" fontId="16" numFmtId="4" xfId="0" applyBorder="1" applyFont="1" applyNumberFormat="1"/>
    <xf borderId="29" fillId="0" fontId="5" numFmtId="0" xfId="0" applyAlignment="1" applyBorder="1" applyFont="1">
      <alignment horizontal="center" readingOrder="0"/>
    </xf>
    <xf borderId="29" fillId="0" fontId="5" numFmtId="0" xfId="0" applyAlignment="1" applyBorder="1" applyFont="1">
      <alignment horizontal="center"/>
    </xf>
    <xf borderId="29" fillId="0" fontId="15" numFmtId="0" xfId="0" applyAlignment="1" applyBorder="1" applyFont="1">
      <alignment horizontal="center" readingOrder="0"/>
    </xf>
    <xf borderId="18" fillId="2" fontId="5" numFmtId="164" xfId="0" applyBorder="1" applyFill="1" applyFont="1" applyNumberFormat="1"/>
    <xf borderId="51" fillId="12" fontId="6" numFmtId="0" xfId="0" applyBorder="1" applyFill="1" applyFont="1"/>
    <xf borderId="51" fillId="12" fontId="6" numFmtId="0" xfId="0" applyAlignment="1" applyBorder="1" applyFill="1" applyFont="1">
      <alignment horizontal="center"/>
    </xf>
    <xf borderId="51" fillId="12" fontId="6" numFmtId="164" xfId="0" applyAlignment="1" applyBorder="1" applyFill="1" applyFont="1" applyNumberFormat="1">
      <alignment horizontal="center"/>
    </xf>
    <xf borderId="29" fillId="0" fontId="16" numFmtId="0" xfId="0" applyAlignment="1" applyBorder="1" applyFont="1">
      <alignment readingOrder="0"/>
    </xf>
    <xf borderId="51" fillId="12" fontId="6" numFmtId="4" xfId="0" applyAlignment="1" applyBorder="1" applyFill="1" applyFont="1" applyNumberFormat="1">
      <alignment horizontal="center"/>
    </xf>
    <xf borderId="51" fillId="12" fontId="6" numFmtId="164" xfId="0" applyBorder="1" applyFill="1" applyFont="1" applyNumberFormat="1"/>
    <xf borderId="29" fillId="0" fontId="16" numFmtId="4" xfId="0" applyAlignment="1" applyBorder="1" applyFont="1" applyNumberFormat="1">
      <alignment readingOrder="0"/>
    </xf>
    <xf borderId="15" fillId="0" fontId="16" numFmtId="0" xfId="0" applyBorder="1" applyFont="1"/>
    <xf borderId="15" fillId="0" fontId="5" numFmtId="0" xfId="0" applyAlignment="1" applyBorder="1" applyFont="1">
      <alignment horizontal="center"/>
    </xf>
    <xf borderId="15" fillId="0" fontId="5" numFmtId="164" xfId="0" applyBorder="1" applyFont="1" applyNumberFormat="1"/>
    <xf borderId="15" fillId="0" fontId="7" numFmtId="164" xfId="0" applyBorder="1" applyFont="1" applyNumberFormat="1"/>
    <xf borderId="42" fillId="2" fontId="5" numFmtId="164" xfId="0" applyBorder="1" applyFill="1" applyFont="1" applyNumberFormat="1"/>
    <xf borderId="15" fillId="2" fontId="5" numFmtId="164" xfId="0" applyBorder="1" applyFill="1" applyFont="1" applyNumberFormat="1"/>
    <xf borderId="15" fillId="2" fontId="5" numFmtId="164" xfId="0" applyAlignment="1" applyBorder="1" applyFill="1" applyFont="1" applyNumberFormat="1">
      <alignment readingOrder="0"/>
    </xf>
    <xf borderId="29" fillId="0" fontId="17" numFmtId="0" xfId="0" applyBorder="1" applyFont="1"/>
    <xf borderId="29" fillId="0" fontId="5" numFmtId="0" xfId="0" applyAlignment="1" applyBorder="1" applyFont="1">
      <alignment horizontal="center"/>
    </xf>
    <xf borderId="29" fillId="0" fontId="5" numFmtId="164" xfId="0" applyBorder="1" applyFont="1" applyNumberFormat="1"/>
    <xf borderId="29" fillId="0" fontId="7" numFmtId="164" xfId="0" applyBorder="1" applyFont="1" applyNumberFormat="1"/>
    <xf borderId="29" fillId="2" fontId="5" numFmtId="164" xfId="0" applyBorder="1" applyFill="1" applyFont="1" applyNumberFormat="1"/>
    <xf borderId="29" fillId="2" fontId="5" numFmtId="164" xfId="0" applyAlignment="1" applyBorder="1" applyFill="1" applyFont="1" applyNumberFormat="1">
      <alignment readingOrder="0"/>
    </xf>
    <xf borderId="50" fillId="15" fontId="6" numFmtId="0" xfId="0" applyAlignment="1" applyBorder="1" applyFill="1" applyFont="1">
      <alignment readingOrder="0"/>
    </xf>
    <xf borderId="50" fillId="15" fontId="6" numFmtId="0" xfId="0" applyBorder="1" applyFill="1" applyFont="1"/>
    <xf borderId="29" fillId="9" fontId="5" numFmtId="164" xfId="0" applyAlignment="1" applyBorder="1" applyFill="1" applyFont="1" applyNumberFormat="1">
      <alignment readingOrder="0"/>
    </xf>
    <xf borderId="50" fillId="15" fontId="6" numFmtId="164" xfId="0" applyBorder="1" applyFill="1" applyFont="1" applyNumberFormat="1"/>
    <xf borderId="0" fillId="0" fontId="20" numFmtId="0" xfId="0" applyAlignment="1" applyFont="1">
      <alignment horizontal="center" readingOrder="0"/>
    </xf>
    <xf borderId="0" fillId="0" fontId="17" numFmtId="0" xfId="0" applyAlignment="1" applyFont="1">
      <alignment horizontal="center" readingOrder="0"/>
    </xf>
    <xf borderId="50" fillId="15" fontId="19" numFmtId="164" xfId="0" applyAlignment="1" applyBorder="1" applyFill="1" applyFont="1" applyNumberFormat="1">
      <alignment horizontal="center"/>
    </xf>
    <xf borderId="50" fillId="15" fontId="5" numFmtId="0" xfId="0" applyBorder="1" applyFill="1" applyFont="1"/>
    <xf borderId="29" fillId="9" fontId="15" numFmtId="164" xfId="0" applyAlignment="1" applyBorder="1" applyFill="1" applyFont="1" applyNumberFormat="1">
      <alignment readingOrder="0"/>
    </xf>
    <xf borderId="15" fillId="9" fontId="15" numFmtId="164" xfId="0" applyAlignment="1" applyBorder="1" applyFill="1" applyFont="1" applyNumberFormat="1">
      <alignment readingOrder="0"/>
    </xf>
    <xf borderId="29" fillId="0" fontId="16" numFmtId="0" xfId="0" applyBorder="1" applyFont="1"/>
    <xf borderId="0" fillId="0" fontId="17" numFmtId="167" xfId="0" applyAlignment="1" applyFont="1" applyNumberFormat="1">
      <alignment readingOrder="0"/>
    </xf>
    <xf borderId="29" fillId="11" fontId="5" numFmtId="166" xfId="0" applyAlignment="1" applyBorder="1" applyFill="1" applyFont="1" applyNumberFormat="1">
      <alignment horizontal="center" readingOrder="0"/>
    </xf>
    <xf borderId="29" fillId="9" fontId="15" numFmtId="164" xfId="0" applyAlignment="1" applyBorder="1" applyFill="1" applyFont="1" applyNumberFormat="1">
      <alignment readingOrder="0"/>
    </xf>
    <xf borderId="29" fillId="11" fontId="5" numFmtId="164" xfId="0" applyAlignment="1" applyBorder="1" applyFill="1" applyFont="1" applyNumberFormat="1">
      <alignment readingOrder="0"/>
    </xf>
    <xf borderId="18" fillId="11" fontId="5" numFmtId="164" xfId="0" applyAlignment="1" applyBorder="1" applyFill="1" applyFont="1" applyNumberFormat="1">
      <alignment readingOrder="0"/>
    </xf>
    <xf borderId="47" fillId="9" fontId="5" numFmtId="164" xfId="0" applyBorder="1" applyFill="1" applyFont="1" applyNumberFormat="1"/>
    <xf borderId="15" fillId="0" fontId="5" numFmtId="164" xfId="0" applyAlignment="1" applyBorder="1" applyFont="1" applyNumberFormat="1">
      <alignment readingOrder="0"/>
    </xf>
    <xf borderId="50" fillId="7" fontId="6" numFmtId="0" xfId="0" applyAlignment="1" applyBorder="1" applyFill="1" applyFont="1">
      <alignment readingOrder="0"/>
    </xf>
    <xf borderId="15" fillId="0" fontId="5" numFmtId="0" xfId="0" applyAlignment="1" applyBorder="1" applyFont="1">
      <alignment horizontal="center" readingOrder="0"/>
    </xf>
    <xf borderId="0" fillId="0" fontId="21" numFmtId="0" xfId="0" applyFont="1"/>
    <xf borderId="0" fillId="3" fontId="18" numFmtId="0" xfId="0" applyFill="1" applyFont="1"/>
    <xf borderId="48" fillId="9" fontId="5" numFmtId="164" xfId="0" applyAlignment="1" applyBorder="1" applyFill="1" applyFont="1" applyNumberFormat="1">
      <alignment readingOrder="0"/>
    </xf>
    <xf borderId="0" fillId="3" fontId="18" numFmtId="0" xfId="0" applyAlignment="1" applyFill="1" applyFont="1">
      <alignment horizontal="center"/>
    </xf>
    <xf borderId="29" fillId="0" fontId="16" numFmtId="0" xfId="0" applyAlignment="1" applyBorder="1" applyFont="1">
      <alignment readingOrder="0"/>
    </xf>
    <xf borderId="0" fillId="3" fontId="21" numFmtId="0" xfId="0" applyAlignment="1" applyFill="1" applyFont="1">
      <alignment horizontal="center"/>
    </xf>
    <xf borderId="0" fillId="3" fontId="21" numFmtId="4" xfId="0" applyFill="1" applyFont="1" applyNumberFormat="1"/>
    <xf borderId="0" fillId="3" fontId="21" numFmtId="164" xfId="0" applyFill="1" applyFont="1" applyNumberFormat="1"/>
    <xf borderId="0" fillId="3" fontId="21" numFmtId="0" xfId="0" applyFill="1" applyFont="1"/>
    <xf borderId="29" fillId="11" fontId="5" numFmtId="164" xfId="0" applyAlignment="1" applyBorder="1" applyFill="1" applyFont="1" applyNumberFormat="1">
      <alignment readingOrder="0"/>
    </xf>
    <xf borderId="18" fillId="11" fontId="5" numFmtId="164" xfId="0" applyAlignment="1" applyBorder="1" applyFill="1" applyFont="1" applyNumberFormat="1">
      <alignment readingOrder="0"/>
    </xf>
    <xf borderId="29" fillId="11" fontId="15" numFmtId="0" xfId="0" applyAlignment="1" applyBorder="1" applyFill="1" applyFont="1">
      <alignment horizontal="center" readingOrder="0"/>
    </xf>
    <xf borderId="51" fillId="12" fontId="6" numFmtId="0" xfId="0" applyAlignment="1" applyBorder="1" applyFill="1" applyFont="1">
      <alignment readingOrder="0"/>
    </xf>
    <xf borderId="29" fillId="0" fontId="7" numFmtId="164" xfId="0" applyAlignment="1" applyBorder="1" applyFont="1" applyNumberFormat="1">
      <alignment readingOrder="0"/>
    </xf>
    <xf borderId="29" fillId="11" fontId="5" numFmtId="0" xfId="0" applyAlignment="1" applyBorder="1" applyFill="1" applyFont="1">
      <alignment horizontal="center" readingOrder="0"/>
    </xf>
    <xf borderId="15" fillId="0" fontId="6" numFmtId="0" xfId="0" applyAlignment="1" applyBorder="1" applyFont="1">
      <alignment readingOrder="0"/>
    </xf>
    <xf borderId="15" fillId="0" fontId="5" numFmtId="166" xfId="0" applyAlignment="1" applyBorder="1" applyFont="1" applyNumberFormat="1">
      <alignment horizontal="center" readingOrder="0"/>
    </xf>
    <xf borderId="15" fillId="0" fontId="5" numFmtId="4" xfId="0" applyAlignment="1" applyBorder="1" applyFont="1" applyNumberFormat="1">
      <alignment readingOrder="0"/>
    </xf>
    <xf borderId="15" fillId="0" fontId="5" numFmtId="0" xfId="0" applyAlignment="1" applyBorder="1" applyFont="1">
      <alignment readingOrder="0"/>
    </xf>
    <xf borderId="15" fillId="11" fontId="5" numFmtId="166" xfId="0" applyAlignment="1" applyBorder="1" applyFill="1" applyFont="1" applyNumberFormat="1">
      <alignment horizontal="center" readingOrder="0"/>
    </xf>
    <xf borderId="15" fillId="0" fontId="5" numFmtId="0" xfId="0" applyAlignment="1" applyBorder="1" applyFont="1">
      <alignment horizontal="center" readingOrder="0"/>
    </xf>
    <xf borderId="15" fillId="0" fontId="5" numFmtId="164" xfId="0" applyAlignment="1" applyBorder="1" applyFont="1" applyNumberFormat="1">
      <alignment readingOrder="0"/>
    </xf>
    <xf borderId="42" fillId="2" fontId="5" numFmtId="164" xfId="0" applyAlignment="1" applyBorder="1" applyFill="1" applyFont="1" applyNumberFormat="1">
      <alignment readingOrder="0"/>
    </xf>
    <xf borderId="15" fillId="11" fontId="5" numFmtId="0" xfId="0" applyAlignment="1" applyBorder="1" applyFill="1" applyFont="1">
      <alignment horizontal="center" readingOrder="0"/>
    </xf>
    <xf borderId="15" fillId="11" fontId="5" numFmtId="164" xfId="0" applyAlignment="1" applyBorder="1" applyFill="1" applyFont="1" applyNumberFormat="1">
      <alignment readingOrder="0"/>
    </xf>
    <xf borderId="48" fillId="11" fontId="5" numFmtId="164" xfId="0" applyAlignment="1" applyBorder="1" applyFill="1" applyFont="1" applyNumberFormat="1">
      <alignment readingOrder="0"/>
    </xf>
    <xf borderId="29" fillId="11" fontId="9" numFmtId="0" xfId="0" applyAlignment="1" applyBorder="1" applyFill="1" applyFont="1">
      <alignment readingOrder="0"/>
    </xf>
    <xf borderId="0" fillId="0" fontId="17" numFmtId="0" xfId="0" applyAlignment="1" applyFont="1">
      <alignment readingOrder="0"/>
    </xf>
    <xf borderId="29" fillId="0" fontId="16" numFmtId="166" xfId="0" applyAlignment="1" applyBorder="1" applyFont="1" applyNumberFormat="1">
      <alignment horizontal="center" readingOrder="0"/>
    </xf>
    <xf borderId="29" fillId="0" fontId="16" numFmtId="0" xfId="0" applyAlignment="1" applyBorder="1" applyFont="1">
      <alignment horizontal="center" readingOrder="0"/>
    </xf>
    <xf borderId="29" fillId="14" fontId="16" numFmtId="4" xfId="0" applyAlignment="1" applyBorder="1" applyFill="1" applyFont="1" applyNumberFormat="1">
      <alignment readingOrder="0" shrinkToFit="0" wrapText="0"/>
    </xf>
    <xf borderId="15" fillId="11" fontId="6" numFmtId="0" xfId="0" applyAlignment="1" applyBorder="1" applyFill="1" applyFont="1">
      <alignment readingOrder="0"/>
    </xf>
    <xf borderId="15" fillId="11" fontId="5" numFmtId="4" xfId="0" applyAlignment="1" applyBorder="1" applyFill="1" applyFont="1" applyNumberFormat="1">
      <alignment readingOrder="0"/>
    </xf>
    <xf borderId="29" fillId="11" fontId="16" numFmtId="166" xfId="0" applyAlignment="1" applyBorder="1" applyFill="1" applyFont="1" applyNumberFormat="1">
      <alignment horizontal="center" readingOrder="0"/>
    </xf>
    <xf borderId="29" fillId="11" fontId="16" numFmtId="0" xfId="0" applyAlignment="1" applyBorder="1" applyFill="1" applyFont="1">
      <alignment horizontal="center" readingOrder="0"/>
    </xf>
    <xf borderId="15" fillId="0" fontId="7" numFmtId="164" xfId="0" applyAlignment="1" applyBorder="1" applyFont="1" applyNumberFormat="1">
      <alignment readingOrder="0"/>
    </xf>
    <xf borderId="29" fillId="14" fontId="22" numFmtId="4" xfId="0" applyBorder="1" applyFill="1" applyFont="1" applyNumberFormat="1"/>
    <xf borderId="29" fillId="14" fontId="23" numFmtId="4" xfId="0" applyBorder="1" applyFill="1" applyFont="1" applyNumberFormat="1"/>
    <xf borderId="29" fillId="11" fontId="15" numFmtId="164" xfId="0" applyAlignment="1" applyBorder="1" applyFill="1" applyFont="1" applyNumberFormat="1">
      <alignment readingOrder="0"/>
    </xf>
    <xf borderId="29" fillId="14" fontId="23" numFmtId="4" xfId="0" applyAlignment="1" applyBorder="1" applyFill="1" applyFont="1" applyNumberFormat="1">
      <alignment readingOrder="0"/>
    </xf>
    <xf borderId="0" fillId="3" fontId="18" numFmtId="0" xfId="0" applyAlignment="1" applyFill="1" applyFont="1">
      <alignment readingOrder="0"/>
    </xf>
    <xf borderId="0" fillId="0" fontId="21" numFmtId="0" xfId="0" applyAlignment="1" applyFont="1">
      <alignment readingOrder="0"/>
    </xf>
    <xf borderId="47" fillId="0" fontId="9" numFmtId="0" xfId="0" applyAlignment="1" applyBorder="1" applyFont="1">
      <alignment readingOrder="0"/>
    </xf>
    <xf borderId="47" fillId="0" fontId="16" numFmtId="166" xfId="0" applyAlignment="1" applyBorder="1" applyFont="1" applyNumberFormat="1">
      <alignment horizontal="center" readingOrder="0"/>
    </xf>
    <xf borderId="47" fillId="0" fontId="16" numFmtId="0" xfId="0" applyAlignment="1" applyBorder="1" applyFont="1">
      <alignment horizontal="center" readingOrder="0"/>
    </xf>
    <xf borderId="47" fillId="0" fontId="16" numFmtId="4" xfId="0" applyAlignment="1" applyBorder="1" applyFont="1" applyNumberFormat="1">
      <alignment readingOrder="0"/>
    </xf>
    <xf borderId="47" fillId="0" fontId="16" numFmtId="4" xfId="0" applyBorder="1" applyFont="1" applyNumberFormat="1"/>
    <xf borderId="47" fillId="14" fontId="16" numFmtId="4" xfId="0" applyAlignment="1" applyBorder="1" applyFill="1" applyFont="1" applyNumberFormat="1">
      <alignment readingOrder="0"/>
    </xf>
    <xf borderId="47" fillId="14" fontId="16" numFmtId="4" xfId="0" applyAlignment="1" applyBorder="1" applyFill="1" applyFont="1" applyNumberFormat="1">
      <alignment readingOrder="0" shrinkToFit="0" wrapText="0"/>
    </xf>
    <xf borderId="47" fillId="14" fontId="16" numFmtId="4" xfId="0" applyBorder="1" applyFill="1" applyFont="1" applyNumberFormat="1"/>
    <xf borderId="47" fillId="14" fontId="16" numFmtId="0" xfId="0" applyBorder="1" applyFill="1" applyFont="1"/>
    <xf borderId="29" fillId="11" fontId="16" numFmtId="0" xfId="0" applyAlignment="1" applyBorder="1" applyFill="1" applyFont="1">
      <alignment readingOrder="0"/>
    </xf>
    <xf borderId="15" fillId="0" fontId="15" numFmtId="164" xfId="0" applyAlignment="1" applyBorder="1" applyFont="1" applyNumberFormat="1">
      <alignment readingOrder="0"/>
    </xf>
    <xf borderId="29" fillId="11" fontId="16" numFmtId="4" xfId="0" applyAlignment="1" applyBorder="1" applyFill="1" applyFont="1" applyNumberFormat="1">
      <alignment readingOrder="0" shrinkToFit="0" wrapText="0"/>
    </xf>
    <xf borderId="29" fillId="0" fontId="5" numFmtId="0" xfId="0" applyAlignment="1" applyBorder="1" applyFont="1">
      <alignment horizontal="center" readingOrder="0"/>
    </xf>
    <xf borderId="29" fillId="0" fontId="5" numFmtId="164" xfId="0" applyAlignment="1" applyBorder="1" applyFont="1" applyNumberFormat="1">
      <alignment readingOrder="0"/>
    </xf>
    <xf borderId="50" fillId="7" fontId="19" numFmtId="164" xfId="0" applyAlignment="1" applyBorder="1" applyFill="1" applyFont="1" applyNumberFormat="1">
      <alignment horizontal="center" readingOrder="0"/>
    </xf>
    <xf borderId="0" fillId="11" fontId="17" numFmtId="0" xfId="0" applyFill="1" applyFont="1"/>
    <xf borderId="15" fillId="0" fontId="5" numFmtId="166" xfId="0" applyAlignment="1" applyBorder="1" applyFont="1" applyNumberFormat="1">
      <alignment horizontal="center" readingOrder="0"/>
    </xf>
    <xf borderId="49" fillId="0" fontId="7" numFmtId="164" xfId="0" applyBorder="1" applyFont="1" applyNumberFormat="1"/>
    <xf borderId="15" fillId="11" fontId="16" numFmtId="0" xfId="0" applyBorder="1" applyFill="1" applyFont="1"/>
    <xf borderId="15" fillId="9" fontId="5" numFmtId="164" xfId="0" applyAlignment="1" applyBorder="1" applyFill="1" applyFont="1" applyNumberFormat="1">
      <alignment readingOrder="0"/>
    </xf>
    <xf borderId="15" fillId="11" fontId="5" numFmtId="166" xfId="0" applyAlignment="1" applyBorder="1" applyFill="1" applyFont="1" applyNumberFormat="1">
      <alignment horizontal="center" readingOrder="0"/>
    </xf>
    <xf borderId="15" fillId="11" fontId="5" numFmtId="0" xfId="0" applyAlignment="1" applyBorder="1" applyFill="1" applyFont="1">
      <alignment horizontal="center" readingOrder="0"/>
    </xf>
    <xf borderId="15" fillId="11" fontId="5" numFmtId="164" xfId="0" applyAlignment="1" applyBorder="1" applyFill="1" applyFont="1" applyNumberFormat="1">
      <alignment readingOrder="0"/>
    </xf>
    <xf borderId="15" fillId="11" fontId="5" numFmtId="164" xfId="0" applyBorder="1" applyFill="1" applyFont="1" applyNumberFormat="1"/>
    <xf borderId="42" fillId="11" fontId="5" numFmtId="164" xfId="0" applyAlignment="1" applyBorder="1" applyFill="1" applyFont="1" applyNumberFormat="1">
      <alignment readingOrder="0"/>
    </xf>
    <xf borderId="15" fillId="11" fontId="5" numFmtId="0" xfId="0" applyAlignment="1" applyBorder="1" applyFill="1" applyFont="1">
      <alignment readingOrder="0"/>
    </xf>
    <xf borderId="15" fillId="11" fontId="15" numFmtId="164" xfId="0" applyAlignment="1" applyBorder="1" applyFill="1" applyFont="1" applyNumberFormat="1">
      <alignment readingOrder="0"/>
    </xf>
    <xf borderId="29" fillId="11" fontId="9" numFmtId="0" xfId="0" applyAlignment="1" applyBorder="1" applyFill="1" applyFont="1">
      <alignment readingOrder="0"/>
    </xf>
    <xf borderId="29" fillId="14" fontId="24" numFmtId="0" xfId="0" applyAlignment="1" applyBorder="1" applyFill="1" applyFont="1">
      <alignment readingOrder="0"/>
    </xf>
    <xf borderId="0" fillId="0" fontId="17" numFmtId="168" xfId="0" applyFont="1" applyNumberFormat="1"/>
    <xf borderId="29" fillId="11" fontId="24" numFmtId="0" xfId="0" applyAlignment="1" applyBorder="1" applyFill="1" applyFont="1">
      <alignment readingOrder="0"/>
    </xf>
    <xf borderId="0" fillId="0" fontId="17" numFmtId="4" xfId="0" applyAlignment="1" applyFont="1" applyNumberFormat="1">
      <alignment readingOrder="0"/>
    </xf>
    <xf borderId="51" fillId="15" fontId="6" numFmtId="0" xfId="0" applyAlignment="1" applyBorder="1" applyFill="1" applyFont="1">
      <alignment readingOrder="0"/>
    </xf>
    <xf borderId="51" fillId="15" fontId="6" numFmtId="0" xfId="0" applyBorder="1" applyFill="1" applyFont="1"/>
    <xf borderId="51" fillId="15" fontId="6" numFmtId="164" xfId="0" applyBorder="1" applyFill="1" applyFont="1" applyNumberFormat="1"/>
    <xf borderId="51" fillId="15" fontId="19" numFmtId="164" xfId="0" applyAlignment="1" applyBorder="1" applyFill="1" applyFont="1" applyNumberFormat="1">
      <alignment horizontal="center"/>
    </xf>
    <xf borderId="51" fillId="15" fontId="5" numFmtId="0" xfId="0" applyBorder="1" applyFill="1" applyFont="1"/>
    <xf borderId="0" fillId="0" fontId="17" numFmtId="0" xfId="0" applyAlignment="1" applyFont="1">
      <alignment horizontal="left"/>
    </xf>
    <xf borderId="51" fillId="12" fontId="19" numFmtId="164" xfId="0" applyAlignment="1" applyBorder="1" applyFill="1" applyFont="1" applyNumberFormat="1">
      <alignment horizontal="center"/>
    </xf>
    <xf borderId="0" fillId="0" fontId="17" numFmtId="0" xfId="0" applyAlignment="1" applyFont="1">
      <alignment horizontal="left" readingOrder="0"/>
    </xf>
    <xf borderId="0" fillId="0" fontId="17" numFmtId="164" xfId="0" applyFont="1" applyNumberFormat="1"/>
    <xf borderId="52" fillId="0" fontId="17" numFmtId="0" xfId="0" applyAlignment="1" applyBorder="1" applyFont="1">
      <alignment readingOrder="0"/>
    </xf>
    <xf borderId="52" fillId="0" fontId="17" numFmtId="164" xfId="0" applyBorder="1" applyFont="1" applyNumberFormat="1"/>
    <xf borderId="29" fillId="9" fontId="7" numFmtId="164" xfId="0" applyAlignment="1" applyBorder="1" applyFill="1" applyFont="1" applyNumberFormat="1">
      <alignment readingOrder="0"/>
    </xf>
    <xf borderId="29" fillId="16" fontId="5" numFmtId="166" xfId="0" applyAlignment="1" applyBorder="1" applyFill="1" applyFont="1" applyNumberFormat="1">
      <alignment horizontal="center" readingOrder="0"/>
    </xf>
    <xf borderId="29" fillId="14" fontId="24" numFmtId="4" xfId="0" applyAlignment="1" applyBorder="1" applyFill="1" applyFont="1" applyNumberFormat="1">
      <alignment readingOrder="0"/>
    </xf>
    <xf borderId="49" fillId="0" fontId="16" numFmtId="0" xfId="0" applyBorder="1" applyFont="1"/>
    <xf borderId="49" fillId="0" fontId="15" numFmtId="0" xfId="0" applyAlignment="1" applyBorder="1" applyFont="1">
      <alignment horizontal="center" readingOrder="0"/>
    </xf>
    <xf borderId="49" fillId="0" fontId="5" numFmtId="0" xfId="0" applyAlignment="1" applyBorder="1" applyFont="1">
      <alignment horizontal="center" readingOrder="0"/>
    </xf>
    <xf borderId="49" fillId="0" fontId="5" numFmtId="164" xfId="0" applyAlignment="1" applyBorder="1" applyFont="1" applyNumberFormat="1">
      <alignment readingOrder="0"/>
    </xf>
    <xf borderId="49" fillId="0" fontId="5" numFmtId="164" xfId="0" applyBorder="1" applyFont="1" applyNumberFormat="1"/>
    <xf borderId="16" fillId="9" fontId="5" numFmtId="164" xfId="0" applyAlignment="1" applyBorder="1" applyFill="1" applyFont="1" applyNumberFormat="1">
      <alignment readingOrder="0"/>
    </xf>
    <xf borderId="49" fillId="9" fontId="15" numFmtId="164" xfId="0" applyAlignment="1" applyBorder="1" applyFill="1" applyFont="1" applyNumberFormat="1">
      <alignment readingOrder="0"/>
    </xf>
    <xf borderId="47" fillId="0" fontId="17" numFmtId="0" xfId="0" applyBorder="1" applyFont="1"/>
    <xf borderId="47" fillId="0" fontId="5" numFmtId="0" xfId="0" applyAlignment="1" applyBorder="1" applyFont="1">
      <alignment horizontal="center" readingOrder="0"/>
    </xf>
    <xf borderId="47" fillId="0" fontId="5" numFmtId="164" xfId="0" applyAlignment="1" applyBorder="1" applyFont="1" applyNumberFormat="1">
      <alignment readingOrder="0"/>
    </xf>
    <xf borderId="47" fillId="0" fontId="5" numFmtId="164" xfId="0" applyBorder="1" applyFont="1" applyNumberFormat="1"/>
    <xf borderId="47" fillId="2" fontId="5" numFmtId="164" xfId="0" applyBorder="1" applyFill="1" applyFont="1" applyNumberFormat="1"/>
    <xf borderId="47" fillId="2" fontId="5" numFmtId="164" xfId="0" applyAlignment="1" applyBorder="1" applyFill="1" applyFont="1" applyNumberFormat="1">
      <alignment readingOrder="0"/>
    </xf>
    <xf borderId="51" fillId="7" fontId="19" numFmtId="164" xfId="0" applyAlignment="1" applyBorder="1" applyFill="1" applyFont="1" applyNumberFormat="1">
      <alignment horizontal="center"/>
    </xf>
    <xf borderId="41" fillId="0" fontId="17" numFmtId="0" xfId="0" applyBorder="1" applyFont="1"/>
    <xf borderId="41" fillId="0" fontId="17" numFmtId="4" xfId="0" applyBorder="1" applyFont="1" applyNumberFormat="1"/>
    <xf borderId="29" fillId="0" fontId="15" numFmtId="164" xfId="0" applyAlignment="1" applyBorder="1" applyFont="1" applyNumberFormat="1">
      <alignment readingOrder="0"/>
    </xf>
    <xf borderId="15" fillId="9" fontId="15" numFmtId="164" xfId="0" applyBorder="1" applyFill="1" applyFont="1" applyNumberFormat="1"/>
    <xf borderId="18" fillId="9" fontId="7" numFmtId="164" xfId="0" applyAlignment="1" applyBorder="1" applyFill="1" applyFont="1" applyNumberFormat="1">
      <alignment readingOrder="0"/>
    </xf>
    <xf borderId="15" fillId="11" fontId="15" numFmtId="166" xfId="0" applyAlignment="1" applyBorder="1" applyFill="1" applyFont="1" applyNumberFormat="1">
      <alignment horizontal="center" readingOrder="0"/>
    </xf>
    <xf borderId="15" fillId="11" fontId="15" numFmtId="0" xfId="0" applyAlignment="1" applyBorder="1" applyFill="1" applyFont="1">
      <alignment horizontal="center" readingOrder="0"/>
    </xf>
    <xf borderId="15" fillId="11" fontId="15" numFmtId="164" xfId="0" applyBorder="1" applyFill="1" applyFont="1" applyNumberFormat="1"/>
    <xf borderId="15" fillId="11" fontId="15" numFmtId="0" xfId="0" applyAlignment="1" applyBorder="1" applyFill="1" applyFont="1">
      <alignment readingOrder="0"/>
    </xf>
    <xf borderId="15" fillId="11" fontId="15" numFmtId="4" xfId="0" applyBorder="1" applyFill="1" applyFont="1" applyNumberFormat="1"/>
    <xf borderId="48" fillId="11" fontId="15" numFmtId="164" xfId="0" applyAlignment="1" applyBorder="1" applyFill="1" applyFont="1" applyNumberFormat="1">
      <alignment readingOrder="0"/>
    </xf>
    <xf borderId="48" fillId="11" fontId="7" numFmtId="164" xfId="0" applyAlignment="1" applyBorder="1" applyFill="1" applyFont="1" applyNumberFormat="1">
      <alignment readingOrder="0"/>
    </xf>
    <xf borderId="15" fillId="0" fontId="15" numFmtId="166" xfId="0" applyAlignment="1" applyBorder="1" applyFont="1" applyNumberFormat="1">
      <alignment horizontal="center" readingOrder="0"/>
    </xf>
    <xf borderId="15" fillId="0" fontId="15" numFmtId="0" xfId="0" applyAlignment="1" applyBorder="1" applyFont="1">
      <alignment horizontal="center" readingOrder="0"/>
    </xf>
    <xf borderId="15" fillId="0" fontId="15" numFmtId="164" xfId="0" applyBorder="1" applyFont="1" applyNumberFormat="1"/>
    <xf borderId="15" fillId="0" fontId="15" numFmtId="0" xfId="0" applyAlignment="1" applyBorder="1" applyFont="1">
      <alignment readingOrder="0"/>
    </xf>
    <xf borderId="15" fillId="0" fontId="15" numFmtId="4" xfId="0" applyBorder="1" applyFont="1" applyNumberFormat="1"/>
    <xf borderId="47" fillId="0" fontId="25" numFmtId="164" xfId="0" applyBorder="1" applyFont="1" applyNumberFormat="1"/>
    <xf borderId="48" fillId="9" fontId="15" numFmtId="164" xfId="0" applyAlignment="1" applyBorder="1" applyFill="1" applyFont="1" applyNumberFormat="1">
      <alignment readingOrder="0"/>
    </xf>
    <xf borderId="48" fillId="9" fontId="7" numFmtId="164" xfId="0" applyAlignment="1" applyBorder="1" applyFill="1" applyFont="1" applyNumberFormat="1">
      <alignment readingOrder="0"/>
    </xf>
    <xf borderId="47" fillId="11" fontId="25" numFmtId="164" xfId="0" applyBorder="1" applyFill="1" applyFont="1" applyNumberFormat="1"/>
    <xf borderId="0" fillId="16" fontId="17" numFmtId="0" xfId="0" applyFill="1" applyFont="1"/>
    <xf borderId="15" fillId="11" fontId="13" numFmtId="0" xfId="0" applyAlignment="1" applyBorder="1" applyFill="1" applyFont="1">
      <alignment readingOrder="0"/>
    </xf>
    <xf borderId="29" fillId="11" fontId="15" numFmtId="164" xfId="0" applyBorder="1" applyFill="1" applyFont="1" applyNumberFormat="1"/>
    <xf borderId="15" fillId="0" fontId="13" numFmtId="0" xfId="0" applyAlignment="1" applyBorder="1" applyFont="1">
      <alignment readingOrder="0"/>
    </xf>
    <xf borderId="29" fillId="9" fontId="15" numFmtId="164" xfId="0" applyBorder="1" applyFill="1" applyFont="1" applyNumberFormat="1"/>
    <xf borderId="52" fillId="0" fontId="26" numFmtId="0" xfId="0" applyAlignment="1" applyBorder="1" applyFont="1">
      <alignment horizontal="center" readingOrder="0"/>
    </xf>
    <xf borderId="52" fillId="0" fontId="26" numFmtId="164" xfId="0" applyBorder="1" applyFont="1" applyNumberFormat="1"/>
    <xf borderId="0" fillId="17" fontId="17" numFmtId="0" xfId="0" applyFill="1" applyFont="1"/>
    <xf borderId="48" fillId="17" fontId="5" numFmtId="164" xfId="0" applyAlignment="1" applyBorder="1" applyFill="1" applyFont="1" applyNumberFormat="1">
      <alignment readingOrder="0"/>
    </xf>
    <xf borderId="51" fillId="12" fontId="13" numFmtId="0" xfId="0" applyAlignment="1" applyBorder="1" applyFill="1" applyFont="1">
      <alignment readingOrder="0"/>
    </xf>
    <xf borderId="51" fillId="12" fontId="13" numFmtId="0" xfId="0" applyAlignment="1" applyBorder="1" applyFill="1" applyFont="1">
      <alignment horizontal="center"/>
    </xf>
    <xf borderId="51" fillId="12" fontId="13" numFmtId="164" xfId="0" applyAlignment="1" applyBorder="1" applyFill="1" applyFont="1" applyNumberFormat="1">
      <alignment horizontal="center"/>
    </xf>
    <xf borderId="51" fillId="12" fontId="27" numFmtId="164" xfId="0" applyBorder="1" applyFill="1" applyFont="1" applyNumberFormat="1"/>
    <xf borderId="0" fillId="17" fontId="16" numFmtId="4" xfId="0" applyAlignment="1" applyFill="1" applyFont="1" applyNumberFormat="1">
      <alignment horizontal="left"/>
    </xf>
    <xf borderId="0" fillId="17" fontId="16" numFmtId="4" xfId="0" applyFill="1" applyFont="1" applyNumberFormat="1"/>
    <xf borderId="0" fillId="0" fontId="5" numFmtId="0" xfId="0" applyAlignment="1" applyFont="1">
      <alignment vertical="bottom"/>
    </xf>
    <xf borderId="15" fillId="0" fontId="5" numFmtId="0" xfId="0" applyAlignment="1" applyBorder="1" applyFont="1">
      <alignment vertical="bottom"/>
    </xf>
    <xf borderId="15" fillId="0" fontId="5" numFmtId="166" xfId="0" applyAlignment="1" applyBorder="1" applyFont="1" applyNumberFormat="1">
      <alignment horizontal="center" readingOrder="0" vertical="bottom"/>
    </xf>
    <xf borderId="15" fillId="0" fontId="5" numFmtId="0" xfId="0" applyAlignment="1" applyBorder="1" applyFont="1">
      <alignment horizontal="center" readingOrder="0" vertical="bottom"/>
    </xf>
    <xf borderId="15" fillId="0" fontId="5" numFmtId="164" xfId="0" applyAlignment="1" applyBorder="1" applyFont="1" applyNumberFormat="1">
      <alignment horizontal="right" readingOrder="0" vertical="bottom"/>
    </xf>
    <xf borderId="15" fillId="0" fontId="5" numFmtId="164" xfId="0" applyAlignment="1" applyBorder="1" applyFont="1" applyNumberFormat="1">
      <alignment vertical="bottom"/>
    </xf>
    <xf borderId="15" fillId="0" fontId="5" numFmtId="4" xfId="0" applyAlignment="1" applyBorder="1" applyFont="1" applyNumberFormat="1">
      <alignment vertical="bottom"/>
    </xf>
    <xf borderId="0" fillId="3" fontId="24" numFmtId="4" xfId="0" applyFill="1" applyFont="1" applyNumberFormat="1"/>
    <xf borderId="47" fillId="0" fontId="7" numFmtId="164" xfId="0" applyAlignment="1" applyBorder="1" applyFont="1" applyNumberFormat="1">
      <alignment horizontal="right" vertical="bottom"/>
    </xf>
    <xf borderId="48" fillId="9" fontId="5" numFmtId="164" xfId="0" applyAlignment="1" applyBorder="1" applyFill="1" applyFont="1" applyNumberFormat="1">
      <alignment readingOrder="0" vertical="bottom"/>
    </xf>
    <xf borderId="48" fillId="9" fontId="5" numFmtId="164" xfId="0" applyAlignment="1" applyBorder="1" applyFill="1" applyFont="1" applyNumberFormat="1">
      <alignment horizontal="right" readingOrder="0" vertical="bottom"/>
    </xf>
    <xf borderId="48" fillId="9" fontId="5" numFmtId="164" xfId="0" applyAlignment="1" applyBorder="1" applyFill="1" applyFont="1" applyNumberFormat="1">
      <alignment vertical="bottom"/>
    </xf>
    <xf borderId="29" fillId="9" fontId="5" numFmtId="164" xfId="0" applyAlignment="1" applyBorder="1" applyFill="1" applyFont="1" applyNumberFormat="1">
      <alignment horizontal="right" vertical="bottom"/>
    </xf>
    <xf borderId="0" fillId="17" fontId="5" numFmtId="0" xfId="0" applyAlignment="1" applyFill="1" applyFont="1">
      <alignment vertical="bottom"/>
    </xf>
    <xf borderId="0" fillId="17" fontId="5" numFmtId="4" xfId="0" applyAlignment="1" applyFill="1" applyFont="1" applyNumberFormat="1">
      <alignment vertical="bottom"/>
    </xf>
    <xf borderId="0" fillId="0" fontId="5" numFmtId="4" xfId="0" applyAlignment="1" applyFont="1" applyNumberFormat="1">
      <alignment vertical="bottom"/>
    </xf>
    <xf borderId="15" fillId="0" fontId="5" numFmtId="0" xfId="0" applyAlignment="1" applyBorder="1" applyFont="1">
      <alignment readingOrder="0" vertical="bottom"/>
    </xf>
    <xf borderId="48" fillId="9" fontId="15" numFmtId="164" xfId="0" applyAlignment="1" applyBorder="1" applyFill="1" applyFont="1" applyNumberFormat="1">
      <alignment readingOrder="0" vertical="bottom"/>
    </xf>
    <xf borderId="15" fillId="0" fontId="5" numFmtId="164" xfId="0" applyAlignment="1" applyBorder="1" applyFont="1" applyNumberFormat="1">
      <alignment readingOrder="0" vertical="bottom"/>
    </xf>
    <xf borderId="15" fillId="11" fontId="5" numFmtId="0" xfId="0" applyAlignment="1" applyBorder="1" applyFill="1" applyFont="1">
      <alignment vertical="bottom"/>
    </xf>
    <xf borderId="15" fillId="11" fontId="5" numFmtId="166" xfId="0" applyAlignment="1" applyBorder="1" applyFill="1" applyFont="1" applyNumberFormat="1">
      <alignment horizontal="center" readingOrder="0" vertical="bottom"/>
    </xf>
    <xf borderId="15" fillId="11" fontId="5" numFmtId="0" xfId="0" applyAlignment="1" applyBorder="1" applyFill="1" applyFont="1">
      <alignment vertical="bottom"/>
    </xf>
    <xf borderId="15" fillId="11" fontId="5" numFmtId="164" xfId="0" applyAlignment="1" applyBorder="1" applyFill="1" applyFont="1" applyNumberFormat="1">
      <alignment vertical="bottom"/>
    </xf>
    <xf borderId="15" fillId="11" fontId="5" numFmtId="4" xfId="0" applyAlignment="1" applyBorder="1" applyFill="1" applyFont="1" applyNumberFormat="1">
      <alignment vertical="bottom"/>
    </xf>
    <xf borderId="47" fillId="11" fontId="7" numFmtId="164" xfId="0" applyAlignment="1" applyBorder="1" applyFill="1" applyFont="1" applyNumberFormat="1">
      <alignment horizontal="right" vertical="bottom"/>
    </xf>
    <xf borderId="48" fillId="11" fontId="5" numFmtId="164" xfId="0" applyAlignment="1" applyBorder="1" applyFill="1" applyFont="1" applyNumberFormat="1">
      <alignment vertical="bottom"/>
    </xf>
    <xf borderId="29" fillId="11" fontId="5" numFmtId="164" xfId="0" applyAlignment="1" applyBorder="1" applyFill="1" applyFont="1" applyNumberFormat="1">
      <alignment horizontal="right" vertical="bottom"/>
    </xf>
    <xf borderId="29" fillId="0" fontId="24" numFmtId="4" xfId="0" applyAlignment="1" applyBorder="1" applyFont="1" applyNumberFormat="1">
      <alignment readingOrder="0"/>
    </xf>
    <xf borderId="15" fillId="0" fontId="5" numFmtId="164" xfId="0" applyAlignment="1" applyBorder="1" applyFont="1" applyNumberFormat="1">
      <alignment horizontal="right" vertical="bottom"/>
    </xf>
    <xf borderId="15" fillId="11" fontId="5" numFmtId="0" xfId="0" applyAlignment="1" applyBorder="1" applyFill="1" applyFont="1">
      <alignment horizontal="center" readingOrder="0" vertical="bottom"/>
    </xf>
    <xf borderId="29" fillId="11" fontId="23" numFmtId="4" xfId="0" applyAlignment="1" applyBorder="1" applyFill="1" applyFont="1" applyNumberFormat="1">
      <alignment readingOrder="0"/>
    </xf>
    <xf borderId="41" fillId="0" fontId="5" numFmtId="4" xfId="0" applyAlignment="1" applyBorder="1" applyFont="1" applyNumberFormat="1">
      <alignment vertical="bottom"/>
    </xf>
    <xf borderId="41" fillId="0" fontId="5" numFmtId="0" xfId="0" applyAlignment="1" applyBorder="1" applyFont="1">
      <alignment vertical="bottom"/>
    </xf>
    <xf borderId="15" fillId="0" fontId="5" numFmtId="0" xfId="0" applyAlignment="1" applyBorder="1" applyFont="1">
      <alignment vertical="bottom"/>
    </xf>
    <xf borderId="47" fillId="11" fontId="17" numFmtId="0" xfId="0" applyBorder="1" applyFill="1" applyFont="1"/>
    <xf borderId="47" fillId="11" fontId="5" numFmtId="0" xfId="0" applyAlignment="1" applyBorder="1" applyFill="1" applyFont="1">
      <alignment horizontal="center" readingOrder="0"/>
    </xf>
    <xf borderId="0" fillId="17" fontId="5" numFmtId="164" xfId="0" applyAlignment="1" applyFill="1" applyFont="1" applyNumberFormat="1">
      <alignment vertical="bottom"/>
    </xf>
    <xf borderId="0" fillId="17" fontId="5" numFmtId="164" xfId="0" applyAlignment="1" applyFill="1" applyFont="1" applyNumberFormat="1">
      <alignment horizontal="right" vertical="bottom"/>
    </xf>
    <xf borderId="47" fillId="11" fontId="5" numFmtId="164" xfId="0" applyAlignment="1" applyBorder="1" applyFill="1" applyFont="1" applyNumberFormat="1">
      <alignment readingOrder="0"/>
    </xf>
    <xf borderId="47" fillId="11" fontId="5" numFmtId="164" xfId="0" applyBorder="1" applyFill="1" applyFont="1" applyNumberFormat="1"/>
    <xf borderId="51" fillId="12" fontId="6" numFmtId="0" xfId="0" applyAlignment="1" applyBorder="1" applyFill="1" applyFont="1">
      <alignment readingOrder="0" vertical="bottom"/>
    </xf>
    <xf borderId="51" fillId="12" fontId="6" numFmtId="0" xfId="0" applyAlignment="1" applyBorder="1" applyFill="1" applyFont="1">
      <alignment horizontal="center" vertical="bottom"/>
    </xf>
    <xf borderId="51" fillId="12" fontId="6" numFmtId="164" xfId="0" applyAlignment="1" applyBorder="1" applyFill="1" applyFont="1" applyNumberFormat="1">
      <alignment horizontal="center" vertical="bottom"/>
    </xf>
    <xf borderId="0" fillId="3" fontId="16" numFmtId="4" xfId="0" applyFill="1" applyFont="1" applyNumberFormat="1"/>
    <xf borderId="51" fillId="12" fontId="19" numFmtId="164" xfId="0" applyAlignment="1" applyBorder="1" applyFill="1" applyFont="1" applyNumberFormat="1">
      <alignment horizontal="center" vertical="bottom"/>
    </xf>
    <xf borderId="29" fillId="0" fontId="24" numFmtId="166" xfId="0" applyAlignment="1" applyBorder="1" applyFont="1" applyNumberFormat="1">
      <alignment horizontal="center" readingOrder="0"/>
    </xf>
    <xf borderId="51" fillId="12" fontId="5" numFmtId="164" xfId="0" applyAlignment="1" applyBorder="1" applyFill="1" applyFont="1" applyNumberFormat="1">
      <alignment vertical="bottom"/>
    </xf>
    <xf borderId="48" fillId="9" fontId="7" numFmtId="164" xfId="0" applyAlignment="1" applyBorder="1" applyFill="1" applyFont="1" applyNumberFormat="1">
      <alignment readingOrder="0" vertical="bottom"/>
    </xf>
    <xf borderId="48" fillId="9" fontId="28" numFmtId="164" xfId="0" applyAlignment="1" applyBorder="1" applyFill="1" applyFont="1" applyNumberFormat="1">
      <alignment readingOrder="0" vertical="bottom"/>
    </xf>
    <xf borderId="15" fillId="0" fontId="5" numFmtId="4" xfId="0" applyAlignment="1" applyBorder="1" applyFont="1" applyNumberFormat="1">
      <alignment readingOrder="0" vertical="bottom"/>
    </xf>
    <xf borderId="48" fillId="11" fontId="28" numFmtId="164" xfId="0" applyAlignment="1" applyBorder="1" applyFill="1" applyFont="1" applyNumberFormat="1">
      <alignment vertical="bottom"/>
    </xf>
    <xf borderId="29" fillId="0" fontId="23" numFmtId="0" xfId="0" applyAlignment="1" applyBorder="1" applyFont="1">
      <alignment horizontal="center" readingOrder="0"/>
    </xf>
    <xf borderId="48" fillId="9" fontId="15" numFmtId="164" xfId="0" applyAlignment="1" applyBorder="1" applyFill="1" applyFont="1" applyNumberFormat="1">
      <alignment horizontal="right" readingOrder="0" vertical="bottom"/>
    </xf>
    <xf borderId="48" fillId="9" fontId="7" numFmtId="164" xfId="0" applyAlignment="1" applyBorder="1" applyFill="1" applyFont="1" applyNumberFormat="1">
      <alignment vertical="bottom"/>
    </xf>
    <xf borderId="48" fillId="11" fontId="7" numFmtId="164" xfId="0" applyAlignment="1" applyBorder="1" applyFill="1" applyFont="1" applyNumberFormat="1">
      <alignment vertical="bottom"/>
    </xf>
    <xf borderId="29" fillId="0" fontId="23" numFmtId="4" xfId="0" applyAlignment="1" applyBorder="1" applyFont="1" applyNumberFormat="1">
      <alignment readingOrder="0"/>
    </xf>
    <xf borderId="0" fillId="3" fontId="23" numFmtId="4" xfId="0" applyFill="1" applyFont="1" applyNumberFormat="1"/>
    <xf borderId="15" fillId="11" fontId="5" numFmtId="164" xfId="0" applyAlignment="1" applyBorder="1" applyFill="1" applyFont="1" applyNumberFormat="1">
      <alignment readingOrder="0" vertical="bottom"/>
    </xf>
    <xf borderId="48" fillId="11" fontId="5" numFmtId="164" xfId="0" applyAlignment="1" applyBorder="1" applyFill="1" applyFont="1" applyNumberFormat="1">
      <alignment readingOrder="0" vertical="bottom"/>
    </xf>
    <xf borderId="48" fillId="11" fontId="15" numFmtId="164" xfId="0" applyAlignment="1" applyBorder="1" applyFill="1" applyFont="1" applyNumberFormat="1">
      <alignment vertical="bottom"/>
    </xf>
    <xf borderId="0" fillId="0" fontId="15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5" numFmtId="164" xfId="0" applyFont="1" applyNumberFormat="1"/>
    <xf borderId="0" fillId="0" fontId="7" numFmtId="0" xfId="0" applyFont="1"/>
    <xf borderId="1" fillId="18" fontId="6" numFmtId="0" xfId="0" applyBorder="1" applyFill="1" applyFont="1"/>
    <xf borderId="3" fillId="18" fontId="5" numFmtId="0" xfId="0" applyAlignment="1" applyBorder="1" applyFill="1" applyFont="1">
      <alignment horizontal="center"/>
    </xf>
    <xf borderId="3" fillId="18" fontId="6" numFmtId="164" xfId="0" applyBorder="1" applyFill="1" applyFont="1" applyNumberFormat="1"/>
    <xf borderId="4" fillId="18" fontId="5" numFmtId="0" xfId="0" applyBorder="1" applyFill="1" applyFont="1"/>
    <xf borderId="3" fillId="18" fontId="5" numFmtId="164" xfId="0" applyBorder="1" applyFill="1" applyFont="1" applyNumberFormat="1"/>
    <xf borderId="11" fillId="18" fontId="5" numFmtId="164" xfId="0" applyBorder="1" applyFill="1" applyFont="1" applyNumberFormat="1"/>
    <xf borderId="53" fillId="19" fontId="2" numFmtId="164" xfId="0" applyAlignment="1" applyBorder="1" applyFill="1" applyFont="1" applyNumberFormat="1">
      <alignment horizontal="center" vertical="center"/>
    </xf>
    <xf borderId="54" fillId="20" fontId="6" numFmtId="0" xfId="0" applyAlignment="1" applyBorder="1" applyFill="1" applyFont="1">
      <alignment horizontal="center"/>
    </xf>
    <xf borderId="55" fillId="0" fontId="10" numFmtId="0" xfId="0" applyBorder="1" applyFont="1"/>
    <xf borderId="56" fillId="0" fontId="10" numFmtId="0" xfId="0" applyBorder="1" applyFont="1"/>
    <xf borderId="40" fillId="18" fontId="2" numFmtId="0" xfId="0" applyAlignment="1" applyBorder="1" applyFill="1" applyFont="1">
      <alignment horizontal="center" vertical="center"/>
    </xf>
    <xf borderId="15" fillId="18" fontId="2" numFmtId="164" xfId="0" applyAlignment="1" applyBorder="1" applyFill="1" applyFont="1" applyNumberFormat="1">
      <alignment horizontal="center" vertical="center"/>
    </xf>
    <xf borderId="16" fillId="2" fontId="9" numFmtId="0" xfId="0" applyAlignment="1" applyBorder="1" applyFill="1" applyFont="1">
      <alignment horizontal="center" vertical="center"/>
    </xf>
    <xf borderId="15" fillId="18" fontId="2" numFmtId="164" xfId="0" applyAlignment="1" applyBorder="1" applyFill="1" applyFont="1" applyNumberFormat="1">
      <alignment horizontal="center" shrinkToFit="0" vertical="center" wrapText="1"/>
    </xf>
    <xf borderId="57" fillId="18" fontId="2" numFmtId="164" xfId="0" applyAlignment="1" applyBorder="1" applyFill="1" applyFont="1" applyNumberFormat="1">
      <alignment horizontal="center" vertical="center"/>
    </xf>
    <xf borderId="58" fillId="0" fontId="10" numFmtId="0" xfId="0" applyBorder="1" applyFont="1"/>
    <xf borderId="59" fillId="0" fontId="10" numFmtId="0" xfId="0" applyBorder="1" applyFont="1"/>
    <xf borderId="23" fillId="20" fontId="13" numFmtId="164" xfId="0" applyAlignment="1" applyBorder="1" applyFill="1" applyFont="1" applyNumberFormat="1">
      <alignment horizontal="center" shrinkToFit="0" vertical="center" wrapText="1"/>
    </xf>
    <xf borderId="15" fillId="20" fontId="13" numFmtId="4" xfId="0" applyAlignment="1" applyBorder="1" applyFill="1" applyFont="1" applyNumberFormat="1">
      <alignment horizontal="center" vertical="center"/>
    </xf>
    <xf borderId="15" fillId="20" fontId="13" numFmtId="164" xfId="0" applyAlignment="1" applyBorder="1" applyFill="1" applyFont="1" applyNumberFormat="1">
      <alignment horizontal="center" shrinkToFit="0" vertical="center" wrapText="1"/>
    </xf>
    <xf borderId="19" fillId="20" fontId="13" numFmtId="164" xfId="0" applyAlignment="1" applyBorder="1" applyFill="1" applyFont="1" applyNumberFormat="1">
      <alignment horizontal="center" vertical="center"/>
    </xf>
    <xf borderId="25" fillId="18" fontId="2" numFmtId="164" xfId="0" applyAlignment="1" applyBorder="1" applyFill="1" applyFont="1" applyNumberFormat="1">
      <alignment vertical="center"/>
    </xf>
    <xf borderId="60" fillId="18" fontId="2" numFmtId="0" xfId="0" applyAlignment="1" applyBorder="1" applyFill="1" applyFont="1">
      <alignment vertical="center"/>
    </xf>
    <xf borderId="47" fillId="0" fontId="10" numFmtId="0" xfId="0" applyBorder="1" applyFont="1"/>
    <xf borderId="26" fillId="18" fontId="29" numFmtId="164" xfId="0" applyAlignment="1" applyBorder="1" applyFill="1" applyFont="1" applyNumberFormat="1">
      <alignment horizontal="center" vertical="center"/>
    </xf>
    <xf borderId="31" fillId="18" fontId="2" numFmtId="164" xfId="0" applyAlignment="1" applyBorder="1" applyFill="1" applyFont="1" applyNumberFormat="1">
      <alignment horizontal="center" vertical="center"/>
    </xf>
    <xf borderId="32" fillId="20" fontId="2" numFmtId="164" xfId="0" applyAlignment="1" applyBorder="1" applyFill="1" applyFont="1" applyNumberFormat="1">
      <alignment horizontal="center" vertical="center"/>
    </xf>
    <xf borderId="61" fillId="0" fontId="10" numFmtId="0" xfId="0" applyBorder="1" applyFont="1"/>
    <xf borderId="49" fillId="0" fontId="10" numFmtId="0" xfId="0" applyBorder="1" applyFont="1"/>
    <xf borderId="62" fillId="0" fontId="10" numFmtId="0" xfId="0" applyBorder="1" applyFont="1"/>
    <xf borderId="29" fillId="0" fontId="6" numFmtId="0" xfId="0" applyBorder="1" applyFont="1"/>
    <xf borderId="29" fillId="0" fontId="5" numFmtId="166" xfId="0" applyAlignment="1" applyBorder="1" applyFont="1" applyNumberFormat="1">
      <alignment horizontal="center"/>
    </xf>
    <xf borderId="29" fillId="0" fontId="5" numFmtId="0" xfId="0" applyBorder="1" applyFont="1"/>
    <xf borderId="48" fillId="9" fontId="7" numFmtId="164" xfId="0" applyAlignment="1" applyBorder="1" applyFill="1" applyFont="1" applyNumberFormat="1">
      <alignment horizontal="right" readingOrder="0" vertical="bottom"/>
    </xf>
    <xf borderId="29" fillId="21" fontId="5" numFmtId="164" xfId="0" applyBorder="1" applyFill="1" applyFont="1" applyNumberFormat="1"/>
    <xf borderId="29" fillId="21" fontId="5" numFmtId="4" xfId="0" applyBorder="1" applyFill="1" applyFont="1" applyNumberFormat="1"/>
    <xf borderId="29" fillId="21" fontId="5" numFmtId="0" xfId="0" applyBorder="1" applyFill="1" applyFont="1"/>
    <xf borderId="29" fillId="11" fontId="5" numFmtId="0" xfId="0" applyBorder="1" applyFill="1" applyFont="1"/>
    <xf borderId="29" fillId="11" fontId="5" numFmtId="166" xfId="0" applyAlignment="1" applyBorder="1" applyFill="1" applyFont="1" applyNumberFormat="1">
      <alignment horizontal="center"/>
    </xf>
    <xf borderId="29" fillId="11" fontId="5" numFmtId="4" xfId="0" applyBorder="1" applyFill="1" applyFont="1" applyNumberFormat="1"/>
    <xf quotePrefix="1" borderId="29" fillId="0" fontId="5" numFmtId="0" xfId="0" applyAlignment="1" applyBorder="1" applyFont="1">
      <alignment horizontal="center"/>
    </xf>
    <xf borderId="15" fillId="21" fontId="5" numFmtId="164" xfId="0" applyBorder="1" applyFill="1" applyFont="1" applyNumberFormat="1"/>
    <xf borderId="15" fillId="21" fontId="5" numFmtId="4" xfId="0" applyBorder="1" applyFill="1" applyFont="1" applyNumberFormat="1"/>
    <xf borderId="15" fillId="21" fontId="5" numFmtId="0" xfId="0" applyBorder="1" applyFill="1" applyFont="1"/>
    <xf borderId="0" fillId="14" fontId="16" numFmtId="0" xfId="0" applyAlignment="1" applyFill="1" applyFont="1">
      <alignment readingOrder="0"/>
    </xf>
    <xf borderId="0" fillId="14" fontId="23" numFmtId="4" xfId="0" applyAlignment="1" applyFill="1" applyFont="1" applyNumberFormat="1">
      <alignment readingOrder="0"/>
    </xf>
    <xf quotePrefix="1" borderId="15" fillId="11" fontId="5" numFmtId="0" xfId="0" applyAlignment="1" applyBorder="1" applyFill="1" applyFont="1">
      <alignment horizontal="center"/>
    </xf>
    <xf borderId="63" fillId="0" fontId="5" numFmtId="0" xfId="0" applyBorder="1" applyFont="1"/>
    <xf borderId="42" fillId="0" fontId="5" numFmtId="164" xfId="0" applyBorder="1" applyFont="1" applyNumberFormat="1"/>
    <xf borderId="15" fillId="21" fontId="5" numFmtId="164" xfId="0" applyAlignment="1" applyBorder="1" applyFill="1" applyFont="1" applyNumberFormat="1">
      <alignment readingOrder="0"/>
    </xf>
    <xf borderId="15" fillId="21" fontId="5" numFmtId="4" xfId="0" applyAlignment="1" applyBorder="1" applyFill="1" applyFont="1" applyNumberFormat="1">
      <alignment readingOrder="0"/>
    </xf>
    <xf borderId="15" fillId="21" fontId="5" numFmtId="0" xfId="0" applyAlignment="1" applyBorder="1" applyFill="1" applyFont="1">
      <alignment readingOrder="0"/>
    </xf>
    <xf borderId="15" fillId="21" fontId="7" numFmtId="164" xfId="0" applyBorder="1" applyFill="1" applyFont="1" applyNumberFormat="1"/>
    <xf borderId="29" fillId="0" fontId="23" numFmtId="0" xfId="0" applyAlignment="1" applyBorder="1" applyFont="1">
      <alignment readingOrder="0"/>
    </xf>
    <xf borderId="29" fillId="0" fontId="23" numFmtId="166" xfId="0" applyAlignment="1" applyBorder="1" applyFont="1" applyNumberFormat="1">
      <alignment horizontal="center" readingOrder="0"/>
    </xf>
    <xf borderId="29" fillId="0" fontId="23" numFmtId="4" xfId="0" applyBorder="1" applyFont="1" applyNumberFormat="1"/>
    <xf borderId="29" fillId="0" fontId="25" numFmtId="164" xfId="0" applyBorder="1" applyFont="1" applyNumberFormat="1"/>
    <xf borderId="29" fillId="14" fontId="23" numFmtId="4" xfId="0" applyAlignment="1" applyBorder="1" applyFill="1" applyFont="1" applyNumberFormat="1">
      <alignment readingOrder="0" shrinkToFit="0" wrapText="0"/>
    </xf>
    <xf borderId="29" fillId="14" fontId="15" numFmtId="164" xfId="0" applyBorder="1" applyFill="1" applyFont="1" applyNumberFormat="1"/>
    <xf borderId="29" fillId="14" fontId="23" numFmtId="0" xfId="0" applyAlignment="1" applyBorder="1" applyFill="1" applyFont="1">
      <alignment readingOrder="0"/>
    </xf>
    <xf borderId="29" fillId="11" fontId="23" numFmtId="0" xfId="0" applyAlignment="1" applyBorder="1" applyFill="1" applyFont="1">
      <alignment readingOrder="0"/>
    </xf>
    <xf borderId="29" fillId="11" fontId="23" numFmtId="166" xfId="0" applyAlignment="1" applyBorder="1" applyFill="1" applyFont="1" applyNumberFormat="1">
      <alignment horizontal="center" readingOrder="0"/>
    </xf>
    <xf borderId="51" fillId="19" fontId="6" numFmtId="0" xfId="0" applyBorder="1" applyFill="1" applyFont="1"/>
    <xf borderId="29" fillId="11" fontId="23" numFmtId="0" xfId="0" applyAlignment="1" applyBorder="1" applyFill="1" applyFont="1">
      <alignment horizontal="center" readingOrder="0"/>
    </xf>
    <xf borderId="51" fillId="19" fontId="6" numFmtId="0" xfId="0" applyAlignment="1" applyBorder="1" applyFill="1" applyFont="1">
      <alignment horizontal="center"/>
    </xf>
    <xf borderId="29" fillId="11" fontId="23" numFmtId="4" xfId="0" applyBorder="1" applyFill="1" applyFont="1" applyNumberFormat="1"/>
    <xf borderId="51" fillId="19" fontId="6" numFmtId="164" xfId="0" applyAlignment="1" applyBorder="1" applyFill="1" applyFont="1" applyNumberFormat="1">
      <alignment horizontal="center"/>
    </xf>
    <xf borderId="29" fillId="11" fontId="25" numFmtId="164" xfId="0" applyBorder="1" applyFill="1" applyFont="1" applyNumberFormat="1"/>
    <xf borderId="29" fillId="11" fontId="23" numFmtId="4" xfId="0" applyAlignment="1" applyBorder="1" applyFill="1" applyFont="1" applyNumberFormat="1">
      <alignment readingOrder="0" shrinkToFit="0" wrapText="0"/>
    </xf>
    <xf borderId="51" fillId="19" fontId="6" numFmtId="4" xfId="0" applyAlignment="1" applyBorder="1" applyFill="1" applyFont="1" applyNumberFormat="1">
      <alignment horizontal="center"/>
    </xf>
    <xf borderId="51" fillId="19" fontId="30" numFmtId="164" xfId="0" applyAlignment="1" applyBorder="1" applyFill="1" applyFont="1" applyNumberFormat="1">
      <alignment horizontal="center"/>
    </xf>
    <xf borderId="51" fillId="19" fontId="5" numFmtId="0" xfId="0" applyBorder="1" applyFill="1" applyFont="1"/>
    <xf borderId="29" fillId="21" fontId="5" numFmtId="164" xfId="0" applyAlignment="1" applyBorder="1" applyFill="1" applyFont="1" applyNumberFormat="1">
      <alignment readingOrder="0"/>
    </xf>
    <xf borderId="0" fillId="17" fontId="5" numFmtId="0" xfId="0" applyAlignment="1" applyFill="1" applyFont="1">
      <alignment readingOrder="0" vertical="bottom"/>
    </xf>
    <xf borderId="0" fillId="0" fontId="16" numFmtId="0" xfId="0" applyFont="1"/>
    <xf borderId="0" fillId="17" fontId="5" numFmtId="4" xfId="0" applyAlignment="1" applyFill="1" applyFont="1" applyNumberFormat="1">
      <alignment readingOrder="0" vertical="bottom"/>
    </xf>
    <xf borderId="0" fillId="0" fontId="5" numFmtId="4" xfId="0" applyAlignment="1" applyFont="1" applyNumberFormat="1">
      <alignment readingOrder="0"/>
    </xf>
    <xf borderId="0" fillId="0" fontId="6" numFmtId="4" xfId="0" applyFont="1" applyNumberFormat="1"/>
    <xf borderId="0" fillId="0" fontId="9" numFmtId="0" xfId="0" applyFont="1"/>
    <xf borderId="29" fillId="0" fontId="5" numFmtId="0" xfId="0" applyAlignment="1" applyBorder="1" applyFont="1">
      <alignment horizontal="center" readingOrder="0" vertical="bottom"/>
    </xf>
    <xf borderId="29" fillId="0" fontId="23" numFmtId="0" xfId="0" applyBorder="1" applyFont="1"/>
    <xf borderId="15" fillId="11" fontId="5" numFmtId="164" xfId="0" applyAlignment="1" applyBorder="1" applyFill="1" applyFont="1" applyNumberFormat="1">
      <alignment horizontal="right" readingOrder="0" vertical="bottom"/>
    </xf>
    <xf borderId="15" fillId="11" fontId="5" numFmtId="0" xfId="0" applyAlignment="1" applyBorder="1" applyFill="1" applyFont="1">
      <alignment readingOrder="0" vertical="bottom"/>
    </xf>
    <xf borderId="48" fillId="11" fontId="15" numFmtId="164" xfId="0" applyAlignment="1" applyBorder="1" applyFill="1" applyFont="1" applyNumberFormat="1">
      <alignment readingOrder="0" vertical="bottom"/>
    </xf>
    <xf borderId="48" fillId="11" fontId="5" numFmtId="164" xfId="0" applyAlignment="1" applyBorder="1" applyFill="1" applyFont="1" applyNumberFormat="1">
      <alignment horizontal="right" readingOrder="0" vertical="bottom"/>
    </xf>
    <xf borderId="29" fillId="0" fontId="6" numFmtId="0" xfId="0" applyAlignment="1" applyBorder="1" applyFont="1">
      <alignment readingOrder="0"/>
    </xf>
    <xf borderId="29" fillId="0" fontId="5" numFmtId="166" xfId="0" applyAlignment="1" applyBorder="1" applyFont="1" applyNumberFormat="1">
      <alignment horizontal="center" readingOrder="0"/>
    </xf>
    <xf borderId="29" fillId="14" fontId="23" numFmtId="4" xfId="0" applyAlignment="1" applyBorder="1" applyFill="1" applyFont="1" applyNumberFormat="1">
      <alignment shrinkToFit="0" wrapText="0"/>
    </xf>
    <xf borderId="29" fillId="0" fontId="23" numFmtId="0" xfId="0" applyAlignment="1" applyBorder="1" applyFont="1">
      <alignment horizontal="center"/>
    </xf>
    <xf borderId="29" fillId="11" fontId="5" numFmtId="166" xfId="0" applyAlignment="1" applyBorder="1" applyFill="1" applyFont="1" applyNumberFormat="1">
      <alignment horizontal="center" readingOrder="0"/>
    </xf>
    <xf borderId="29" fillId="14" fontId="15" numFmtId="4" xfId="0" applyAlignment="1" applyBorder="1" applyFill="1" applyFont="1" applyNumberFormat="1">
      <alignment horizontal="right" readingOrder="0" vertical="bottom"/>
    </xf>
    <xf borderId="0" fillId="3" fontId="31" numFmtId="0" xfId="0" applyAlignment="1" applyFill="1" applyFont="1">
      <alignment readingOrder="0"/>
    </xf>
    <xf borderId="0" fillId="3" fontId="31" numFmtId="0" xfId="0" applyAlignment="1" applyFill="1" applyFont="1">
      <alignment horizontal="center"/>
    </xf>
    <xf borderId="0" fillId="3" fontId="24" numFmtId="0" xfId="0" applyAlignment="1" applyFill="1" applyFont="1">
      <alignment horizontal="center"/>
    </xf>
    <xf borderId="0" fillId="3" fontId="32" numFmtId="4" xfId="0" applyFill="1" applyFont="1" applyNumberFormat="1"/>
    <xf borderId="0" fillId="3" fontId="24" numFmtId="164" xfId="0" applyFill="1" applyFont="1" applyNumberFormat="1"/>
    <xf borderId="0" fillId="3" fontId="24" numFmtId="0" xfId="0" applyFill="1" applyFont="1"/>
    <xf borderId="29" fillId="0" fontId="5" numFmtId="0" xfId="0" applyAlignment="1" applyBorder="1" applyFont="1">
      <alignment vertical="bottom"/>
    </xf>
    <xf borderId="29" fillId="0" fontId="5" numFmtId="166" xfId="0" applyAlignment="1" applyBorder="1" applyFont="1" applyNumberFormat="1">
      <alignment horizontal="center" readingOrder="0" vertical="bottom"/>
    </xf>
    <xf borderId="29" fillId="0" fontId="5" numFmtId="4" xfId="0" applyAlignment="1" applyBorder="1" applyFont="1" applyNumberFormat="1">
      <alignment horizontal="right" readingOrder="0" vertical="bottom"/>
    </xf>
    <xf borderId="29" fillId="0" fontId="5" numFmtId="4" xfId="0" applyAlignment="1" applyBorder="1" applyFont="1" applyNumberFormat="1">
      <alignment vertical="bottom"/>
    </xf>
    <xf borderId="29" fillId="21" fontId="5" numFmtId="0" xfId="0" applyAlignment="1" applyBorder="1" applyFill="1" applyFont="1">
      <alignment readingOrder="0"/>
    </xf>
    <xf borderId="29" fillId="0" fontId="25" numFmtId="164" xfId="0" applyAlignment="1" applyBorder="1" applyFont="1" applyNumberFormat="1">
      <alignment horizontal="right" vertical="bottom"/>
    </xf>
    <xf borderId="29" fillId="14" fontId="5" numFmtId="4" xfId="0" applyAlignment="1" applyBorder="1" applyFill="1" applyFont="1" applyNumberFormat="1">
      <alignment horizontal="right" readingOrder="0" vertical="bottom"/>
    </xf>
    <xf borderId="29" fillId="14" fontId="5" numFmtId="4" xfId="0" applyAlignment="1" applyBorder="1" applyFill="1" applyFont="1" applyNumberFormat="1">
      <alignment vertical="bottom"/>
    </xf>
    <xf borderId="29" fillId="14" fontId="5" numFmtId="164" xfId="0" applyAlignment="1" applyBorder="1" applyFill="1" applyFont="1" applyNumberFormat="1">
      <alignment horizontal="right" vertical="bottom"/>
    </xf>
    <xf borderId="29" fillId="14" fontId="5" numFmtId="0" xfId="0" applyAlignment="1" applyBorder="1" applyFill="1" applyFont="1">
      <alignment vertical="bottom"/>
    </xf>
    <xf borderId="29" fillId="0" fontId="5" numFmtId="0" xfId="0" applyAlignment="1" applyBorder="1" applyFont="1">
      <alignment horizontal="center" vertical="bottom"/>
    </xf>
    <xf borderId="29" fillId="0" fontId="5" numFmtId="4" xfId="0" applyAlignment="1" applyBorder="1" applyFont="1" applyNumberFormat="1">
      <alignment readingOrder="0" vertical="bottom"/>
    </xf>
    <xf borderId="29" fillId="14" fontId="5" numFmtId="4" xfId="0" applyAlignment="1" applyBorder="1" applyFill="1" applyFont="1" applyNumberFormat="1">
      <alignment horizontal="right" vertical="bottom"/>
    </xf>
    <xf borderId="29" fillId="11" fontId="5" numFmtId="0" xfId="0" applyAlignment="1" applyBorder="1" applyFill="1" applyFont="1">
      <alignment vertical="bottom"/>
    </xf>
    <xf borderId="29" fillId="11" fontId="5" numFmtId="166" xfId="0" applyAlignment="1" applyBorder="1" applyFill="1" applyFont="1" applyNumberFormat="1">
      <alignment horizontal="center" readingOrder="0" vertical="bottom"/>
    </xf>
    <xf borderId="29" fillId="11" fontId="5" numFmtId="0" xfId="0" applyAlignment="1" applyBorder="1" applyFill="1" applyFont="1">
      <alignment vertical="bottom"/>
    </xf>
    <xf borderId="29" fillId="11" fontId="5" numFmtId="4" xfId="0" applyAlignment="1" applyBorder="1" applyFill="1" applyFont="1" applyNumberFormat="1">
      <alignment vertical="bottom"/>
    </xf>
    <xf borderId="29" fillId="11" fontId="25" numFmtId="164" xfId="0" applyAlignment="1" applyBorder="1" applyFill="1" applyFont="1" applyNumberFormat="1">
      <alignment horizontal="right" vertical="bottom"/>
    </xf>
    <xf borderId="29" fillId="11" fontId="15" numFmtId="4" xfId="0" applyAlignment="1" applyBorder="1" applyFill="1" applyFont="1" applyNumberFormat="1">
      <alignment vertical="bottom"/>
    </xf>
    <xf borderId="29" fillId="0" fontId="15" numFmtId="4" xfId="0" applyAlignment="1" applyBorder="1" applyFont="1" applyNumberFormat="1">
      <alignment vertical="bottom"/>
    </xf>
    <xf borderId="29" fillId="14" fontId="5" numFmtId="4" xfId="0" applyAlignment="1" applyBorder="1" applyFill="1" applyFont="1" applyNumberFormat="1">
      <alignment readingOrder="0" vertical="bottom"/>
    </xf>
    <xf borderId="29" fillId="14" fontId="5" numFmtId="0" xfId="0" applyAlignment="1" applyBorder="1" applyFill="1" applyFont="1">
      <alignment readingOrder="0" vertical="bottom"/>
    </xf>
    <xf borderId="29" fillId="0" fontId="15" numFmtId="4" xfId="0" applyAlignment="1" applyBorder="1" applyFont="1" applyNumberFormat="1">
      <alignment readingOrder="0" vertical="bottom"/>
    </xf>
    <xf borderId="29" fillId="21" fontId="5" numFmtId="4" xfId="0" applyAlignment="1" applyBorder="1" applyFill="1" applyFont="1" applyNumberFormat="1">
      <alignment readingOrder="0"/>
    </xf>
    <xf borderId="29" fillId="11" fontId="5" numFmtId="4" xfId="0" applyAlignment="1" applyBorder="1" applyFill="1" applyFont="1" applyNumberFormat="1">
      <alignment readingOrder="0" vertical="bottom"/>
    </xf>
    <xf borderId="29" fillId="11" fontId="5" numFmtId="0" xfId="0" applyAlignment="1" applyBorder="1" applyFill="1" applyFont="1">
      <alignment readingOrder="0" vertical="bottom"/>
    </xf>
    <xf borderId="29" fillId="14" fontId="15" numFmtId="4" xfId="0" applyAlignment="1" applyBorder="1" applyFill="1" applyFont="1" applyNumberFormat="1">
      <alignment horizontal="right" vertical="bottom"/>
    </xf>
    <xf borderId="51" fillId="19" fontId="6" numFmtId="0" xfId="0" applyAlignment="1" applyBorder="1" applyFill="1" applyFont="1">
      <alignment readingOrder="0"/>
    </xf>
    <xf borderId="29" fillId="0" fontId="5" numFmtId="0" xfId="0" applyAlignment="1" applyBorder="1" applyFont="1">
      <alignment readingOrder="0"/>
    </xf>
    <xf borderId="29" fillId="11" fontId="5" numFmtId="0" xfId="0" applyAlignment="1" applyBorder="1" applyFill="1" applyFont="1">
      <alignment horizontal="center" readingOrder="0" vertical="bottom"/>
    </xf>
    <xf borderId="29" fillId="0" fontId="5" numFmtId="4" xfId="0" applyAlignment="1" applyBorder="1" applyFont="1" applyNumberFormat="1">
      <alignment horizontal="right" vertical="bottom"/>
    </xf>
    <xf borderId="29" fillId="21" fontId="15" numFmtId="164" xfId="0" applyAlignment="1" applyBorder="1" applyFill="1" applyFont="1" applyNumberFormat="1">
      <alignment readingOrder="0"/>
    </xf>
    <xf borderId="29" fillId="0" fontId="5" numFmtId="0" xfId="0" applyAlignment="1" applyBorder="1" applyFont="1">
      <alignment vertical="bottom"/>
    </xf>
    <xf borderId="29" fillId="0" fontId="25" numFmtId="164" xfId="0" applyAlignment="1" applyBorder="1" applyFont="1" applyNumberFormat="1">
      <alignment vertical="bottom"/>
    </xf>
    <xf borderId="29" fillId="14" fontId="15" numFmtId="4" xfId="0" applyAlignment="1" applyBorder="1" applyFill="1" applyFont="1" applyNumberFormat="1">
      <alignment vertical="bottom"/>
    </xf>
    <xf borderId="29" fillId="0" fontId="5" numFmtId="164" xfId="0" applyAlignment="1" applyBorder="1" applyFont="1" applyNumberFormat="1">
      <alignment vertical="bottom"/>
    </xf>
    <xf borderId="0" fillId="3" fontId="3" numFmtId="0" xfId="0" applyAlignment="1" applyFill="1" applyFont="1">
      <alignment readingOrder="0" vertical="bottom"/>
    </xf>
    <xf borderId="0" fillId="3" fontId="3" numFmtId="0" xfId="0" applyAlignment="1" applyFill="1" applyFont="1">
      <alignment horizontal="center" vertical="bottom"/>
    </xf>
    <xf borderId="0" fillId="3" fontId="33" numFmtId="0" xfId="0" applyAlignment="1" applyFill="1" applyFont="1">
      <alignment horizontal="center" vertical="bottom"/>
    </xf>
    <xf borderId="0" fillId="3" fontId="33" numFmtId="4" xfId="0" applyAlignment="1" applyFill="1" applyFont="1" applyNumberFormat="1">
      <alignment horizontal="right" vertical="bottom"/>
    </xf>
    <xf borderId="0" fillId="3" fontId="7" numFmtId="4" xfId="0" applyAlignment="1" applyFill="1" applyFont="1" applyNumberFormat="1">
      <alignment horizontal="right" vertical="bottom"/>
    </xf>
    <xf borderId="0" fillId="3" fontId="33" numFmtId="164" xfId="0" applyAlignment="1" applyFill="1" applyFont="1" applyNumberFormat="1">
      <alignment horizontal="right" vertical="bottom"/>
    </xf>
    <xf borderId="0" fillId="3" fontId="5" numFmtId="0" xfId="0" applyAlignment="1" applyFill="1" applyFont="1">
      <alignment vertical="bottom"/>
    </xf>
    <xf borderId="29" fillId="0" fontId="5" numFmtId="0" xfId="0" applyAlignment="1" applyBorder="1" applyFont="1">
      <alignment readingOrder="0" vertical="bottom"/>
    </xf>
    <xf borderId="51" fillId="19" fontId="5" numFmtId="164" xfId="0" applyAlignment="1" applyBorder="1" applyFill="1" applyFont="1" applyNumberFormat="1">
      <alignment horizontal="center"/>
    </xf>
    <xf borderId="29" fillId="11" fontId="5" numFmtId="167" xfId="0" applyAlignment="1" applyBorder="1" applyFill="1" applyFont="1" applyNumberFormat="1">
      <alignment readingOrder="0" vertical="bottom"/>
    </xf>
    <xf borderId="29" fillId="11" fontId="15" numFmtId="4" xfId="0" applyAlignment="1" applyBorder="1" applyFill="1" applyFont="1" applyNumberFormat="1">
      <alignment readingOrder="0" vertical="bottom"/>
    </xf>
    <xf borderId="29" fillId="21" fontId="15" numFmtId="4" xfId="0" applyBorder="1" applyFill="1" applyFont="1" applyNumberFormat="1"/>
    <xf borderId="29" fillId="21" fontId="15" numFmtId="164" xfId="0" applyBorder="1" applyFill="1" applyFont="1" applyNumberFormat="1"/>
    <xf borderId="29" fillId="21" fontId="15" numFmtId="0" xfId="0" applyAlignment="1" applyBorder="1" applyFill="1" applyFont="1">
      <alignment readingOrder="0"/>
    </xf>
    <xf borderId="29" fillId="11" fontId="5" numFmtId="0" xfId="0" applyAlignment="1" applyBorder="1" applyFill="1" applyFont="1">
      <alignment readingOrder="0"/>
    </xf>
    <xf borderId="29" fillId="14" fontId="7" numFmtId="4" xfId="0" applyAlignment="1" applyBorder="1" applyFill="1" applyFont="1" applyNumberFormat="1">
      <alignment horizontal="right" readingOrder="0" vertical="bottom"/>
    </xf>
    <xf borderId="29" fillId="11" fontId="7" numFmtId="4" xfId="0" applyAlignment="1" applyBorder="1" applyFill="1" applyFont="1" applyNumberFormat="1">
      <alignment vertical="bottom"/>
    </xf>
    <xf borderId="0" fillId="0" fontId="16" numFmtId="0" xfId="0" applyAlignment="1" applyFont="1">
      <alignment horizontal="center"/>
    </xf>
    <xf borderId="29" fillId="11" fontId="5" numFmtId="4" xfId="0" applyAlignment="1" applyBorder="1" applyFill="1" applyFont="1" applyNumberFormat="1">
      <alignment readingOrder="0"/>
    </xf>
    <xf borderId="0" fillId="0" fontId="16" numFmtId="165" xfId="0" applyFont="1" applyNumberFormat="1"/>
    <xf borderId="0" fillId="0" fontId="16" numFmtId="4" xfId="0" applyAlignment="1" applyFont="1" applyNumberFormat="1">
      <alignment shrinkToFit="0" wrapText="0"/>
    </xf>
    <xf borderId="0" fillId="0" fontId="17" numFmtId="166" xfId="0" applyAlignment="1" applyFont="1" applyNumberFormat="1">
      <alignment readingOrder="0"/>
    </xf>
    <xf borderId="29" fillId="0" fontId="34" numFmtId="164" xfId="0" applyAlignment="1" applyBorder="1" applyFont="1" applyNumberFormat="1">
      <alignment readingOrder="0"/>
    </xf>
    <xf borderId="29" fillId="0" fontId="5" numFmtId="166" xfId="0" applyAlignment="1" applyBorder="1" applyFont="1" applyNumberFormat="1">
      <alignment readingOrder="0" vertical="bottom"/>
    </xf>
    <xf borderId="29" fillId="16" fontId="5" numFmtId="0" xfId="0" applyAlignment="1" applyBorder="1" applyFill="1" applyFont="1">
      <alignment horizontal="center" readingOrder="0"/>
    </xf>
    <xf borderId="29" fillId="11" fontId="6" numFmtId="0" xfId="0" applyAlignment="1" applyBorder="1" applyFill="1" applyFont="1">
      <alignment readingOrder="0"/>
    </xf>
    <xf borderId="29" fillId="14" fontId="15" numFmtId="4" xfId="0" applyAlignment="1" applyBorder="1" applyFill="1" applyFont="1" applyNumberFormat="1">
      <alignment readingOrder="0" vertical="bottom"/>
    </xf>
    <xf borderId="29" fillId="0" fontId="15" numFmtId="164" xfId="0" applyAlignment="1" applyBorder="1" applyFont="1" applyNumberFormat="1">
      <alignment readingOrder="0"/>
    </xf>
    <xf borderId="29" fillId="0" fontId="7" numFmtId="164" xfId="0" applyAlignment="1" applyBorder="1" applyFont="1" applyNumberFormat="1">
      <alignment readingOrder="0"/>
    </xf>
    <xf borderId="29" fillId="0" fontId="13" numFmtId="0" xfId="0" applyAlignment="1" applyBorder="1" applyFont="1">
      <alignment readingOrder="0"/>
    </xf>
    <xf borderId="29" fillId="0" fontId="15" numFmtId="0" xfId="0" applyAlignment="1" applyBorder="1" applyFont="1">
      <alignment readingOrder="0"/>
    </xf>
    <xf borderId="29" fillId="0" fontId="15" numFmtId="164" xfId="0" applyBorder="1" applyFont="1" applyNumberFormat="1"/>
    <xf borderId="29" fillId="21" fontId="15" numFmtId="4" xfId="0" applyAlignment="1" applyBorder="1" applyFill="1" applyFont="1" applyNumberFormat="1">
      <alignment readingOrder="0"/>
    </xf>
    <xf borderId="29" fillId="11" fontId="15" numFmtId="0" xfId="0" applyAlignment="1" applyBorder="1" applyFill="1" applyFont="1">
      <alignment readingOrder="0"/>
    </xf>
    <xf borderId="29" fillId="11" fontId="15" numFmtId="4" xfId="0" applyBorder="1" applyFill="1" applyFont="1" applyNumberFormat="1"/>
    <xf borderId="29" fillId="0" fontId="7" numFmtId="166" xfId="0" applyAlignment="1" applyBorder="1" applyFont="1" applyNumberFormat="1">
      <alignment horizontal="center" readingOrder="0"/>
    </xf>
    <xf borderId="29" fillId="11" fontId="5" numFmtId="4" xfId="0" applyAlignment="1" applyBorder="1" applyFill="1" applyFont="1" applyNumberFormat="1">
      <alignment horizontal="right" readingOrder="0" vertical="bottom"/>
    </xf>
    <xf borderId="29" fillId="11" fontId="15" numFmtId="4" xfId="0" applyAlignment="1" applyBorder="1" applyFill="1" applyFont="1" applyNumberFormat="1">
      <alignment horizontal="right" readingOrder="0" vertical="bottom"/>
    </xf>
    <xf borderId="29" fillId="11" fontId="15" numFmtId="4" xfId="0" applyAlignment="1" applyBorder="1" applyFill="1" applyFont="1" applyNumberFormat="1">
      <alignment readingOrder="0"/>
    </xf>
    <xf borderId="29" fillId="0" fontId="15" numFmtId="0" xfId="0" applyBorder="1" applyFont="1"/>
    <xf borderId="3" fillId="22" fontId="6" numFmtId="164" xfId="0" applyBorder="1" applyFill="1" applyFont="1" applyNumberFormat="1"/>
    <xf borderId="3" fillId="22" fontId="5" numFmtId="0" xfId="0" applyBorder="1" applyFill="1" applyFont="1"/>
    <xf borderId="3" fillId="22" fontId="5" numFmtId="0" xfId="0" applyAlignment="1" applyBorder="1" applyFill="1" applyFont="1">
      <alignment horizontal="center"/>
    </xf>
    <xf borderId="4" fillId="22" fontId="5" numFmtId="0" xfId="0" applyBorder="1" applyFill="1" applyFont="1"/>
    <xf borderId="4" fillId="22" fontId="5" numFmtId="4" xfId="0" applyBorder="1" applyFill="1" applyFont="1" applyNumberFormat="1"/>
    <xf borderId="3" fillId="22" fontId="5" numFmtId="164" xfId="0" applyBorder="1" applyFill="1" applyFont="1" applyNumberFormat="1"/>
    <xf borderId="11" fillId="22" fontId="5" numFmtId="164" xfId="0" applyBorder="1" applyFill="1" applyFont="1" applyNumberFormat="1"/>
    <xf borderId="53" fillId="23" fontId="2" numFmtId="164" xfId="0" applyAlignment="1" applyBorder="1" applyFill="1" applyFont="1" applyNumberFormat="1">
      <alignment horizontal="center" vertical="center"/>
    </xf>
    <xf borderId="54" fillId="24" fontId="6" numFmtId="0" xfId="0" applyAlignment="1" applyBorder="1" applyFill="1" applyFont="1">
      <alignment horizontal="center"/>
    </xf>
    <xf borderId="40" fillId="22" fontId="2" numFmtId="0" xfId="0" applyAlignment="1" applyBorder="1" applyFill="1" applyFont="1">
      <alignment horizontal="center" vertical="center"/>
    </xf>
    <xf borderId="51" fillId="19" fontId="13" numFmtId="0" xfId="0" applyAlignment="1" applyBorder="1" applyFill="1" applyFont="1">
      <alignment readingOrder="0"/>
    </xf>
    <xf borderId="51" fillId="19" fontId="13" numFmtId="0" xfId="0" applyAlignment="1" applyBorder="1" applyFill="1" applyFont="1">
      <alignment horizontal="center"/>
    </xf>
    <xf borderId="15" fillId="22" fontId="2" numFmtId="164" xfId="0" applyAlignment="1" applyBorder="1" applyFill="1" applyFont="1" applyNumberFormat="1">
      <alignment horizontal="center" vertical="center"/>
    </xf>
    <xf borderId="15" fillId="22" fontId="2" numFmtId="164" xfId="0" applyAlignment="1" applyBorder="1" applyFill="1" applyFont="1" applyNumberFormat="1">
      <alignment horizontal="center" shrinkToFit="0" vertical="center" wrapText="1"/>
    </xf>
    <xf borderId="51" fillId="19" fontId="13" numFmtId="164" xfId="0" applyAlignment="1" applyBorder="1" applyFill="1" applyFont="1" applyNumberFormat="1">
      <alignment horizontal="center"/>
    </xf>
    <xf borderId="15" fillId="22" fontId="2" numFmtId="4" xfId="0" applyAlignment="1" applyBorder="1" applyFill="1" applyFont="1" applyNumberFormat="1">
      <alignment horizontal="center" vertical="center"/>
    </xf>
    <xf borderId="51" fillId="19" fontId="35" numFmtId="164" xfId="0" applyAlignment="1" applyBorder="1" applyFill="1" applyFont="1" applyNumberFormat="1">
      <alignment horizontal="center"/>
    </xf>
    <xf borderId="17" fillId="22" fontId="2" numFmtId="164" xfId="0" applyAlignment="1" applyBorder="1" applyFill="1" applyFont="1" applyNumberFormat="1">
      <alignment horizontal="center" vertical="center"/>
    </xf>
    <xf borderId="51" fillId="19" fontId="36" numFmtId="164" xfId="0" applyAlignment="1" applyBorder="1" applyFill="1" applyFont="1" applyNumberFormat="1">
      <alignment horizontal="center"/>
    </xf>
    <xf borderId="23" fillId="24" fontId="13" numFmtId="164" xfId="0" applyAlignment="1" applyBorder="1" applyFill="1" applyFont="1" applyNumberFormat="1">
      <alignment horizontal="center" shrinkToFit="0" vertical="center" wrapText="1"/>
    </xf>
    <xf borderId="51" fillId="19" fontId="15" numFmtId="0" xfId="0" applyBorder="1" applyFill="1" applyFont="1"/>
    <xf borderId="15" fillId="24" fontId="13" numFmtId="164" xfId="0" applyAlignment="1" applyBorder="1" applyFill="1" applyFont="1" applyNumberFormat="1">
      <alignment horizontal="center" vertical="center"/>
    </xf>
    <xf borderId="29" fillId="0" fontId="13" numFmtId="0" xfId="0" applyAlignment="1" applyBorder="1" applyFont="1">
      <alignment readingOrder="0" vertical="bottom"/>
    </xf>
    <xf borderId="29" fillId="0" fontId="15" numFmtId="166" xfId="0" applyAlignment="1" applyBorder="1" applyFont="1" applyNumberFormat="1">
      <alignment horizontal="center" readingOrder="0" vertical="bottom"/>
    </xf>
    <xf borderId="15" fillId="24" fontId="13" numFmtId="164" xfId="0" applyAlignment="1" applyBorder="1" applyFill="1" applyFont="1" applyNumberFormat="1">
      <alignment horizontal="center" shrinkToFit="0" vertical="center" wrapText="1"/>
    </xf>
    <xf borderId="29" fillId="0" fontId="15" numFmtId="0" xfId="0" applyAlignment="1" applyBorder="1" applyFont="1">
      <alignment horizontal="center" readingOrder="0" vertical="bottom"/>
    </xf>
    <xf borderId="29" fillId="0" fontId="15" numFmtId="164" xfId="0" applyAlignment="1" applyBorder="1" applyFont="1" applyNumberFormat="1">
      <alignment horizontal="right" readingOrder="0" vertical="bottom"/>
    </xf>
    <xf borderId="19" fillId="24" fontId="13" numFmtId="164" xfId="0" applyAlignment="1" applyBorder="1" applyFill="1" applyFont="1" applyNumberFormat="1">
      <alignment horizontal="center" vertical="center"/>
    </xf>
    <xf borderId="29" fillId="0" fontId="15" numFmtId="164" xfId="0" applyAlignment="1" applyBorder="1" applyFont="1" applyNumberFormat="1">
      <alignment horizontal="right" vertical="bottom"/>
    </xf>
    <xf borderId="29" fillId="0" fontId="15" numFmtId="164" xfId="0" applyAlignment="1" applyBorder="1" applyFont="1" applyNumberFormat="1">
      <alignment vertical="bottom"/>
    </xf>
    <xf borderId="29" fillId="0" fontId="15" numFmtId="0" xfId="0" applyAlignment="1" applyBorder="1" applyFont="1">
      <alignment vertical="bottom"/>
    </xf>
    <xf borderId="29" fillId="22" fontId="2" numFmtId="164" xfId="0" applyAlignment="1" applyBorder="1" applyFill="1" applyFont="1" applyNumberFormat="1">
      <alignment horizontal="center" vertical="center"/>
    </xf>
    <xf borderId="26" fillId="23" fontId="29" numFmtId="164" xfId="0" applyAlignment="1" applyBorder="1" applyFill="1" applyFont="1" applyNumberFormat="1">
      <alignment horizontal="center" vertical="center"/>
    </xf>
    <xf borderId="29" fillId="0" fontId="15" numFmtId="164" xfId="0" applyAlignment="1" applyBorder="1" applyFont="1" applyNumberFormat="1">
      <alignment readingOrder="0" vertical="bottom"/>
    </xf>
    <xf borderId="31" fillId="23" fontId="2" numFmtId="164" xfId="0" applyAlignment="1" applyBorder="1" applyFill="1" applyFont="1" applyNumberFormat="1">
      <alignment horizontal="center" vertical="center"/>
    </xf>
    <xf borderId="32" fillId="24" fontId="2" numFmtId="164" xfId="0" applyAlignment="1" applyBorder="1" applyFill="1" applyFont="1" applyNumberFormat="1">
      <alignment horizontal="center" vertical="center"/>
    </xf>
    <xf borderId="29" fillId="21" fontId="15" numFmtId="164" xfId="0" applyAlignment="1" applyBorder="1" applyFill="1" applyFont="1" applyNumberFormat="1">
      <alignment horizontal="right" vertical="bottom"/>
    </xf>
    <xf borderId="29" fillId="21" fontId="15" numFmtId="164" xfId="0" applyAlignment="1" applyBorder="1" applyFill="1" applyFont="1" applyNumberFormat="1">
      <alignment horizontal="right" readingOrder="0" vertical="bottom"/>
    </xf>
    <xf borderId="29" fillId="21" fontId="15" numFmtId="4" xfId="0" applyAlignment="1" applyBorder="1" applyFill="1" applyFont="1" applyNumberFormat="1">
      <alignment vertical="bottom"/>
    </xf>
    <xf borderId="29" fillId="0" fontId="5" numFmtId="4" xfId="0" applyBorder="1" applyFont="1" applyNumberFormat="1"/>
    <xf borderId="29" fillId="21" fontId="15" numFmtId="0" xfId="0" applyAlignment="1" applyBorder="1" applyFill="1" applyFont="1">
      <alignment vertical="bottom"/>
    </xf>
    <xf borderId="0" fillId="0" fontId="20" numFmtId="0" xfId="0" applyFont="1"/>
    <xf borderId="29" fillId="11" fontId="15" numFmtId="0" xfId="0" applyAlignment="1" applyBorder="1" applyFill="1" applyFont="1">
      <alignment vertical="bottom"/>
    </xf>
    <xf borderId="29" fillId="25" fontId="5" numFmtId="164" xfId="0" applyBorder="1" applyFill="1" applyFont="1" applyNumberFormat="1"/>
    <xf borderId="29" fillId="11" fontId="15" numFmtId="166" xfId="0" applyAlignment="1" applyBorder="1" applyFill="1" applyFont="1" applyNumberFormat="1">
      <alignment horizontal="center" readingOrder="0" vertical="bottom"/>
    </xf>
    <xf borderId="29" fillId="11" fontId="15" numFmtId="0" xfId="0" applyAlignment="1" applyBorder="1" applyFill="1" applyFont="1">
      <alignment vertical="bottom"/>
    </xf>
    <xf borderId="29" fillId="11" fontId="15" numFmtId="164" xfId="0" applyAlignment="1" applyBorder="1" applyFill="1" applyFont="1" applyNumberFormat="1">
      <alignment vertical="bottom"/>
    </xf>
    <xf borderId="0" fillId="0" fontId="6" numFmtId="0" xfId="0" applyAlignment="1" applyFont="1">
      <alignment horizontal="left"/>
    </xf>
    <xf borderId="29" fillId="11" fontId="15" numFmtId="164" xfId="0" applyAlignment="1" applyBorder="1" applyFill="1" applyFont="1" applyNumberFormat="1">
      <alignment horizontal="right" vertical="bottom"/>
    </xf>
    <xf borderId="0" fillId="0" fontId="6" numFmtId="164" xfId="0" applyFont="1" applyNumberFormat="1"/>
    <xf borderId="29" fillId="11" fontId="15" numFmtId="164" xfId="0" applyAlignment="1" applyBorder="1" applyFill="1" applyFont="1" applyNumberFormat="1">
      <alignment readingOrder="0" vertical="bottom"/>
    </xf>
    <xf borderId="29" fillId="11" fontId="15" numFmtId="0" xfId="0" applyAlignment="1" applyBorder="1" applyFill="1" applyFont="1">
      <alignment readingOrder="0" vertical="bottom"/>
    </xf>
    <xf borderId="1" fillId="12" fontId="2" numFmtId="0" xfId="0" applyAlignment="1" applyBorder="1" applyFill="1" applyFont="1">
      <alignment readingOrder="0"/>
    </xf>
    <xf borderId="3" fillId="12" fontId="4" numFmtId="0" xfId="0" applyAlignment="1" applyBorder="1" applyFill="1" applyFont="1">
      <alignment horizontal="center" shrinkToFit="0" vertical="center" wrapText="1"/>
    </xf>
    <xf borderId="3" fillId="12" fontId="5" numFmtId="0" xfId="0" applyAlignment="1" applyBorder="1" applyFill="1" applyFont="1">
      <alignment horizontal="center"/>
    </xf>
    <xf borderId="3" fillId="12" fontId="6" numFmtId="164" xfId="0" applyBorder="1" applyFill="1" applyFont="1" applyNumberFormat="1"/>
    <xf borderId="4" fillId="12" fontId="5" numFmtId="0" xfId="0" applyBorder="1" applyFill="1" applyFont="1"/>
    <xf borderId="3" fillId="12" fontId="5" numFmtId="164" xfId="0" applyBorder="1" applyFill="1" applyFont="1" applyNumberFormat="1"/>
    <xf borderId="29" fillId="21" fontId="15" numFmtId="164" xfId="0" applyAlignment="1" applyBorder="1" applyFill="1" applyFont="1" applyNumberFormat="1">
      <alignment readingOrder="0" vertical="bottom"/>
    </xf>
    <xf borderId="3" fillId="12" fontId="5" numFmtId="0" xfId="0" applyBorder="1" applyFill="1" applyFont="1"/>
    <xf borderId="5" fillId="12" fontId="7" numFmtId="0" xfId="0" applyBorder="1" applyFill="1" applyFont="1"/>
    <xf borderId="10" fillId="12" fontId="5" numFmtId="164" xfId="0" applyBorder="1" applyFill="1" applyFont="1" applyNumberFormat="1"/>
    <xf borderId="29" fillId="21" fontId="15" numFmtId="164" xfId="0" applyAlignment="1" applyBorder="1" applyFill="1" applyFont="1" applyNumberFormat="1">
      <alignment vertical="bottom"/>
    </xf>
    <xf borderId="11" fillId="12" fontId="6" numFmtId="0" xfId="0" applyAlignment="1" applyBorder="1" applyFill="1" applyFont="1">
      <alignment readingOrder="0"/>
    </xf>
    <xf borderId="11" fillId="12" fontId="5" numFmtId="0" xfId="0" applyBorder="1" applyFill="1" applyFont="1"/>
    <xf borderId="5" fillId="12" fontId="5" numFmtId="0" xfId="0" applyBorder="1" applyFill="1" applyFont="1"/>
    <xf borderId="12" fillId="12" fontId="2" numFmtId="0" xfId="0" applyAlignment="1" applyBorder="1" applyFill="1" applyFont="1">
      <alignment horizontal="center" vertical="center"/>
    </xf>
    <xf borderId="13" fillId="12" fontId="2" numFmtId="0" xfId="0" applyAlignment="1" applyBorder="1" applyFill="1" applyFont="1">
      <alignment horizontal="center" vertical="center"/>
    </xf>
    <xf borderId="14" fillId="12" fontId="2" numFmtId="0" xfId="0" applyAlignment="1" applyBorder="1" applyFill="1" applyFont="1">
      <alignment horizontal="center" vertical="center"/>
    </xf>
    <xf borderId="15" fillId="12" fontId="2" numFmtId="164" xfId="0" applyAlignment="1" applyBorder="1" applyFill="1" applyFont="1" applyNumberFormat="1">
      <alignment horizontal="center" vertical="center"/>
    </xf>
    <xf borderId="16" fillId="12" fontId="9" numFmtId="0" xfId="0" applyAlignment="1" applyBorder="1" applyFill="1" applyFont="1">
      <alignment horizontal="center" vertical="center"/>
    </xf>
    <xf borderId="15" fillId="12" fontId="2" numFmtId="164" xfId="0" applyAlignment="1" applyBorder="1" applyFill="1" applyFont="1" applyNumberFormat="1">
      <alignment horizontal="center" shrinkToFit="0" vertical="center" wrapText="1"/>
    </xf>
    <xf borderId="17" fillId="12" fontId="2" numFmtId="164" xfId="0" applyAlignment="1" applyBorder="1" applyFill="1" applyFont="1" applyNumberFormat="1">
      <alignment horizontal="center" vertical="center"/>
    </xf>
    <xf borderId="19" fillId="12" fontId="12" numFmtId="164" xfId="0" applyAlignment="1" applyBorder="1" applyFill="1" applyFont="1" applyNumberFormat="1">
      <alignment horizontal="center" vertical="center"/>
    </xf>
    <xf borderId="23" fillId="12" fontId="13" numFmtId="164" xfId="0" applyAlignment="1" applyBorder="1" applyFill="1" applyFont="1" applyNumberFormat="1">
      <alignment horizontal="center" shrinkToFit="0" vertical="center" wrapText="1"/>
    </xf>
    <xf borderId="15" fillId="12" fontId="13" numFmtId="164" xfId="0" applyAlignment="1" applyBorder="1" applyFill="1" applyFont="1" applyNumberFormat="1">
      <alignment horizontal="center" vertical="center"/>
    </xf>
    <xf borderId="15" fillId="12" fontId="13" numFmtId="164" xfId="0" applyAlignment="1" applyBorder="1" applyFill="1" applyFont="1" applyNumberFormat="1">
      <alignment horizontal="center" shrinkToFit="0" vertical="center" wrapText="1"/>
    </xf>
    <xf borderId="19" fillId="12" fontId="13" numFmtId="164" xfId="0" applyAlignment="1" applyBorder="1" applyFill="1" applyFont="1" applyNumberFormat="1">
      <alignment horizontal="center" vertical="center"/>
    </xf>
    <xf borderId="29" fillId="11" fontId="15" numFmtId="0" xfId="0" applyAlignment="1" applyBorder="1" applyFill="1" applyFont="1">
      <alignment horizontal="center" readingOrder="0" vertical="bottom"/>
    </xf>
    <xf borderId="24" fillId="12" fontId="2" numFmtId="0" xfId="0" applyAlignment="1" applyBorder="1" applyFill="1" applyFont="1">
      <alignment horizontal="center" vertical="center"/>
    </xf>
    <xf borderId="25" fillId="12" fontId="2" numFmtId="0" xfId="0" applyAlignment="1" applyBorder="1" applyFill="1" applyFont="1">
      <alignment horizontal="center" vertical="center"/>
    </xf>
    <xf borderId="26" fillId="12" fontId="2" numFmtId="0" xfId="0" applyAlignment="1" applyBorder="1" applyFill="1" applyFont="1">
      <alignment horizontal="center" vertical="center"/>
    </xf>
    <xf borderId="29" fillId="12" fontId="2" numFmtId="164" xfId="0" applyAlignment="1" applyBorder="1" applyFill="1" applyFont="1" applyNumberFormat="1">
      <alignment horizontal="center" vertical="center"/>
    </xf>
    <xf borderId="32" fillId="12" fontId="2" numFmtId="164" xfId="0" applyAlignment="1" applyBorder="1" applyFill="1" applyFont="1" applyNumberFormat="1">
      <alignment horizontal="center" vertical="center"/>
    </xf>
    <xf borderId="29" fillId="0" fontId="15" numFmtId="0" xfId="0" applyAlignment="1" applyBorder="1" applyFont="1">
      <alignment readingOrder="0" vertical="bottom"/>
    </xf>
    <xf borderId="18" fillId="26" fontId="5" numFmtId="164" xfId="0" applyBorder="1" applyFill="1" applyFont="1" applyNumberFormat="1"/>
    <xf borderId="29" fillId="21" fontId="7" numFmtId="4" xfId="0" applyAlignment="1" applyBorder="1" applyFill="1" applyFont="1" applyNumberFormat="1">
      <alignment readingOrder="0" vertical="bottom"/>
    </xf>
    <xf borderId="29" fillId="26" fontId="5" numFmtId="164" xfId="0" applyBorder="1" applyFill="1" applyFont="1" applyNumberFormat="1"/>
    <xf borderId="29" fillId="21" fontId="15" numFmtId="0" xfId="0" applyAlignment="1" applyBorder="1" applyFill="1" applyFont="1">
      <alignment readingOrder="0" vertical="bottom"/>
    </xf>
    <xf borderId="18" fillId="26" fontId="5" numFmtId="164" xfId="0" applyAlignment="1" applyBorder="1" applyFill="1" applyFont="1" applyNumberFormat="1">
      <alignment readingOrder="0"/>
    </xf>
    <xf borderId="29" fillId="26" fontId="5" numFmtId="164" xfId="0" applyAlignment="1" applyBorder="1" applyFill="1" applyFont="1" applyNumberFormat="1">
      <alignment readingOrder="0"/>
    </xf>
    <xf borderId="0" fillId="3" fontId="33" numFmtId="164" xfId="0" applyAlignment="1" applyFill="1" applyFont="1" applyNumberFormat="1">
      <alignment horizontal="right" readingOrder="0" vertical="bottom"/>
    </xf>
    <xf borderId="29" fillId="21" fontId="15" numFmtId="4" xfId="0" applyAlignment="1" applyBorder="1" applyFill="1" applyFont="1" applyNumberFormat="1">
      <alignment readingOrder="0" vertical="bottom"/>
    </xf>
    <xf borderId="29" fillId="0" fontId="15" numFmtId="0" xfId="0" applyAlignment="1" applyBorder="1" applyFont="1">
      <alignment vertical="bottom"/>
    </xf>
    <xf borderId="51" fillId="19" fontId="13" numFmtId="0" xfId="0" applyAlignment="1" applyBorder="1" applyFill="1" applyFont="1">
      <alignment readingOrder="0" vertical="bottom"/>
    </xf>
    <xf borderId="51" fillId="19" fontId="13" numFmtId="0" xfId="0" applyAlignment="1" applyBorder="1" applyFill="1" applyFont="1">
      <alignment horizontal="center" vertical="bottom"/>
    </xf>
    <xf borderId="51" fillId="19" fontId="13" numFmtId="164" xfId="0" applyAlignment="1" applyBorder="1" applyFill="1" applyFont="1" applyNumberFormat="1">
      <alignment horizontal="center" vertical="bottom"/>
    </xf>
    <xf borderId="51" fillId="19" fontId="35" numFmtId="164" xfId="0" applyAlignment="1" applyBorder="1" applyFill="1" applyFont="1" applyNumberFormat="1">
      <alignment horizontal="center" vertical="bottom"/>
    </xf>
    <xf borderId="51" fillId="19" fontId="36" numFmtId="164" xfId="0" applyAlignment="1" applyBorder="1" applyFill="1" applyFont="1" applyNumberFormat="1">
      <alignment horizontal="center" vertical="bottom"/>
    </xf>
    <xf borderId="51" fillId="19" fontId="15" numFmtId="0" xfId="0" applyAlignment="1" applyBorder="1" applyFill="1" applyFont="1">
      <alignment vertical="bottom"/>
    </xf>
    <xf borderId="49" fillId="0" fontId="5" numFmtId="0" xfId="0" applyAlignment="1" applyBorder="1" applyFont="1">
      <alignment horizontal="center"/>
    </xf>
    <xf borderId="16" fillId="26" fontId="5" numFmtId="164" xfId="0" applyBorder="1" applyFill="1" applyFont="1" applyNumberFormat="1"/>
    <xf borderId="49" fillId="26" fontId="5" numFmtId="164" xfId="0" applyBorder="1" applyFill="1" applyFont="1" applyNumberFormat="1"/>
    <xf borderId="49" fillId="26" fontId="5" numFmtId="164" xfId="0" applyAlignment="1" applyBorder="1" applyFill="1" applyFont="1" applyNumberFormat="1">
      <alignment readingOrder="0"/>
    </xf>
    <xf borderId="50" fillId="12" fontId="6" numFmtId="0" xfId="0" applyAlignment="1" applyBorder="1" applyFill="1" applyFont="1">
      <alignment readingOrder="0"/>
    </xf>
    <xf borderId="50" fillId="12" fontId="6" numFmtId="0" xfId="0" applyBorder="1" applyFill="1" applyFont="1"/>
    <xf borderId="50" fillId="12" fontId="6" numFmtId="164" xfId="0" applyBorder="1" applyFill="1" applyFont="1" applyNumberFormat="1"/>
    <xf borderId="50" fillId="12" fontId="19" numFmtId="164" xfId="0" applyAlignment="1" applyBorder="1" applyFill="1" applyFont="1" applyNumberFormat="1">
      <alignment horizontal="center"/>
    </xf>
    <xf borderId="50" fillId="12" fontId="5" numFmtId="0" xfId="0" applyBorder="1" applyFill="1" applyFont="1"/>
    <xf borderId="29" fillId="25" fontId="15" numFmtId="164" xfId="0" applyBorder="1" applyFill="1" applyFont="1" applyNumberFormat="1"/>
    <xf borderId="29" fillId="0" fontId="15" numFmtId="0" xfId="0" applyAlignment="1" applyBorder="1" applyFont="1">
      <alignment horizontal="center" vertical="bottom"/>
    </xf>
    <xf borderId="0" fillId="0" fontId="5" numFmtId="169" xfId="0" applyFont="1" applyNumberFormat="1"/>
    <xf borderId="29" fillId="23" fontId="6" numFmtId="0" xfId="0" applyBorder="1" applyFill="1" applyFont="1"/>
    <xf borderId="29" fillId="23" fontId="6" numFmtId="1" xfId="0" applyAlignment="1" applyBorder="1" applyFill="1" applyFont="1" applyNumberFormat="1">
      <alignment horizontal="center"/>
    </xf>
    <xf borderId="29" fillId="23" fontId="6" numFmtId="164" xfId="0" applyBorder="1" applyFill="1" applyFont="1" applyNumberFormat="1"/>
    <xf borderId="29" fillId="0" fontId="7" numFmtId="164" xfId="0" applyAlignment="1" applyBorder="1" applyFont="1" applyNumberFormat="1">
      <alignment horizontal="right" readingOrder="0" vertical="bottom"/>
    </xf>
    <xf borderId="29" fillId="11" fontId="15" numFmtId="166" xfId="0" applyAlignment="1" applyBorder="1" applyFill="1" applyFont="1" applyNumberFormat="1">
      <alignment horizontal="center" vertical="bottom"/>
    </xf>
    <xf borderId="29" fillId="16" fontId="15" numFmtId="164" xfId="0" applyAlignment="1" applyBorder="1" applyFill="1" applyFont="1" applyNumberFormat="1">
      <alignment horizontal="right" readingOrder="0" vertical="bottom"/>
    </xf>
    <xf borderId="42" fillId="26" fontId="5" numFmtId="164" xfId="0" applyBorder="1" applyFill="1" applyFont="1" applyNumberFormat="1"/>
    <xf borderId="15" fillId="26" fontId="5" numFmtId="164" xfId="0" applyBorder="1" applyFill="1" applyFont="1" applyNumberFormat="1"/>
    <xf borderId="15" fillId="26" fontId="5" numFmtId="164" xfId="0" applyAlignment="1" applyBorder="1" applyFill="1" applyFont="1" applyNumberFormat="1">
      <alignment readingOrder="0"/>
    </xf>
    <xf borderId="0" fillId="0" fontId="20" numFmtId="164" xfId="0" applyFont="1" applyNumberFormat="1"/>
    <xf borderId="29" fillId="26" fontId="5" numFmtId="164" xfId="0" applyBorder="1" applyFill="1" applyFont="1" applyNumberFormat="1"/>
    <xf borderId="29" fillId="26" fontId="5" numFmtId="164" xfId="0" applyAlignment="1" applyBorder="1" applyFill="1" applyFont="1" applyNumberFormat="1">
      <alignment readingOrder="0"/>
    </xf>
    <xf borderId="29" fillId="11" fontId="7" numFmtId="164" xfId="0" applyAlignment="1" applyBorder="1" applyFill="1" applyFont="1" applyNumberFormat="1">
      <alignment vertical="bottom"/>
    </xf>
    <xf borderId="29" fillId="21" fontId="7" numFmtId="164" xfId="0" applyAlignment="1" applyBorder="1" applyFill="1" applyFont="1" applyNumberFormat="1">
      <alignment readingOrder="0" vertical="bottom"/>
    </xf>
    <xf borderId="29" fillId="21" fontId="7" numFmtId="164" xfId="0" applyAlignment="1" applyBorder="1" applyFill="1" applyFont="1" applyNumberFormat="1">
      <alignment horizontal="right" readingOrder="0" vertical="bottom"/>
    </xf>
    <xf borderId="29" fillId="16" fontId="16" numFmtId="0" xfId="0" applyBorder="1" applyFill="1" applyFont="1"/>
    <xf borderId="29" fillId="16" fontId="5" numFmtId="164" xfId="0" applyAlignment="1" applyBorder="1" applyFill="1" applyFont="1" applyNumberFormat="1">
      <alignment readingOrder="0"/>
    </xf>
    <xf borderId="29" fillId="16" fontId="5" numFmtId="164" xfId="0" applyBorder="1" applyFill="1" applyFont="1" applyNumberFormat="1"/>
    <xf borderId="29" fillId="16" fontId="7" numFmtId="164" xfId="0" applyBorder="1" applyFill="1" applyFont="1" applyNumberFormat="1"/>
    <xf borderId="29" fillId="0" fontId="37" numFmtId="164" xfId="0" applyAlignment="1" applyBorder="1" applyFont="1" applyNumberFormat="1">
      <alignment horizontal="right" vertical="bottom"/>
    </xf>
    <xf borderId="42" fillId="26" fontId="5" numFmtId="164" xfId="0" applyAlignment="1" applyBorder="1" applyFill="1" applyFont="1" applyNumberFormat="1">
      <alignment readingOrder="0"/>
    </xf>
    <xf borderId="15" fillId="0" fontId="16" numFmtId="0" xfId="0" applyAlignment="1" applyBorder="1" applyFont="1">
      <alignment readingOrder="0"/>
    </xf>
    <xf borderId="29" fillId="25" fontId="5" numFmtId="164" xfId="0" applyAlignment="1" applyBorder="1" applyFill="1" applyFont="1" applyNumberFormat="1">
      <alignment readingOrder="0"/>
    </xf>
    <xf borderId="29" fillId="21" fontId="7" numFmtId="164" xfId="0" applyAlignment="1" applyBorder="1" applyFill="1" applyFont="1" applyNumberFormat="1">
      <alignment horizontal="right" vertical="bottom"/>
    </xf>
    <xf borderId="29" fillId="21" fontId="7" numFmtId="164" xfId="0" applyAlignment="1" applyBorder="1" applyFill="1" applyFont="1" applyNumberFormat="1">
      <alignment vertical="bottom"/>
    </xf>
    <xf borderId="64" fillId="21" fontId="5" numFmtId="164" xfId="0" applyBorder="1" applyFill="1" applyFont="1" applyNumberFormat="1"/>
    <xf borderId="64" fillId="21" fontId="5" numFmtId="4" xfId="0" applyBorder="1" applyFill="1" applyFont="1" applyNumberFormat="1"/>
    <xf borderId="64" fillId="21" fontId="5" numFmtId="0" xfId="0" applyBorder="1" applyFill="1" applyFont="1"/>
    <xf borderId="29" fillId="0" fontId="7" numFmtId="164" xfId="0" applyAlignment="1" applyBorder="1" applyFont="1" applyNumberFormat="1">
      <alignment readingOrder="0" vertical="bottom"/>
    </xf>
    <xf borderId="29" fillId="0" fontId="5" numFmtId="4" xfId="0" applyAlignment="1" applyBorder="1" applyFont="1" applyNumberFormat="1">
      <alignment readingOrder="0"/>
    </xf>
    <xf borderId="15" fillId="11" fontId="16" numFmtId="0" xfId="0" applyBorder="1" applyFill="1" applyFont="1"/>
    <xf borderId="29" fillId="25" fontId="15" numFmtId="164" xfId="0" applyAlignment="1" applyBorder="1" applyFill="1" applyFont="1" applyNumberFormat="1">
      <alignment readingOrder="0"/>
    </xf>
    <xf borderId="42" fillId="11" fontId="5" numFmtId="164" xfId="0" applyAlignment="1" applyBorder="1" applyFill="1" applyFont="1" applyNumberFormat="1">
      <alignment readingOrder="0"/>
    </xf>
    <xf borderId="29" fillId="23" fontId="6" numFmtId="0" xfId="0" applyAlignment="1" applyBorder="1" applyFill="1" applyFont="1">
      <alignment readingOrder="0"/>
    </xf>
    <xf borderId="29" fillId="11" fontId="15" numFmtId="164" xfId="0" applyAlignment="1" applyBorder="1" applyFill="1" applyFont="1" applyNumberFormat="1">
      <alignment horizontal="right" readingOrder="0" vertical="bottom"/>
    </xf>
    <xf borderId="29" fillId="11" fontId="7" numFmtId="164" xfId="0" applyAlignment="1" applyBorder="1" applyFill="1" applyFont="1" applyNumberFormat="1">
      <alignment readingOrder="0" vertical="bottom"/>
    </xf>
    <xf borderId="29" fillId="0" fontId="5" numFmtId="0" xfId="0" applyAlignment="1" applyBorder="1" applyFont="1">
      <alignment horizontal="center" readingOrder="0"/>
    </xf>
    <xf borderId="29" fillId="0" fontId="5" numFmtId="164" xfId="0" applyAlignment="1" applyBorder="1" applyFont="1" applyNumberFormat="1">
      <alignment readingOrder="0"/>
    </xf>
    <xf borderId="29" fillId="11" fontId="16" numFmtId="0" xfId="0" applyBorder="1" applyFill="1" applyFont="1"/>
    <xf borderId="29" fillId="11" fontId="5" numFmtId="0" xfId="0" applyAlignment="1" applyBorder="1" applyFill="1" applyFont="1">
      <alignment horizontal="center" readingOrder="0"/>
    </xf>
    <xf borderId="29" fillId="11" fontId="5" numFmtId="0" xfId="0" applyAlignment="1" applyBorder="1" applyFill="1" applyFont="1">
      <alignment horizontal="center"/>
    </xf>
    <xf borderId="29" fillId="11" fontId="5" numFmtId="164" xfId="0" applyBorder="1" applyFill="1" applyFont="1" applyNumberFormat="1"/>
    <xf borderId="29" fillId="11" fontId="7" numFmtId="164" xfId="0" applyBorder="1" applyFill="1" applyFont="1" applyNumberFormat="1"/>
    <xf borderId="29" fillId="11" fontId="5" numFmtId="164" xfId="0" applyAlignment="1" applyBorder="1" applyFill="1" applyFont="1" applyNumberFormat="1">
      <alignment readingOrder="0"/>
    </xf>
    <xf borderId="29" fillId="25" fontId="7" numFmtId="164" xfId="0" applyAlignment="1" applyBorder="1" applyFill="1" applyFont="1" applyNumberFormat="1">
      <alignment readingOrder="0"/>
    </xf>
    <xf borderId="0" fillId="0" fontId="26" numFmtId="0" xfId="0" applyAlignment="1" applyFont="1">
      <alignment readingOrder="0"/>
    </xf>
    <xf borderId="50" fillId="12" fontId="5" numFmtId="164" xfId="0" applyBorder="1" applyFill="1" applyFont="1" applyNumberFormat="1"/>
    <xf borderId="0" fillId="0" fontId="16" numFmtId="0" xfId="0" applyAlignment="1" applyFont="1">
      <alignment horizontal="left"/>
    </xf>
    <xf borderId="0" fillId="0" fontId="16" numFmtId="4" xfId="0" applyAlignment="1" applyFont="1" applyNumberFormat="1">
      <alignment readingOrder="0"/>
    </xf>
    <xf borderId="21" fillId="0" fontId="15" numFmtId="4" xfId="0" applyAlignment="1" applyBorder="1" applyFont="1" applyNumberFormat="1">
      <alignment horizontal="right" readingOrder="0"/>
    </xf>
    <xf borderId="41" fillId="0" fontId="26" numFmtId="0" xfId="0" applyAlignment="1" applyBorder="1" applyFont="1">
      <alignment readingOrder="0"/>
    </xf>
    <xf borderId="41" fillId="0" fontId="26" numFmtId="0" xfId="0" applyAlignment="1" applyBorder="1" applyFont="1">
      <alignment horizontal="left" readingOrder="0"/>
    </xf>
    <xf borderId="41" fillId="0" fontId="16" numFmtId="4" xfId="0" applyAlignment="1" applyBorder="1" applyFont="1" applyNumberFormat="1">
      <alignment horizontal="left" readingOrder="0"/>
    </xf>
    <xf borderId="41" fillId="0" fontId="6" numFmtId="4" xfId="0" applyBorder="1" applyFont="1" applyNumberFormat="1"/>
    <xf borderId="0" fillId="0" fontId="16" numFmtId="4" xfId="0" applyAlignment="1" applyFont="1" applyNumberFormat="1">
      <alignment horizontal="left" readingOrder="0"/>
    </xf>
    <xf borderId="41" fillId="11" fontId="17" numFmtId="0" xfId="0" applyAlignment="1" applyBorder="1" applyFill="1" applyFont="1">
      <alignment readingOrder="0"/>
    </xf>
    <xf borderId="41" fillId="11" fontId="17" numFmtId="4" xfId="0" applyBorder="1" applyFill="1" applyFont="1" applyNumberFormat="1"/>
    <xf borderId="41" fillId="0" fontId="9" numFmtId="4" xfId="0" applyAlignment="1" applyBorder="1" applyFont="1" applyNumberFormat="1">
      <alignment horizontal="left"/>
    </xf>
    <xf borderId="41" fillId="0" fontId="9" numFmtId="4" xfId="0" applyBorder="1" applyFont="1" applyNumberFormat="1"/>
    <xf borderId="0" fillId="0" fontId="15" numFmtId="164" xfId="0" applyAlignment="1" applyFont="1" applyNumberFormat="1">
      <alignment horizontal="left"/>
    </xf>
    <xf borderId="41" fillId="0" fontId="17" numFmtId="0" xfId="0" applyAlignment="1" applyBorder="1" applyFont="1">
      <alignment readingOrder="0"/>
    </xf>
    <xf borderId="41" fillId="0" fontId="17" numFmtId="4" xfId="0" applyBorder="1" applyFont="1" applyNumberFormat="1"/>
    <xf borderId="41" fillId="0" fontId="6" numFmtId="165" xfId="0" applyBorder="1" applyFont="1" applyNumberFormat="1"/>
    <xf borderId="0" fillId="0" fontId="17" numFmtId="165" xfId="0" applyFont="1" applyNumberFormat="1"/>
    <xf borderId="0" fillId="0" fontId="38" numFmtId="164" xfId="0" applyFont="1" applyNumberFormat="1"/>
    <xf borderId="0" fillId="0" fontId="38" numFmtId="4" xfId="0" applyFont="1" applyNumberFormat="1"/>
    <xf borderId="52" fillId="0" fontId="17" numFmtId="0" xfId="0" applyAlignment="1" applyBorder="1" applyFont="1">
      <alignment readingOrder="0"/>
    </xf>
    <xf borderId="52" fillId="0" fontId="17" numFmtId="4" xfId="0" applyBorder="1" applyFont="1" applyNumberFormat="1"/>
    <xf borderId="41" fillId="0" fontId="17" numFmtId="0" xfId="0" applyAlignment="1" applyBorder="1" applyFont="1">
      <alignment readingOrder="0"/>
    </xf>
    <xf borderId="52" fillId="0" fontId="26" numFmtId="0" xfId="0" applyAlignment="1" applyBorder="1" applyFont="1">
      <alignment readingOrder="0"/>
    </xf>
    <xf borderId="52" fillId="0" fontId="26" numFmtId="4" xfId="0" applyBorder="1" applyFont="1" applyNumberFormat="1"/>
    <xf borderId="0" fillId="0" fontId="17" numFmtId="164" xfId="0" applyAlignment="1" applyFont="1" applyNumberFormat="1">
      <alignment readingOrder="0"/>
    </xf>
    <xf borderId="41" fillId="0" fontId="6" numFmtId="0" xfId="0" applyAlignment="1" applyBorder="1" applyFont="1">
      <alignment vertical="bottom"/>
    </xf>
    <xf borderId="41" fillId="0" fontId="6" numFmtId="164" xfId="0" applyAlignment="1" applyBorder="1" applyFont="1" applyNumberFormat="1">
      <alignment horizontal="right" vertical="bottom"/>
    </xf>
    <xf borderId="0" fillId="0" fontId="26" numFmtId="0" xfId="0" applyFont="1"/>
    <xf borderId="41" fillId="11" fontId="26" numFmtId="0" xfId="0" applyAlignment="1" applyBorder="1" applyFill="1" applyFont="1">
      <alignment readingOrder="0"/>
    </xf>
    <xf borderId="41" fillId="11" fontId="17" numFmtId="164" xfId="0" applyBorder="1" applyFill="1" applyFont="1" applyNumberFormat="1"/>
    <xf borderId="52" fillId="11" fontId="17" numFmtId="0" xfId="0" applyAlignment="1" applyBorder="1" applyFill="1" applyFont="1">
      <alignment readingOrder="0"/>
    </xf>
    <xf borderId="52" fillId="11" fontId="26" numFmtId="164" xfId="0" applyBorder="1" applyFill="1" applyFont="1" applyNumberFormat="1"/>
    <xf borderId="21" fillId="0" fontId="17" numFmtId="0" xfId="0" applyAlignment="1" applyBorder="1" applyFont="1">
      <alignment horizontal="left" readingOrder="0"/>
    </xf>
    <xf borderId="21" fillId="0" fontId="5" numFmtId="4" xfId="0" applyAlignment="1" applyBorder="1" applyFont="1" applyNumberFormat="1">
      <alignment readingOrder="0"/>
    </xf>
    <xf borderId="21" fillId="11" fontId="26" numFmtId="0" xfId="0" applyAlignment="1" applyBorder="1" applyFill="1" applyFont="1">
      <alignment readingOrder="0"/>
    </xf>
    <xf borderId="21" fillId="11" fontId="26" numFmtId="164" xfId="0" applyBorder="1" applyFill="1" applyFont="1" applyNumberFormat="1"/>
    <xf borderId="41" fillId="11" fontId="26" numFmtId="164" xfId="0" applyBorder="1" applyFill="1" applyFont="1" applyNumberFormat="1"/>
    <xf borderId="41" fillId="16" fontId="17" numFmtId="0" xfId="0" applyAlignment="1" applyBorder="1" applyFill="1" applyFont="1">
      <alignment readingOrder="0"/>
    </xf>
    <xf borderId="41" fillId="16" fontId="17" numFmtId="4" xfId="0" applyBorder="1" applyFill="1" applyFont="1" applyNumberFormat="1"/>
    <xf borderId="41" fillId="11" fontId="17" numFmtId="0" xfId="0" applyAlignment="1" applyBorder="1" applyFill="1" applyFont="1">
      <alignment readingOrder="0"/>
    </xf>
    <xf borderId="41" fillId="11" fontId="17" numFmtId="4" xfId="0" applyBorder="1" applyFill="1" applyFont="1" applyNumberFormat="1"/>
    <xf borderId="52" fillId="0" fontId="17" numFmtId="0" xfId="0" applyBorder="1" applyFont="1"/>
    <xf borderId="52" fillId="0" fontId="26" numFmtId="0" xfId="0" applyAlignment="1" applyBorder="1" applyFont="1">
      <alignment readingOrder="0"/>
    </xf>
    <xf borderId="52" fillId="0" fontId="26" numFmtId="4" xfId="0" applyBorder="1" applyFont="1" applyNumberFormat="1"/>
    <xf borderId="0" fillId="11" fontId="17" numFmtId="0" xfId="0" applyAlignment="1" applyFill="1" applyFont="1">
      <alignment readingOrder="0"/>
    </xf>
    <xf borderId="52" fillId="11" fontId="17" numFmtId="0" xfId="0" applyBorder="1" applyFill="1" applyFont="1"/>
    <xf borderId="52" fillId="11" fontId="17" numFmtId="164" xfId="0" applyBorder="1" applyFill="1" applyFont="1" applyNumberFormat="1"/>
    <xf borderId="52" fillId="16" fontId="26" numFmtId="0" xfId="0" applyAlignment="1" applyBorder="1" applyFill="1" applyFont="1">
      <alignment readingOrder="0"/>
    </xf>
    <xf borderId="52" fillId="16" fontId="26" numFmtId="0" xfId="0" applyBorder="1" applyFill="1" applyFont="1"/>
    <xf borderId="52" fillId="16" fontId="26" numFmtId="164" xfId="0" applyBorder="1" applyFill="1" applyFont="1" applyNumberFormat="1"/>
    <xf borderId="52" fillId="11" fontId="17" numFmtId="4" xfId="0" applyBorder="1" applyFill="1" applyFont="1" applyNumberFormat="1"/>
    <xf borderId="41" fillId="0" fontId="17" numFmtId="4" xfId="0" applyAlignment="1" applyBorder="1" applyFont="1" applyNumberFormat="1">
      <alignment readingOrder="0"/>
    </xf>
    <xf borderId="52" fillId="27" fontId="17" numFmtId="0" xfId="0" applyAlignment="1" applyBorder="1" applyFill="1" applyFont="1">
      <alignment readingOrder="0"/>
    </xf>
    <xf borderId="52" fillId="27" fontId="17" numFmtId="0" xfId="0" applyBorder="1" applyFill="1" applyFont="1"/>
    <xf borderId="52" fillId="27" fontId="17" numFmtId="164" xfId="0" applyBorder="1" applyFill="1" applyFont="1" applyNumberFormat="1"/>
    <xf borderId="0" fillId="16" fontId="17" numFmtId="0" xfId="0" applyAlignment="1" applyFill="1" applyFont="1">
      <alignment readingOrder="0"/>
    </xf>
    <xf borderId="0" fillId="16" fontId="17" numFmtId="4" xfId="0" applyAlignment="1" applyFill="1" applyFont="1" applyNumberFormat="1">
      <alignment readingOrder="0"/>
    </xf>
    <xf borderId="0" fillId="16" fontId="17" numFmtId="4" xfId="0" applyFill="1" applyFont="1" applyNumberFormat="1"/>
    <xf borderId="0" fillId="16" fontId="17" numFmtId="0" xfId="0" applyAlignment="1" applyFill="1" applyFont="1">
      <alignment horizontal="center" readingOrder="0" vertical="center"/>
    </xf>
    <xf borderId="52" fillId="16" fontId="26" numFmtId="4" xfId="0" applyBorder="1" applyFill="1" applyFont="1" applyNumberFormat="1"/>
    <xf borderId="0" fillId="16" fontId="17" numFmtId="0" xfId="0" applyAlignment="1" applyFill="1" applyFont="1">
      <alignment horizontal="left" readingOrder="0" vertical="center"/>
    </xf>
    <xf borderId="0" fillId="16" fontId="17" numFmtId="0" xfId="0" applyAlignment="1" applyFill="1" applyFont="1">
      <alignment horizontal="left" readingOrder="0"/>
    </xf>
    <xf borderId="0" fillId="0" fontId="17" numFmtId="0" xfId="0" applyFont="1"/>
    <xf borderId="52" fillId="16" fontId="26" numFmtId="0" xfId="0" applyBorder="1" applyFill="1" applyFont="1"/>
    <xf borderId="0" fillId="17" fontId="17" numFmtId="0" xfId="0" applyFill="1" applyFont="1"/>
    <xf borderId="0" fillId="17" fontId="17" numFmtId="4" xfId="0" applyFill="1" applyFont="1" applyNumberFormat="1"/>
    <xf borderId="52" fillId="11" fontId="17" numFmtId="0" xfId="0" applyBorder="1" applyFill="1" applyFont="1"/>
    <xf borderId="29" fillId="0" fontId="5" numFmtId="164" xfId="0" applyAlignment="1" applyBorder="1" applyFont="1" applyNumberFormat="1">
      <alignment horizontal="right" readingOrder="0" vertical="bottom"/>
    </xf>
    <xf borderId="29" fillId="0" fontId="5" numFmtId="164" xfId="0" applyAlignment="1" applyBorder="1" applyFont="1" applyNumberFormat="1">
      <alignment horizontal="right" vertical="bottom"/>
    </xf>
    <xf borderId="29" fillId="25" fontId="5" numFmtId="164" xfId="0" applyAlignment="1" applyBorder="1" applyFill="1" applyFont="1" applyNumberFormat="1">
      <alignment readingOrder="0" vertical="bottom"/>
    </xf>
    <xf borderId="29" fillId="25" fontId="5" numFmtId="164" xfId="0" applyAlignment="1" applyBorder="1" applyFill="1" applyFont="1" applyNumberFormat="1">
      <alignment horizontal="right" vertical="bottom"/>
    </xf>
    <xf borderId="29" fillId="25" fontId="5" numFmtId="164" xfId="0" applyAlignment="1" applyBorder="1" applyFill="1" applyFont="1" applyNumberFormat="1">
      <alignment vertical="bottom"/>
    </xf>
    <xf borderId="0" fillId="0" fontId="5" numFmtId="164" xfId="0" applyAlignment="1" applyFont="1" applyNumberFormat="1">
      <alignment vertical="bottom"/>
    </xf>
    <xf borderId="29" fillId="11" fontId="5" numFmtId="164" xfId="0" applyAlignment="1" applyBorder="1" applyFill="1" applyFont="1" applyNumberFormat="1">
      <alignment vertical="bottom"/>
    </xf>
    <xf borderId="29" fillId="0" fontId="5" numFmtId="164" xfId="0" applyAlignment="1" applyBorder="1" applyFont="1" applyNumberFormat="1">
      <alignment readingOrder="0" vertical="bottom"/>
    </xf>
    <xf borderId="29" fillId="25" fontId="5" numFmtId="164" xfId="0" applyAlignment="1" applyBorder="1" applyFill="1" applyFont="1" applyNumberFormat="1">
      <alignment horizontal="right" readingOrder="0" vertical="bottom"/>
    </xf>
    <xf borderId="29" fillId="11" fontId="5" numFmtId="0" xfId="0" applyAlignment="1" applyBorder="1" applyFill="1" applyFont="1">
      <alignment horizontal="center" vertical="bottom"/>
    </xf>
    <xf borderId="47" fillId="11" fontId="5" numFmtId="164" xfId="0" applyAlignment="1" applyBorder="1" applyFill="1" applyFont="1" applyNumberFormat="1">
      <alignment vertical="bottom"/>
    </xf>
    <xf quotePrefix="1" borderId="0" fillId="0" fontId="16" numFmtId="0" xfId="0" applyAlignment="1" applyFont="1">
      <alignment horizontal="left"/>
    </xf>
    <xf borderId="47" fillId="0" fontId="5" numFmtId="164" xfId="0" applyAlignment="1" applyBorder="1" applyFont="1" applyNumberFormat="1">
      <alignment vertical="bottom"/>
    </xf>
    <xf borderId="65" fillId="0" fontId="9" numFmtId="0" xfId="0" applyBorder="1" applyFont="1"/>
    <xf borderId="65" fillId="0" fontId="9" numFmtId="0" xfId="0" applyAlignment="1" applyBorder="1" applyFont="1">
      <alignment horizontal="left"/>
    </xf>
    <xf borderId="65" fillId="0" fontId="9" numFmtId="4" xfId="0" applyBorder="1" applyFont="1" applyNumberFormat="1"/>
    <xf borderId="0" fillId="0" fontId="16" numFmtId="166" xfId="0" applyAlignment="1" applyFont="1" applyNumberFormat="1">
      <alignment horizontal="left"/>
    </xf>
    <xf borderId="0" fillId="0" fontId="5" numFmtId="169" xfId="0" applyAlignment="1" applyFont="1" applyNumberFormat="1">
      <alignment vertical="bottom"/>
    </xf>
    <xf borderId="29" fillId="23" fontId="6" numFmtId="0" xfId="0" applyAlignment="1" applyBorder="1" applyFill="1" applyFont="1">
      <alignment readingOrder="0" vertical="bottom"/>
    </xf>
    <xf borderId="29" fillId="23" fontId="6" numFmtId="0" xfId="0" applyAlignment="1" applyBorder="1" applyFill="1" applyFont="1">
      <alignment vertical="bottom"/>
    </xf>
    <xf borderId="29" fillId="23" fontId="6" numFmtId="1" xfId="0" applyAlignment="1" applyBorder="1" applyFill="1" applyFont="1" applyNumberFormat="1">
      <alignment horizontal="center" vertical="bottom"/>
    </xf>
    <xf borderId="29" fillId="23" fontId="6" numFmtId="164" xfId="0" applyAlignment="1" applyBorder="1" applyFill="1" applyFont="1" applyNumberFormat="1">
      <alignment horizontal="right" vertical="bottom"/>
    </xf>
    <xf borderId="29" fillId="23" fontId="5" numFmtId="164" xfId="0" applyAlignment="1" applyBorder="1" applyFill="1" applyFont="1" applyNumberFormat="1">
      <alignment vertical="bottom"/>
    </xf>
    <xf borderId="29" fillId="11" fontId="5" numFmtId="164" xfId="0" applyAlignment="1" applyBorder="1" applyFill="1" applyFont="1" applyNumberFormat="1">
      <alignment horizontal="right" readingOrder="0" vertical="bottom"/>
    </xf>
    <xf borderId="29" fillId="11" fontId="5" numFmtId="164" xfId="0" applyAlignment="1" applyBorder="1" applyFill="1" applyFont="1" applyNumberFormat="1">
      <alignment readingOrder="0" vertical="bottom"/>
    </xf>
    <xf borderId="0" fillId="0" fontId="39" numFmtId="0" xfId="0" applyAlignment="1" applyFont="1">
      <alignment horizontal="center"/>
    </xf>
    <xf borderId="0" fillId="0" fontId="5" numFmtId="16" xfId="0" applyAlignment="1" applyFont="1" applyNumberFormat="1">
      <alignment horizontal="left"/>
    </xf>
    <xf borderId="0" fillId="0" fontId="5" numFmtId="0" xfId="0" applyAlignment="1" applyFont="1">
      <alignment horizontal="left"/>
    </xf>
    <xf quotePrefix="1" borderId="0" fillId="0" fontId="5" numFmtId="16" xfId="0" applyAlignment="1" applyFont="1" applyNumberFormat="1">
      <alignment horizontal="left"/>
    </xf>
    <xf borderId="41" fillId="0" fontId="5" numFmtId="0" xfId="0" applyAlignment="1" applyBorder="1" applyFont="1">
      <alignment horizontal="center"/>
    </xf>
    <xf borderId="41" fillId="0" fontId="40" numFmtId="0" xfId="0" applyAlignment="1" applyBorder="1" applyFont="1">
      <alignment horizontal="center"/>
    </xf>
    <xf borderId="41" fillId="0" fontId="6" numFmtId="0" xfId="0" applyAlignment="1" applyBorder="1" applyFont="1">
      <alignment horizontal="left"/>
    </xf>
    <xf borderId="41" fillId="0" fontId="6" numFmtId="0" xfId="0" applyBorder="1" applyFont="1"/>
    <xf borderId="41" fillId="0" fontId="6" numFmtId="164" xfId="0" applyBorder="1" applyFont="1" applyNumberFormat="1"/>
    <xf borderId="0" fillId="0" fontId="40" numFmtId="0" xfId="0" applyAlignment="1" applyFont="1">
      <alignment horizontal="left"/>
    </xf>
    <xf borderId="0" fillId="0" fontId="6" numFmtId="0" xfId="0" applyFont="1"/>
    <xf borderId="65" fillId="0" fontId="5" numFmtId="0" xfId="0" applyAlignment="1" applyBorder="1" applyFont="1">
      <alignment horizontal="center"/>
    </xf>
    <xf borderId="65" fillId="0" fontId="40" numFmtId="0" xfId="0" applyAlignment="1" applyBorder="1" applyFont="1">
      <alignment horizontal="left"/>
    </xf>
    <xf borderId="65" fillId="0" fontId="6" numFmtId="0" xfId="0" applyAlignment="1" applyBorder="1" applyFont="1">
      <alignment horizontal="left"/>
    </xf>
    <xf borderId="65" fillId="0" fontId="6" numFmtId="0" xfId="0" applyBorder="1" applyFont="1"/>
    <xf borderId="65" fillId="0" fontId="6" numFmtId="164" xfId="0" applyBorder="1" applyFont="1" applyNumberFormat="1"/>
    <xf borderId="0" fillId="0" fontId="39" numFmtId="0" xfId="0" applyFont="1"/>
    <xf borderId="47" fillId="0" fontId="25" numFmtId="16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169" xfId="0" applyAlignment="1" applyFont="1" applyNumberFormat="1">
      <alignment readingOrder="0" vertical="bottom"/>
    </xf>
    <xf borderId="64" fillId="11" fontId="5" numFmtId="0" xfId="0" applyBorder="1" applyFill="1" applyFont="1"/>
    <xf borderId="64" fillId="11" fontId="6" numFmtId="0" xfId="0" applyBorder="1" applyFill="1" applyFont="1"/>
    <xf borderId="64" fillId="7" fontId="5" numFmtId="0" xfId="0" applyBorder="1" applyFill="1" applyFont="1"/>
    <xf borderId="64" fillId="7" fontId="6" numFmtId="0" xfId="0" applyBorder="1" applyFill="1" applyFont="1"/>
    <xf quotePrefix="1" borderId="0" fillId="0" fontId="5" numFmtId="16" xfId="0" applyFont="1" applyNumberFormat="1"/>
    <xf borderId="0" fillId="0" fontId="7" numFmtId="0" xfId="0" applyAlignment="1" applyFont="1">
      <alignment vertical="bottom"/>
    </xf>
    <xf borderId="47" fillId="11" fontId="25" numFmtId="164" xfId="0" applyAlignment="1" applyBorder="1" applyFill="1" applyFont="1" applyNumberFormat="1">
      <alignment horizontal="right" vertical="bottom"/>
    </xf>
    <xf borderId="0" fillId="0" fontId="7" numFmtId="164" xfId="0" applyAlignment="1" applyFont="1" applyNumberFormat="1">
      <alignment vertical="bottom"/>
    </xf>
    <xf borderId="29" fillId="25" fontId="15" numFmtId="164" xfId="0" applyAlignment="1" applyBorder="1" applyFill="1" applyFont="1" applyNumberFormat="1">
      <alignment readingOrder="0" vertical="bottom"/>
    </xf>
    <xf borderId="29" fillId="25" fontId="15" numFmtId="164" xfId="0" applyAlignment="1" applyBorder="1" applyFill="1" applyFont="1" applyNumberFormat="1">
      <alignment horizontal="right" readingOrder="0" vertical="bottom"/>
    </xf>
    <xf borderId="29" fillId="25" fontId="15" numFmtId="164" xfId="0" applyAlignment="1" applyBorder="1" applyFill="1" applyFont="1" applyNumberFormat="1">
      <alignment horizontal="right" vertical="bottom"/>
    </xf>
    <xf borderId="29" fillId="0" fontId="7" numFmtId="164" xfId="0" applyAlignment="1" applyBorder="1" applyFont="1" applyNumberFormat="1">
      <alignment vertical="bottom"/>
    </xf>
    <xf borderId="29" fillId="25" fontId="15" numFmtId="164" xfId="0" applyAlignment="1" applyBorder="1" applyFill="1" applyFont="1" applyNumberFormat="1">
      <alignment vertical="bottom"/>
    </xf>
    <xf borderId="0" fillId="0" fontId="7" numFmtId="0" xfId="0" applyAlignment="1" applyFont="1">
      <alignment readingOrder="0" vertical="bottom"/>
    </xf>
    <xf borderId="0" fillId="0" fontId="7" numFmtId="169" xfId="0" applyAlignment="1" applyFont="1" applyNumberFormat="1">
      <alignment readingOrder="0" vertical="bottom"/>
    </xf>
    <xf borderId="29" fillId="25" fontId="7" numFmtId="164" xfId="0" applyAlignment="1" applyBorder="1" applyFill="1" applyFont="1" applyNumberFormat="1">
      <alignment readingOrder="0" vertical="bottom"/>
    </xf>
    <xf borderId="0" fillId="0" fontId="41" numFmtId="0" xfId="0" applyFont="1"/>
    <xf borderId="29" fillId="23" fontId="13" numFmtId="0" xfId="0" applyAlignment="1" applyBorder="1" applyFill="1" applyFont="1">
      <alignment readingOrder="0" vertical="bottom"/>
    </xf>
    <xf borderId="29" fillId="23" fontId="13" numFmtId="0" xfId="0" applyAlignment="1" applyBorder="1" applyFill="1" applyFont="1">
      <alignment vertical="bottom"/>
    </xf>
    <xf borderId="29" fillId="23" fontId="13" numFmtId="1" xfId="0" applyAlignment="1" applyBorder="1" applyFill="1" applyFont="1" applyNumberFormat="1">
      <alignment horizontal="center" vertical="bottom"/>
    </xf>
    <xf borderId="29" fillId="23" fontId="13" numFmtId="164" xfId="0" applyAlignment="1" applyBorder="1" applyFill="1" applyFont="1" applyNumberFormat="1">
      <alignment horizontal="right" vertical="bottom"/>
    </xf>
    <xf borderId="29" fillId="23" fontId="35" numFmtId="164" xfId="0" applyAlignment="1" applyBorder="1" applyFill="1" applyFont="1" applyNumberFormat="1">
      <alignment horizontal="right" vertical="bottom"/>
    </xf>
    <xf borderId="29" fillId="23" fontId="15" numFmtId="164" xfId="0" applyAlignment="1" applyBorder="1" applyFill="1" applyFont="1" applyNumberFormat="1">
      <alignment vertical="bottom"/>
    </xf>
    <xf borderId="29" fillId="0" fontId="15" numFmtId="4" xfId="0" applyAlignment="1" applyBorder="1" applyFont="1" applyNumberFormat="1">
      <alignment horizontal="right" vertical="bottom"/>
    </xf>
    <xf borderId="0" fillId="0" fontId="7" numFmtId="169" xfId="0" applyAlignment="1" applyFont="1" applyNumberFormat="1">
      <alignment vertical="bottom"/>
    </xf>
    <xf borderId="29" fillId="0" fontId="15" numFmtId="0" xfId="0" applyAlignment="1" applyBorder="1" applyFont="1">
      <alignment horizontal="center" vertical="bottom"/>
    </xf>
    <xf borderId="29" fillId="25" fontId="7" numFmtId="164" xfId="0" applyAlignment="1" applyBorder="1" applyFill="1" applyFont="1" applyNumberFormat="1">
      <alignment horizontal="right" readingOrder="0" vertical="bottom"/>
    </xf>
    <xf borderId="29" fillId="23" fontId="42" numFmtId="164" xfId="0" applyAlignment="1" applyBorder="1" applyFill="1" applyFont="1" applyNumberFormat="1">
      <alignment horizontal="right" vertical="bottom"/>
    </xf>
    <xf borderId="29" fillId="0" fontId="6" numFmtId="0" xfId="0" applyAlignment="1" applyBorder="1" applyFont="1">
      <alignment readingOrder="0" vertical="bottom"/>
    </xf>
    <xf borderId="29" fillId="0" fontId="7" numFmtId="164" xfId="0" applyAlignment="1" applyBorder="1" applyFont="1" applyNumberFormat="1">
      <alignment horizontal="right" vertical="bottom"/>
    </xf>
    <xf borderId="29" fillId="11" fontId="5" numFmtId="0" xfId="0" applyAlignment="1" applyBorder="1" applyFill="1" applyFont="1">
      <alignment vertical="bottom"/>
    </xf>
    <xf borderId="29" fillId="0" fontId="5" numFmtId="0" xfId="0" applyAlignment="1" applyBorder="1" applyFont="1">
      <alignment horizontal="center" vertical="bottom"/>
    </xf>
    <xf borderId="0" fillId="0" fontId="5" numFmtId="164" xfId="0" applyAlignment="1" applyFont="1" applyNumberFormat="1">
      <alignment readingOrder="0"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2.0"/>
    <col customWidth="1" min="2" max="2" width="5.14"/>
    <col customWidth="1" min="3" max="3" width="7.86"/>
    <col customWidth="1" min="4" max="4" width="3.86"/>
    <col customWidth="1" min="5" max="7" width="11.86"/>
    <col customWidth="1" min="8" max="8" width="13.43"/>
    <col customWidth="1" min="9" max="9" width="11.86"/>
    <col customWidth="1" min="10" max="10" width="11.29"/>
    <col customWidth="1" min="11" max="11" width="12.14"/>
    <col customWidth="1" min="12" max="12" width="11.43"/>
    <col customWidth="1" min="13" max="13" width="10.86"/>
    <col customWidth="1" min="14" max="14" width="12.43"/>
    <col customWidth="1" min="15" max="15" width="12.14"/>
    <col customWidth="1" min="16" max="16" width="11.57"/>
    <col customWidth="1" min="17" max="17" width="13.43"/>
    <col customWidth="1" min="18" max="18" width="16.57"/>
    <col customWidth="1" min="19" max="19" width="8.71"/>
    <col customWidth="1" min="20" max="20" width="10.86"/>
    <col customWidth="1" min="21" max="21" width="16.14"/>
    <col customWidth="1" min="22" max="22" width="10.86"/>
    <col customWidth="1" min="23" max="29" width="8.71"/>
  </cols>
  <sheetData>
    <row r="1" ht="14.25" customHeight="1">
      <c r="B1" s="2">
        <v>635.0</v>
      </c>
      <c r="C1" s="4"/>
      <c r="D1" s="5"/>
      <c r="E1" s="6"/>
      <c r="F1" s="6"/>
      <c r="G1" s="6"/>
      <c r="H1" s="8"/>
      <c r="I1" s="10"/>
      <c r="J1" s="12"/>
      <c r="K1" s="14"/>
      <c r="L1" s="27" t="s">
        <v>4</v>
      </c>
      <c r="M1" s="30"/>
      <c r="N1" s="31"/>
      <c r="O1" s="79"/>
      <c r="P1" s="84" t="s">
        <v>25</v>
      </c>
      <c r="Q1" s="89"/>
      <c r="R1" s="92"/>
      <c r="S1" s="93"/>
    </row>
    <row r="2" ht="14.25" customHeight="1">
      <c r="A2" s="36"/>
      <c r="B2" s="97" t="s">
        <v>7</v>
      </c>
      <c r="C2" s="100"/>
      <c r="D2" s="102"/>
      <c r="E2" s="105" t="s">
        <v>8</v>
      </c>
      <c r="F2" s="107" t="s">
        <v>9</v>
      </c>
      <c r="G2" s="109" t="s">
        <v>10</v>
      </c>
      <c r="H2" s="105" t="s">
        <v>11</v>
      </c>
      <c r="I2" s="111" t="s">
        <v>12</v>
      </c>
      <c r="J2" s="44"/>
      <c r="K2" s="112" t="s">
        <v>13</v>
      </c>
      <c r="L2" s="46"/>
      <c r="M2" s="47"/>
      <c r="N2" s="48"/>
      <c r="O2" s="113" t="s">
        <v>14</v>
      </c>
      <c r="P2" s="116" t="s">
        <v>15</v>
      </c>
      <c r="Q2" s="120" t="s">
        <v>16</v>
      </c>
      <c r="R2" s="130" t="s">
        <v>11</v>
      </c>
      <c r="S2" s="133"/>
      <c r="T2" s="36"/>
      <c r="U2" s="36"/>
      <c r="V2" s="36"/>
      <c r="W2" s="36"/>
      <c r="X2" s="36"/>
      <c r="Y2" s="36"/>
      <c r="Z2" s="36"/>
      <c r="AA2" s="36"/>
      <c r="AB2" s="36"/>
      <c r="AC2" s="36"/>
    </row>
    <row r="3" ht="14.25" customHeight="1">
      <c r="A3" s="36"/>
      <c r="B3" s="138"/>
      <c r="C3" s="140"/>
      <c r="D3" s="141"/>
      <c r="E3" s="56"/>
      <c r="F3" s="57"/>
      <c r="G3" s="56"/>
      <c r="H3" s="56"/>
      <c r="I3" s="146" t="s">
        <v>17</v>
      </c>
      <c r="J3" s="146" t="s">
        <v>18</v>
      </c>
      <c r="K3" s="59"/>
      <c r="L3" s="150" t="s">
        <v>18</v>
      </c>
      <c r="M3" s="155" t="s">
        <v>19</v>
      </c>
      <c r="N3" s="157" t="s">
        <v>20</v>
      </c>
      <c r="O3" s="63"/>
      <c r="P3" s="56"/>
      <c r="Q3" s="56"/>
      <c r="R3" s="59"/>
      <c r="S3" s="133"/>
      <c r="T3" s="36"/>
      <c r="U3" s="36"/>
      <c r="V3" s="36"/>
      <c r="W3" s="36"/>
      <c r="X3" s="36"/>
      <c r="Y3" s="36"/>
      <c r="Z3" s="36"/>
      <c r="AA3" s="36"/>
      <c r="AB3" s="36"/>
      <c r="AC3" s="36"/>
    </row>
    <row r="4" ht="14.25" customHeight="1">
      <c r="B4" s="163" t="s">
        <v>38</v>
      </c>
      <c r="C4" s="165">
        <v>45941.0</v>
      </c>
      <c r="D4" s="167">
        <v>1.0</v>
      </c>
      <c r="E4" s="175">
        <v>2000.0</v>
      </c>
      <c r="F4" s="177"/>
      <c r="G4" s="177"/>
      <c r="H4" s="179"/>
      <c r="I4" s="175">
        <v>1000.0</v>
      </c>
      <c r="J4" s="177"/>
      <c r="K4" s="184">
        <f t="shared" ref="K4:K16" si="1">E4-I4-L4-M4-N4-J4+F4</f>
        <v>0</v>
      </c>
      <c r="L4" s="177"/>
      <c r="M4" s="177"/>
      <c r="N4" s="187">
        <v>1000.0</v>
      </c>
      <c r="O4" s="189">
        <v>-500.0</v>
      </c>
      <c r="P4" s="189"/>
      <c r="Q4" s="189">
        <f>N4+O4+P4</f>
        <v>500</v>
      </c>
      <c r="R4" s="189"/>
      <c r="S4" s="93"/>
    </row>
    <row r="5" ht="14.25" customHeight="1">
      <c r="B5" s="179"/>
      <c r="C5" s="167" t="s">
        <v>46</v>
      </c>
      <c r="D5" s="167">
        <v>1.0</v>
      </c>
      <c r="E5" s="175">
        <v>2300.0</v>
      </c>
      <c r="F5" s="177"/>
      <c r="G5" s="177"/>
      <c r="H5" s="179"/>
      <c r="I5" s="175">
        <v>1000.0</v>
      </c>
      <c r="J5" s="177"/>
      <c r="K5" s="184">
        <f t="shared" si="1"/>
        <v>0</v>
      </c>
      <c r="L5" s="177"/>
      <c r="M5" s="177"/>
      <c r="N5" s="187">
        <v>1300.0</v>
      </c>
      <c r="O5" s="189">
        <v>-500.0</v>
      </c>
      <c r="P5" s="189"/>
      <c r="Q5" s="189">
        <f t="shared" ref="Q5:Q21" si="2">Q4+N5+O5+P5</f>
        <v>1300</v>
      </c>
      <c r="R5" s="189"/>
      <c r="S5" s="93"/>
    </row>
    <row r="6" ht="14.25" customHeight="1">
      <c r="B6" s="179"/>
      <c r="C6" s="167" t="s">
        <v>29</v>
      </c>
      <c r="D6" s="167">
        <v>1.0</v>
      </c>
      <c r="E6" s="175">
        <v>2600.0</v>
      </c>
      <c r="F6" s="177"/>
      <c r="G6" s="175">
        <v>-300.0</v>
      </c>
      <c r="H6" s="179"/>
      <c r="I6" s="175">
        <v>500.0</v>
      </c>
      <c r="J6" s="177"/>
      <c r="K6" s="184">
        <f t="shared" si="1"/>
        <v>0</v>
      </c>
      <c r="L6" s="177"/>
      <c r="M6" s="177"/>
      <c r="N6" s="187">
        <v>2100.0</v>
      </c>
      <c r="O6" s="189">
        <v>-500.0</v>
      </c>
      <c r="P6" s="189"/>
      <c r="Q6" s="189">
        <f t="shared" si="2"/>
        <v>2900</v>
      </c>
      <c r="R6" s="189"/>
      <c r="S6" s="93"/>
    </row>
    <row r="7" ht="14.25" customHeight="1">
      <c r="B7" s="179"/>
      <c r="C7" s="167" t="s">
        <v>54</v>
      </c>
      <c r="D7" s="167">
        <v>2.0</v>
      </c>
      <c r="E7" s="175">
        <v>5300.0</v>
      </c>
      <c r="F7" s="177"/>
      <c r="G7" s="177"/>
      <c r="H7" s="179"/>
      <c r="I7" s="175">
        <v>1500.0</v>
      </c>
      <c r="J7" s="177"/>
      <c r="K7" s="184">
        <f t="shared" si="1"/>
        <v>0</v>
      </c>
      <c r="L7" s="177"/>
      <c r="M7" s="177"/>
      <c r="N7" s="187">
        <v>3800.0</v>
      </c>
      <c r="O7" s="207">
        <v>-500.0</v>
      </c>
      <c r="P7" s="189"/>
      <c r="Q7" s="189">
        <f t="shared" si="2"/>
        <v>6200</v>
      </c>
      <c r="R7" s="189"/>
      <c r="S7" s="93"/>
    </row>
    <row r="8" ht="14.25" customHeight="1">
      <c r="B8" s="179"/>
      <c r="C8" s="167" t="s">
        <v>56</v>
      </c>
      <c r="D8" s="167">
        <v>2.0</v>
      </c>
      <c r="E8" s="175">
        <f>4200+1800</f>
        <v>6000</v>
      </c>
      <c r="F8" s="177"/>
      <c r="G8" s="175">
        <v>-800.0</v>
      </c>
      <c r="H8" s="179"/>
      <c r="I8" s="177"/>
      <c r="J8" s="177"/>
      <c r="K8" s="184">
        <f t="shared" si="1"/>
        <v>0</v>
      </c>
      <c r="L8" s="177"/>
      <c r="M8" s="175">
        <v>1800.0</v>
      </c>
      <c r="N8" s="187">
        <v>4200.0</v>
      </c>
      <c r="O8" s="189">
        <v>-500.0</v>
      </c>
      <c r="P8" s="189"/>
      <c r="Q8" s="189">
        <f t="shared" si="2"/>
        <v>9900</v>
      </c>
      <c r="R8" s="189"/>
      <c r="S8" s="93"/>
    </row>
    <row r="9" ht="14.25" customHeight="1">
      <c r="B9" s="222"/>
      <c r="C9" s="223" t="s">
        <v>64</v>
      </c>
      <c r="D9" s="224"/>
      <c r="E9" s="226"/>
      <c r="F9" s="226"/>
      <c r="G9" s="226"/>
      <c r="H9" s="222"/>
      <c r="I9" s="226"/>
      <c r="J9" s="226"/>
      <c r="K9" s="230">
        <f t="shared" si="1"/>
        <v>0</v>
      </c>
      <c r="L9" s="226"/>
      <c r="M9" s="226"/>
      <c r="N9" s="231"/>
      <c r="O9" s="226"/>
      <c r="P9" s="226"/>
      <c r="Q9" s="226">
        <f t="shared" si="2"/>
        <v>9900</v>
      </c>
      <c r="R9" s="226"/>
      <c r="S9" s="93"/>
    </row>
    <row r="10" ht="14.25" customHeight="1">
      <c r="B10" s="179"/>
      <c r="C10" s="167" t="s">
        <v>68</v>
      </c>
      <c r="D10" s="167">
        <v>1.0</v>
      </c>
      <c r="E10" s="175">
        <v>3350.0</v>
      </c>
      <c r="F10" s="175">
        <v>450.0</v>
      </c>
      <c r="G10" s="177"/>
      <c r="H10" s="179"/>
      <c r="I10" s="175">
        <v>1450.0</v>
      </c>
      <c r="J10" s="177"/>
      <c r="K10" s="184">
        <f t="shared" si="1"/>
        <v>0</v>
      </c>
      <c r="L10" s="177"/>
      <c r="M10" s="177"/>
      <c r="N10" s="187">
        <v>2350.0</v>
      </c>
      <c r="O10" s="189">
        <v>-500.0</v>
      </c>
      <c r="P10" s="189"/>
      <c r="Q10" s="189">
        <f t="shared" si="2"/>
        <v>11750</v>
      </c>
      <c r="R10" s="189"/>
      <c r="S10" s="93"/>
    </row>
    <row r="11" ht="14.25" customHeight="1">
      <c r="B11" s="179"/>
      <c r="C11" s="167" t="s">
        <v>70</v>
      </c>
      <c r="D11" s="167">
        <v>2.0</v>
      </c>
      <c r="E11" s="175">
        <v>4800.0</v>
      </c>
      <c r="F11" s="177"/>
      <c r="G11" s="177"/>
      <c r="H11" s="179"/>
      <c r="I11" s="175">
        <v>1300.0</v>
      </c>
      <c r="J11" s="177"/>
      <c r="K11" s="184">
        <f t="shared" si="1"/>
        <v>0</v>
      </c>
      <c r="L11" s="177"/>
      <c r="M11" s="177"/>
      <c r="N11" s="187">
        <v>3500.0</v>
      </c>
      <c r="O11" s="189">
        <v>-500.0</v>
      </c>
      <c r="P11" s="189"/>
      <c r="Q11" s="189">
        <f t="shared" si="2"/>
        <v>14750</v>
      </c>
      <c r="R11" s="189"/>
      <c r="S11" s="93"/>
    </row>
    <row r="12" ht="14.25" customHeight="1">
      <c r="B12" s="179"/>
      <c r="C12" s="167" t="s">
        <v>44</v>
      </c>
      <c r="D12" s="167">
        <v>1.0</v>
      </c>
      <c r="E12" s="177">
        <f>2100+350</f>
        <v>2450</v>
      </c>
      <c r="F12" s="177"/>
      <c r="G12" s="177"/>
      <c r="H12" s="179"/>
      <c r="I12" s="175">
        <v>600.0</v>
      </c>
      <c r="J12" s="177"/>
      <c r="K12" s="184">
        <f t="shared" si="1"/>
        <v>0</v>
      </c>
      <c r="L12" s="177"/>
      <c r="M12" s="175">
        <v>1850.0</v>
      </c>
      <c r="N12" s="187"/>
      <c r="O12" s="207">
        <v>-500.0</v>
      </c>
      <c r="P12" s="189"/>
      <c r="Q12" s="189">
        <f t="shared" si="2"/>
        <v>14250</v>
      </c>
      <c r="R12" s="189"/>
      <c r="S12" s="93"/>
    </row>
    <row r="13" ht="14.25" customHeight="1">
      <c r="B13" s="222"/>
      <c r="C13" s="223" t="s">
        <v>45</v>
      </c>
      <c r="D13" s="224"/>
      <c r="E13" s="226"/>
      <c r="F13" s="226"/>
      <c r="G13" s="226"/>
      <c r="H13" s="222"/>
      <c r="I13" s="226"/>
      <c r="J13" s="226"/>
      <c r="K13" s="230">
        <f t="shared" si="1"/>
        <v>0</v>
      </c>
      <c r="L13" s="226"/>
      <c r="M13" s="226"/>
      <c r="N13" s="231"/>
      <c r="O13" s="226"/>
      <c r="P13" s="226"/>
      <c r="Q13" s="226">
        <f t="shared" si="2"/>
        <v>14250</v>
      </c>
      <c r="R13" s="226"/>
      <c r="S13" s="93"/>
    </row>
    <row r="14" ht="14.25" customHeight="1">
      <c r="B14" s="179"/>
      <c r="C14" s="167" t="s">
        <v>47</v>
      </c>
      <c r="D14" s="167">
        <v>1.0</v>
      </c>
      <c r="E14" s="175">
        <v>2650.0</v>
      </c>
      <c r="F14" s="177"/>
      <c r="G14" s="177"/>
      <c r="H14" s="179"/>
      <c r="I14" s="175">
        <v>1000.0</v>
      </c>
      <c r="J14" s="177"/>
      <c r="K14" s="184">
        <f t="shared" si="1"/>
        <v>0</v>
      </c>
      <c r="L14" s="177"/>
      <c r="M14" s="177"/>
      <c r="N14" s="187">
        <v>1650.0</v>
      </c>
      <c r="O14" s="189">
        <v>-500.0</v>
      </c>
      <c r="P14" s="189"/>
      <c r="Q14" s="189">
        <f t="shared" si="2"/>
        <v>15400</v>
      </c>
      <c r="R14" s="189"/>
      <c r="S14" s="93"/>
    </row>
    <row r="15" ht="14.25" customHeight="1">
      <c r="B15" s="222"/>
      <c r="C15" s="223" t="s">
        <v>72</v>
      </c>
      <c r="D15" s="224"/>
      <c r="E15" s="226"/>
      <c r="F15" s="226"/>
      <c r="G15" s="226"/>
      <c r="H15" s="222"/>
      <c r="I15" s="226"/>
      <c r="J15" s="226"/>
      <c r="K15" s="230">
        <f t="shared" si="1"/>
        <v>0</v>
      </c>
      <c r="L15" s="226"/>
      <c r="M15" s="226"/>
      <c r="N15" s="231"/>
      <c r="O15" s="226"/>
      <c r="P15" s="226"/>
      <c r="Q15" s="226">
        <f t="shared" si="2"/>
        <v>15400</v>
      </c>
      <c r="R15" s="226"/>
      <c r="S15" s="93"/>
    </row>
    <row r="16" ht="14.25" customHeight="1">
      <c r="B16" s="179"/>
      <c r="C16" s="167" t="s">
        <v>74</v>
      </c>
      <c r="D16" s="167">
        <v>1.0</v>
      </c>
      <c r="E16" s="175">
        <v>2300.0</v>
      </c>
      <c r="F16" s="177"/>
      <c r="G16" s="177"/>
      <c r="H16" s="179"/>
      <c r="I16" s="175">
        <v>500.0</v>
      </c>
      <c r="J16" s="177"/>
      <c r="K16" s="184">
        <f t="shared" si="1"/>
        <v>0</v>
      </c>
      <c r="L16" s="177"/>
      <c r="M16" s="175">
        <v>800.0</v>
      </c>
      <c r="N16" s="187">
        <v>1000.0</v>
      </c>
      <c r="O16" s="207">
        <v>-500.0</v>
      </c>
      <c r="P16" s="189"/>
      <c r="Q16" s="189">
        <f t="shared" si="2"/>
        <v>15900</v>
      </c>
      <c r="R16" s="189"/>
      <c r="S16" s="93"/>
    </row>
    <row r="17" ht="14.25" customHeight="1">
      <c r="B17" s="179"/>
      <c r="C17" s="242"/>
      <c r="D17" s="242"/>
      <c r="E17" s="177"/>
      <c r="F17" s="177"/>
      <c r="G17" s="177"/>
      <c r="H17" s="179"/>
      <c r="I17" s="177"/>
      <c r="J17" s="177"/>
      <c r="K17" s="184"/>
      <c r="L17" s="177"/>
      <c r="M17" s="177"/>
      <c r="N17" s="244"/>
      <c r="O17" s="189"/>
      <c r="P17" s="207">
        <v>-500.0</v>
      </c>
      <c r="Q17" s="189">
        <f t="shared" si="2"/>
        <v>15400</v>
      </c>
      <c r="R17" s="207" t="s">
        <v>77</v>
      </c>
      <c r="S17" s="93"/>
    </row>
    <row r="18" ht="14.25" customHeight="1">
      <c r="B18" s="179"/>
      <c r="C18" s="242"/>
      <c r="D18" s="242"/>
      <c r="E18" s="177"/>
      <c r="F18" s="177"/>
      <c r="G18" s="177"/>
      <c r="H18" s="179"/>
      <c r="I18" s="177"/>
      <c r="J18" s="177"/>
      <c r="K18" s="184"/>
      <c r="L18" s="177"/>
      <c r="M18" s="177"/>
      <c r="N18" s="244"/>
      <c r="O18" s="189"/>
      <c r="P18" s="207">
        <v>-500.0</v>
      </c>
      <c r="Q18" s="189">
        <f t="shared" si="2"/>
        <v>14900</v>
      </c>
      <c r="R18" s="207" t="s">
        <v>82</v>
      </c>
      <c r="S18" s="93"/>
    </row>
    <row r="19" ht="14.25" customHeight="1">
      <c r="B19" s="179"/>
      <c r="C19" s="242"/>
      <c r="D19" s="242"/>
      <c r="E19" s="177"/>
      <c r="F19" s="177"/>
      <c r="G19" s="177"/>
      <c r="H19" s="179"/>
      <c r="I19" s="177"/>
      <c r="J19" s="177"/>
      <c r="K19" s="184">
        <f t="shared" ref="K19:K20" si="3">E19-I19-L19-M19-N19-J19+F19</f>
        <v>0</v>
      </c>
      <c r="L19" s="177"/>
      <c r="M19" s="177"/>
      <c r="N19" s="244"/>
      <c r="O19" s="189"/>
      <c r="P19" s="189">
        <f>-1500+-300</f>
        <v>-1800</v>
      </c>
      <c r="Q19" s="189">
        <f t="shared" si="2"/>
        <v>13100</v>
      </c>
      <c r="R19" s="207" t="s">
        <v>83</v>
      </c>
      <c r="S19" s="93"/>
    </row>
    <row r="20" ht="14.25" customHeight="1">
      <c r="B20" s="252"/>
      <c r="C20" s="253"/>
      <c r="D20" s="253"/>
      <c r="E20" s="254"/>
      <c r="F20" s="254"/>
      <c r="G20" s="254"/>
      <c r="H20" s="252"/>
      <c r="I20" s="254"/>
      <c r="J20" s="254"/>
      <c r="K20" s="255">
        <f t="shared" si="3"/>
        <v>0</v>
      </c>
      <c r="L20" s="254"/>
      <c r="M20" s="254"/>
      <c r="N20" s="256"/>
      <c r="O20" s="257"/>
      <c r="P20" s="258">
        <v>-695.5</v>
      </c>
      <c r="Q20" s="257">
        <f t="shared" si="2"/>
        <v>12404.5</v>
      </c>
      <c r="R20" s="258" t="s">
        <v>84</v>
      </c>
      <c r="S20" s="93"/>
    </row>
    <row r="21" ht="14.25" customHeight="1">
      <c r="B21" s="259"/>
      <c r="C21" s="260"/>
      <c r="D21" s="260"/>
      <c r="E21" s="261"/>
      <c r="F21" s="261"/>
      <c r="G21" s="261"/>
      <c r="H21" s="259"/>
      <c r="I21" s="261"/>
      <c r="J21" s="261"/>
      <c r="K21" s="262"/>
      <c r="L21" s="261"/>
      <c r="M21" s="261"/>
      <c r="N21" s="263"/>
      <c r="O21" s="263"/>
      <c r="P21" s="264">
        <v>-12404.5</v>
      </c>
      <c r="Q21" s="263">
        <f t="shared" si="2"/>
        <v>0</v>
      </c>
      <c r="R21" s="263"/>
      <c r="S21" s="93"/>
    </row>
    <row r="22" ht="14.25" customHeight="1">
      <c r="B22" s="265" t="s">
        <v>38</v>
      </c>
      <c r="C22" s="266" t="s">
        <v>66</v>
      </c>
      <c r="D22" s="266">
        <f t="shared" ref="D22:E22" si="4">sum(D4:D19)</f>
        <v>13</v>
      </c>
      <c r="E22" s="268">
        <f t="shared" si="4"/>
        <v>33750</v>
      </c>
      <c r="F22" s="268"/>
      <c r="G22" s="268">
        <f>sum(G4:G19)</f>
        <v>-1100</v>
      </c>
      <c r="H22" s="266"/>
      <c r="I22" s="268">
        <f t="shared" ref="I22:P22" si="5">sum(I4:I19)</f>
        <v>8850</v>
      </c>
      <c r="J22" s="268">
        <f t="shared" si="5"/>
        <v>0</v>
      </c>
      <c r="K22" s="268">
        <f t="shared" si="5"/>
        <v>0</v>
      </c>
      <c r="L22" s="268">
        <f t="shared" si="5"/>
        <v>0</v>
      </c>
      <c r="M22" s="268">
        <f t="shared" si="5"/>
        <v>4450</v>
      </c>
      <c r="N22" s="268">
        <f t="shared" si="5"/>
        <v>20900</v>
      </c>
      <c r="O22" s="268">
        <f t="shared" si="5"/>
        <v>-5000</v>
      </c>
      <c r="P22" s="268">
        <f t="shared" si="5"/>
        <v>-2800</v>
      </c>
      <c r="Q22" s="271">
        <f>Q21</f>
        <v>0</v>
      </c>
      <c r="R22" s="272"/>
      <c r="S22" s="93"/>
    </row>
    <row r="23" ht="14.25" customHeight="1">
      <c r="B23" s="163" t="s">
        <v>91</v>
      </c>
      <c r="C23" s="165">
        <v>45659.0</v>
      </c>
      <c r="D23" s="167">
        <v>1.0</v>
      </c>
      <c r="E23" s="175">
        <v>3750.0</v>
      </c>
      <c r="F23" s="177"/>
      <c r="G23" s="177"/>
      <c r="H23" s="179"/>
      <c r="I23" s="175">
        <v>1000.0</v>
      </c>
      <c r="J23" s="177"/>
      <c r="K23" s="184">
        <f t="shared" ref="K23:K43" si="6">E23-I23-L23-M23-N23-J23+F23</f>
        <v>0</v>
      </c>
      <c r="L23" s="177"/>
      <c r="M23" s="177"/>
      <c r="N23" s="187">
        <v>2750.0</v>
      </c>
      <c r="O23" s="207">
        <v>-500.0</v>
      </c>
      <c r="P23" s="189"/>
      <c r="Q23" s="189">
        <f>N23+O23+P23</f>
        <v>2250</v>
      </c>
      <c r="R23" s="189"/>
      <c r="S23" s="93"/>
    </row>
    <row r="24" ht="14.25" customHeight="1">
      <c r="B24" s="179"/>
      <c r="C24" s="165">
        <v>45691.0</v>
      </c>
      <c r="D24" s="167">
        <v>1.0</v>
      </c>
      <c r="E24" s="175">
        <f>2600+350</f>
        <v>2950</v>
      </c>
      <c r="F24" s="177"/>
      <c r="G24" s="177"/>
      <c r="H24" s="179"/>
      <c r="I24" s="175"/>
      <c r="J24" s="175">
        <v>1200.0</v>
      </c>
      <c r="K24" s="184">
        <f t="shared" si="6"/>
        <v>0</v>
      </c>
      <c r="L24" s="177"/>
      <c r="M24" s="177"/>
      <c r="N24" s="187">
        <v>1750.0</v>
      </c>
      <c r="O24" s="207">
        <v>-500.0</v>
      </c>
      <c r="P24" s="189"/>
      <c r="Q24" s="189">
        <f t="shared" ref="Q24:Q48" si="7">Q23+N24+O24+P24</f>
        <v>3500</v>
      </c>
      <c r="R24" s="189"/>
      <c r="S24" s="93"/>
    </row>
    <row r="25" ht="14.25" customHeight="1">
      <c r="B25" s="222"/>
      <c r="C25" s="277">
        <v>45721.0</v>
      </c>
      <c r="D25" s="223"/>
      <c r="E25" s="279"/>
      <c r="F25" s="226"/>
      <c r="G25" s="279"/>
      <c r="H25" s="222"/>
      <c r="I25" s="279"/>
      <c r="J25" s="226"/>
      <c r="K25" s="230">
        <f t="shared" si="6"/>
        <v>0</v>
      </c>
      <c r="L25" s="226"/>
      <c r="M25" s="226"/>
      <c r="N25" s="280"/>
      <c r="O25" s="226"/>
      <c r="P25" s="226"/>
      <c r="Q25" s="226">
        <f t="shared" si="7"/>
        <v>3500</v>
      </c>
      <c r="R25" s="226"/>
      <c r="S25" s="93"/>
    </row>
    <row r="26" ht="14.25" customHeight="1">
      <c r="B26" s="179"/>
      <c r="C26" s="165">
        <v>45783.0</v>
      </c>
      <c r="D26" s="167">
        <v>1.0</v>
      </c>
      <c r="E26" s="175">
        <v>2000.0</v>
      </c>
      <c r="F26" s="177"/>
      <c r="G26" s="177"/>
      <c r="H26" s="179"/>
      <c r="I26" s="175">
        <v>800.0</v>
      </c>
      <c r="J26" s="177"/>
      <c r="K26" s="184">
        <f t="shared" si="6"/>
        <v>0</v>
      </c>
      <c r="L26" s="177"/>
      <c r="M26" s="177"/>
      <c r="N26" s="187">
        <v>1200.0</v>
      </c>
      <c r="O26" s="207">
        <v>-500.0</v>
      </c>
      <c r="P26" s="189"/>
      <c r="Q26" s="189">
        <f t="shared" si="7"/>
        <v>4200</v>
      </c>
      <c r="R26" s="189"/>
      <c r="S26" s="93"/>
    </row>
    <row r="27" ht="14.25" customHeight="1">
      <c r="B27" s="179"/>
      <c r="C27" s="165">
        <v>45816.0</v>
      </c>
      <c r="D27" s="167">
        <v>2.0</v>
      </c>
      <c r="E27" s="175">
        <v>3240.1</v>
      </c>
      <c r="F27" s="177"/>
      <c r="G27" s="175"/>
      <c r="H27" s="289" t="s">
        <v>42</v>
      </c>
      <c r="I27" s="177"/>
      <c r="J27" s="177"/>
      <c r="K27" s="184">
        <f t="shared" si="6"/>
        <v>0</v>
      </c>
      <c r="L27" s="175">
        <v>3240.1</v>
      </c>
      <c r="M27" s="175"/>
      <c r="N27" s="187"/>
      <c r="O27" s="207">
        <v>-500.0</v>
      </c>
      <c r="P27" s="189"/>
      <c r="Q27" s="189">
        <f t="shared" si="7"/>
        <v>3700</v>
      </c>
      <c r="R27" s="189"/>
      <c r="S27" s="93"/>
    </row>
    <row r="28" ht="14.25" customHeight="1">
      <c r="B28" s="179"/>
      <c r="C28" s="165">
        <v>45878.0</v>
      </c>
      <c r="D28" s="167">
        <v>1.0</v>
      </c>
      <c r="E28" s="175">
        <v>3500.0</v>
      </c>
      <c r="F28" s="177"/>
      <c r="G28" s="177"/>
      <c r="H28" s="179"/>
      <c r="I28" s="175">
        <v>1000.0</v>
      </c>
      <c r="J28" s="177"/>
      <c r="K28" s="184">
        <f t="shared" si="6"/>
        <v>0</v>
      </c>
      <c r="L28" s="177"/>
      <c r="M28" s="177"/>
      <c r="N28" s="187">
        <v>2500.0</v>
      </c>
      <c r="O28" s="207">
        <v>-500.0</v>
      </c>
      <c r="P28" s="189"/>
      <c r="Q28" s="189">
        <f t="shared" si="7"/>
        <v>5700</v>
      </c>
      <c r="R28" s="189"/>
      <c r="S28" s="93"/>
    </row>
    <row r="29" ht="14.25" customHeight="1">
      <c r="B29" s="222"/>
      <c r="C29" s="277">
        <v>45910.0</v>
      </c>
      <c r="D29" s="223"/>
      <c r="E29" s="279"/>
      <c r="F29" s="279"/>
      <c r="G29" s="226"/>
      <c r="H29" s="222"/>
      <c r="I29" s="279"/>
      <c r="J29" s="226"/>
      <c r="K29" s="230">
        <f t="shared" si="6"/>
        <v>0</v>
      </c>
      <c r="L29" s="226"/>
      <c r="M29" s="226"/>
      <c r="N29" s="280"/>
      <c r="O29" s="226"/>
      <c r="P29" s="226"/>
      <c r="Q29" s="226">
        <f t="shared" si="7"/>
        <v>5700</v>
      </c>
      <c r="R29" s="226"/>
      <c r="S29" s="93"/>
    </row>
    <row r="30" ht="14.25" customHeight="1">
      <c r="B30" s="179"/>
      <c r="C30" s="165">
        <v>45941.0</v>
      </c>
      <c r="D30" s="167">
        <v>1.0</v>
      </c>
      <c r="E30" s="175">
        <f>2100</f>
        <v>2100</v>
      </c>
      <c r="F30" s="175">
        <v>350.0</v>
      </c>
      <c r="G30" s="177"/>
      <c r="H30" s="179"/>
      <c r="I30" s="175">
        <v>950.0</v>
      </c>
      <c r="J30" s="177"/>
      <c r="K30" s="184">
        <f t="shared" si="6"/>
        <v>0</v>
      </c>
      <c r="L30" s="177"/>
      <c r="M30" s="177"/>
      <c r="N30" s="187">
        <v>1500.0</v>
      </c>
      <c r="O30" s="207">
        <v>-500.0</v>
      </c>
      <c r="P30" s="189"/>
      <c r="Q30" s="189">
        <f t="shared" si="7"/>
        <v>6700</v>
      </c>
      <c r="R30" s="189"/>
      <c r="S30" s="93"/>
    </row>
    <row r="31" ht="14.25" customHeight="1">
      <c r="B31" s="222"/>
      <c r="C31" s="277">
        <v>45975.0</v>
      </c>
      <c r="D31" s="223"/>
      <c r="E31" s="226"/>
      <c r="F31" s="226"/>
      <c r="G31" s="226"/>
      <c r="H31" s="222"/>
      <c r="I31" s="279"/>
      <c r="J31" s="226"/>
      <c r="K31" s="230">
        <f t="shared" si="6"/>
        <v>0</v>
      </c>
      <c r="L31" s="226"/>
      <c r="M31" s="279"/>
      <c r="N31" s="280"/>
      <c r="O31" s="279"/>
      <c r="P31" s="226"/>
      <c r="Q31" s="226">
        <f t="shared" si="7"/>
        <v>6700</v>
      </c>
      <c r="R31" s="226"/>
      <c r="S31" s="93"/>
    </row>
    <row r="32" ht="14.25" customHeight="1">
      <c r="B32" s="179"/>
      <c r="C32" s="167" t="s">
        <v>30</v>
      </c>
      <c r="D32" s="167">
        <v>1.0</v>
      </c>
      <c r="E32" s="175">
        <v>3000.0</v>
      </c>
      <c r="F32" s="177"/>
      <c r="G32" s="177"/>
      <c r="H32" s="179"/>
      <c r="I32" s="175">
        <v>500.0</v>
      </c>
      <c r="J32" s="177"/>
      <c r="K32" s="184">
        <f t="shared" si="6"/>
        <v>0</v>
      </c>
      <c r="L32" s="177"/>
      <c r="M32" s="177"/>
      <c r="N32" s="187">
        <v>2500.0</v>
      </c>
      <c r="O32" s="207">
        <v>-500.0</v>
      </c>
      <c r="P32" s="189"/>
      <c r="Q32" s="189">
        <f t="shared" si="7"/>
        <v>8700</v>
      </c>
      <c r="R32" s="189"/>
      <c r="S32" s="93"/>
    </row>
    <row r="33" ht="14.25" customHeight="1">
      <c r="B33" s="179"/>
      <c r="C33" s="167" t="s">
        <v>31</v>
      </c>
      <c r="D33" s="167">
        <v>1.0</v>
      </c>
      <c r="E33" s="175">
        <v>2500.0</v>
      </c>
      <c r="F33" s="177"/>
      <c r="G33" s="177"/>
      <c r="H33" s="179"/>
      <c r="I33" s="175">
        <v>1000.0</v>
      </c>
      <c r="J33" s="177"/>
      <c r="K33" s="184">
        <f t="shared" si="6"/>
        <v>0</v>
      </c>
      <c r="L33" s="177"/>
      <c r="M33" s="177"/>
      <c r="N33" s="187">
        <v>1500.0</v>
      </c>
      <c r="O33" s="207">
        <v>-500.0</v>
      </c>
      <c r="P33" s="189"/>
      <c r="Q33" s="189">
        <f t="shared" si="7"/>
        <v>9700</v>
      </c>
      <c r="R33" s="189"/>
      <c r="S33" s="93"/>
    </row>
    <row r="34" ht="14.25" customHeight="1">
      <c r="B34" s="179"/>
      <c r="C34" s="167" t="s">
        <v>56</v>
      </c>
      <c r="D34" s="167">
        <v>2.0</v>
      </c>
      <c r="E34" s="175">
        <v>3500.0</v>
      </c>
      <c r="F34" s="177"/>
      <c r="G34" s="177"/>
      <c r="H34" s="179"/>
      <c r="I34" s="175">
        <v>1500.0</v>
      </c>
      <c r="J34" s="177"/>
      <c r="K34" s="184">
        <f t="shared" si="6"/>
        <v>0</v>
      </c>
      <c r="L34" s="177"/>
      <c r="M34" s="177"/>
      <c r="N34" s="187">
        <v>2000.0</v>
      </c>
      <c r="O34" s="207">
        <v>-500.0</v>
      </c>
      <c r="P34" s="189"/>
      <c r="Q34" s="189">
        <f t="shared" si="7"/>
        <v>11200</v>
      </c>
      <c r="R34" s="189"/>
      <c r="S34" s="93"/>
    </row>
    <row r="35" ht="14.25" customHeight="1">
      <c r="B35" s="179"/>
      <c r="C35" s="167" t="s">
        <v>64</v>
      </c>
      <c r="D35" s="167"/>
      <c r="E35" s="175"/>
      <c r="F35" s="177"/>
      <c r="G35" s="177"/>
      <c r="H35" s="179"/>
      <c r="I35" s="175"/>
      <c r="J35" s="177"/>
      <c r="K35" s="184">
        <f t="shared" si="6"/>
        <v>0</v>
      </c>
      <c r="L35" s="177"/>
      <c r="M35" s="177"/>
      <c r="N35" s="244"/>
      <c r="O35" s="207">
        <v>-500.0</v>
      </c>
      <c r="P35" s="189"/>
      <c r="Q35" s="189">
        <f t="shared" si="7"/>
        <v>10700</v>
      </c>
      <c r="R35" s="207" t="s">
        <v>103</v>
      </c>
      <c r="S35" s="93"/>
    </row>
    <row r="36" ht="14.25" customHeight="1">
      <c r="B36" s="179"/>
      <c r="C36" s="167" t="s">
        <v>37</v>
      </c>
      <c r="D36" s="167">
        <v>1.0</v>
      </c>
      <c r="E36" s="175">
        <v>3500.0</v>
      </c>
      <c r="F36" s="177"/>
      <c r="G36" s="177"/>
      <c r="H36" s="179"/>
      <c r="I36" s="175">
        <v>700.0</v>
      </c>
      <c r="J36" s="177"/>
      <c r="K36" s="184">
        <f t="shared" si="6"/>
        <v>0</v>
      </c>
      <c r="L36" s="177"/>
      <c r="M36" s="177"/>
      <c r="N36" s="187">
        <v>2800.0</v>
      </c>
      <c r="O36" s="207">
        <v>-500.0</v>
      </c>
      <c r="P36" s="207"/>
      <c r="Q36" s="189">
        <f t="shared" si="7"/>
        <v>13000</v>
      </c>
      <c r="R36" s="207"/>
      <c r="S36" s="93"/>
    </row>
    <row r="37" ht="14.25" customHeight="1">
      <c r="B37" s="179"/>
      <c r="C37" s="167" t="s">
        <v>104</v>
      </c>
      <c r="D37" s="167">
        <v>3.0</v>
      </c>
      <c r="E37" s="175">
        <f>4899+1000</f>
        <v>5899</v>
      </c>
      <c r="F37" s="177"/>
      <c r="G37" s="298">
        <v>-899.0</v>
      </c>
      <c r="H37" s="179"/>
      <c r="I37" s="175">
        <v>1000.0</v>
      </c>
      <c r="J37" s="177"/>
      <c r="K37" s="184">
        <f t="shared" si="6"/>
        <v>0</v>
      </c>
      <c r="L37" s="177"/>
      <c r="M37" s="177"/>
      <c r="N37" s="187">
        <v>4899.0</v>
      </c>
      <c r="O37" s="207">
        <v>-500.0</v>
      </c>
      <c r="P37" s="207"/>
      <c r="Q37" s="189">
        <f t="shared" si="7"/>
        <v>17399</v>
      </c>
      <c r="R37" s="207"/>
      <c r="S37" s="93"/>
    </row>
    <row r="38" ht="14.25" customHeight="1">
      <c r="B38" s="222"/>
      <c r="C38" s="223" t="s">
        <v>47</v>
      </c>
      <c r="D38" s="224"/>
      <c r="E38" s="226"/>
      <c r="F38" s="226"/>
      <c r="G38" s="226"/>
      <c r="H38" s="222"/>
      <c r="I38" s="226"/>
      <c r="J38" s="226"/>
      <c r="K38" s="230">
        <f t="shared" si="6"/>
        <v>0</v>
      </c>
      <c r="L38" s="226"/>
      <c r="M38" s="226"/>
      <c r="N38" s="231"/>
      <c r="O38" s="226"/>
      <c r="P38" s="226"/>
      <c r="Q38" s="226">
        <f t="shared" si="7"/>
        <v>17399</v>
      </c>
      <c r="R38" s="279"/>
      <c r="S38" s="93"/>
    </row>
    <row r="39" ht="14.25" customHeight="1">
      <c r="B39" s="179"/>
      <c r="C39" s="167" t="s">
        <v>72</v>
      </c>
      <c r="D39" s="167">
        <v>1.0</v>
      </c>
      <c r="E39" s="175">
        <v>2400.0</v>
      </c>
      <c r="F39" s="177"/>
      <c r="G39" s="177"/>
      <c r="H39" s="179"/>
      <c r="I39" s="175">
        <v>1500.0</v>
      </c>
      <c r="J39" s="177"/>
      <c r="K39" s="184">
        <f t="shared" si="6"/>
        <v>0</v>
      </c>
      <c r="L39" s="177"/>
      <c r="M39" s="175">
        <v>900.0</v>
      </c>
      <c r="N39" s="187"/>
      <c r="O39" s="207">
        <v>-500.0</v>
      </c>
      <c r="P39" s="189"/>
      <c r="Q39" s="189">
        <f t="shared" si="7"/>
        <v>16899</v>
      </c>
      <c r="R39" s="207"/>
      <c r="S39" s="93"/>
    </row>
    <row r="40" ht="14.25" customHeight="1">
      <c r="B40" s="179"/>
      <c r="C40" s="167" t="s">
        <v>73</v>
      </c>
      <c r="D40" s="242"/>
      <c r="E40" s="175">
        <v>1000.0</v>
      </c>
      <c r="F40" s="177"/>
      <c r="G40" s="177"/>
      <c r="H40" s="289" t="s">
        <v>106</v>
      </c>
      <c r="I40" s="175">
        <v>1000.0</v>
      </c>
      <c r="J40" s="177"/>
      <c r="K40" s="184">
        <f t="shared" si="6"/>
        <v>0</v>
      </c>
      <c r="L40" s="177"/>
      <c r="M40" s="177"/>
      <c r="N40" s="244"/>
      <c r="O40" s="189"/>
      <c r="P40" s="189"/>
      <c r="Q40" s="189">
        <f t="shared" si="7"/>
        <v>16899</v>
      </c>
      <c r="R40" s="207"/>
      <c r="S40" s="93"/>
    </row>
    <row r="41" ht="14.25" customHeight="1">
      <c r="B41" s="179"/>
      <c r="C41" s="167" t="s">
        <v>49</v>
      </c>
      <c r="D41" s="167">
        <v>1.0</v>
      </c>
      <c r="E41" s="175">
        <v>1900.0</v>
      </c>
      <c r="F41" s="177"/>
      <c r="G41" s="177"/>
      <c r="H41" s="179"/>
      <c r="I41" s="175">
        <v>1000.0</v>
      </c>
      <c r="J41" s="177"/>
      <c r="K41" s="184">
        <f t="shared" si="6"/>
        <v>0</v>
      </c>
      <c r="L41" s="177"/>
      <c r="M41" s="177"/>
      <c r="N41" s="187">
        <v>900.0</v>
      </c>
      <c r="O41" s="207">
        <v>-500.0</v>
      </c>
      <c r="P41" s="189"/>
      <c r="Q41" s="189">
        <f t="shared" si="7"/>
        <v>17299</v>
      </c>
      <c r="R41" s="207"/>
      <c r="S41" s="93"/>
    </row>
    <row r="42" ht="14.25" customHeight="1">
      <c r="B42" s="222"/>
      <c r="C42" s="223" t="s">
        <v>50</v>
      </c>
      <c r="D42" s="224"/>
      <c r="E42" s="226"/>
      <c r="F42" s="226"/>
      <c r="G42" s="226"/>
      <c r="H42" s="222"/>
      <c r="I42" s="226"/>
      <c r="J42" s="226"/>
      <c r="K42" s="230">
        <f t="shared" si="6"/>
        <v>0</v>
      </c>
      <c r="L42" s="226"/>
      <c r="M42" s="226"/>
      <c r="N42" s="231"/>
      <c r="O42" s="226"/>
      <c r="P42" s="226"/>
      <c r="Q42" s="226">
        <f t="shared" si="7"/>
        <v>17299</v>
      </c>
      <c r="R42" s="279"/>
      <c r="S42" s="93"/>
    </row>
    <row r="43" ht="14.25" customHeight="1">
      <c r="B43" s="252"/>
      <c r="C43" s="305" t="s">
        <v>89</v>
      </c>
      <c r="D43" s="305">
        <v>2.0</v>
      </c>
      <c r="E43" s="306">
        <v>3900.0</v>
      </c>
      <c r="F43" s="254"/>
      <c r="G43" s="254"/>
      <c r="H43" s="252"/>
      <c r="I43" s="306">
        <v>900.0</v>
      </c>
      <c r="J43" s="254"/>
      <c r="K43" s="255">
        <f t="shared" si="6"/>
        <v>0</v>
      </c>
      <c r="L43" s="254"/>
      <c r="M43" s="254"/>
      <c r="N43" s="307">
        <v>3000.0</v>
      </c>
      <c r="O43" s="258">
        <v>-500.0</v>
      </c>
      <c r="P43" s="257"/>
      <c r="Q43" s="257">
        <f t="shared" si="7"/>
        <v>19799</v>
      </c>
      <c r="R43" s="257"/>
      <c r="S43" s="93"/>
    </row>
    <row r="44" ht="14.25" customHeight="1">
      <c r="B44" s="259"/>
      <c r="C44" s="260"/>
      <c r="D44" s="260"/>
      <c r="E44" s="261"/>
      <c r="F44" s="261"/>
      <c r="G44" s="261"/>
      <c r="H44" s="259"/>
      <c r="I44" s="261"/>
      <c r="J44" s="261"/>
      <c r="K44" s="262"/>
      <c r="L44" s="261"/>
      <c r="M44" s="261"/>
      <c r="N44" s="263"/>
      <c r="O44" s="263"/>
      <c r="P44" s="264">
        <v>-1059.8</v>
      </c>
      <c r="Q44" s="263">
        <f t="shared" si="7"/>
        <v>18739.2</v>
      </c>
      <c r="R44" s="264" t="s">
        <v>92</v>
      </c>
      <c r="S44" s="93"/>
    </row>
    <row r="45" ht="14.25" customHeight="1">
      <c r="B45" s="259"/>
      <c r="C45" s="260"/>
      <c r="D45" s="260"/>
      <c r="E45" s="261"/>
      <c r="F45" s="261"/>
      <c r="G45" s="261"/>
      <c r="H45" s="259"/>
      <c r="I45" s="261"/>
      <c r="J45" s="261"/>
      <c r="K45" s="262"/>
      <c r="L45" s="261"/>
      <c r="M45" s="261"/>
      <c r="N45" s="263"/>
      <c r="O45" s="263"/>
      <c r="P45" s="264">
        <v>-105.0</v>
      </c>
      <c r="Q45" s="263">
        <f t="shared" si="7"/>
        <v>18634.2</v>
      </c>
      <c r="R45" s="264" t="s">
        <v>111</v>
      </c>
      <c r="S45" s="93"/>
    </row>
    <row r="46" ht="14.25" customHeight="1">
      <c r="B46" s="259"/>
      <c r="C46" s="260"/>
      <c r="D46" s="260"/>
      <c r="E46" s="261"/>
      <c r="F46" s="261"/>
      <c r="G46" s="261"/>
      <c r="H46" s="259"/>
      <c r="I46" s="261"/>
      <c r="J46" s="261"/>
      <c r="K46" s="262"/>
      <c r="L46" s="261"/>
      <c r="M46" s="261"/>
      <c r="N46" s="263"/>
      <c r="O46" s="263"/>
      <c r="P46" s="264">
        <v>-103.0</v>
      </c>
      <c r="Q46" s="263">
        <f t="shared" si="7"/>
        <v>18531.2</v>
      </c>
      <c r="R46" s="264" t="s">
        <v>113</v>
      </c>
      <c r="S46" s="93"/>
    </row>
    <row r="47" ht="14.25" customHeight="1">
      <c r="B47" s="259"/>
      <c r="C47" s="260"/>
      <c r="D47" s="260"/>
      <c r="E47" s="261"/>
      <c r="F47" s="261"/>
      <c r="G47" s="261"/>
      <c r="H47" s="259"/>
      <c r="I47" s="261"/>
      <c r="J47" s="261"/>
      <c r="K47" s="262"/>
      <c r="L47" s="261"/>
      <c r="M47" s="261"/>
      <c r="N47" s="263"/>
      <c r="O47" s="263"/>
      <c r="P47" s="264">
        <v>-500.0</v>
      </c>
      <c r="Q47" s="263">
        <f t="shared" si="7"/>
        <v>18031.2</v>
      </c>
      <c r="R47" s="264" t="s">
        <v>76</v>
      </c>
      <c r="S47" s="93"/>
    </row>
    <row r="48" ht="14.25" customHeight="1">
      <c r="B48" s="259"/>
      <c r="C48" s="260"/>
      <c r="D48" s="260"/>
      <c r="E48" s="261"/>
      <c r="F48" s="261"/>
      <c r="G48" s="261"/>
      <c r="H48" s="259"/>
      <c r="I48" s="261"/>
      <c r="J48" s="261"/>
      <c r="K48" s="262"/>
      <c r="L48" s="261"/>
      <c r="M48" s="261"/>
      <c r="N48" s="263"/>
      <c r="O48" s="263"/>
      <c r="P48" s="264">
        <v>-18031.2</v>
      </c>
      <c r="Q48" s="263">
        <f t="shared" si="7"/>
        <v>0</v>
      </c>
      <c r="R48" s="264"/>
      <c r="S48" s="93"/>
    </row>
    <row r="49" ht="14.25" customHeight="1">
      <c r="B49" s="265" t="s">
        <v>91</v>
      </c>
      <c r="C49" s="266" t="s">
        <v>66</v>
      </c>
      <c r="D49" s="266">
        <f t="shared" ref="D49:P49" si="8">sum(D23:D44)</f>
        <v>19</v>
      </c>
      <c r="E49" s="268">
        <f t="shared" si="8"/>
        <v>45139.1</v>
      </c>
      <c r="F49" s="268">
        <f t="shared" si="8"/>
        <v>350</v>
      </c>
      <c r="G49" s="268">
        <f t="shared" si="8"/>
        <v>-899</v>
      </c>
      <c r="H49" s="268">
        <f t="shared" si="8"/>
        <v>0</v>
      </c>
      <c r="I49" s="268">
        <f t="shared" si="8"/>
        <v>12850</v>
      </c>
      <c r="J49" s="268">
        <f t="shared" si="8"/>
        <v>1200</v>
      </c>
      <c r="K49" s="268">
        <f t="shared" si="8"/>
        <v>0</v>
      </c>
      <c r="L49" s="268">
        <f t="shared" si="8"/>
        <v>3240.1</v>
      </c>
      <c r="M49" s="268">
        <f t="shared" si="8"/>
        <v>900</v>
      </c>
      <c r="N49" s="268">
        <f t="shared" si="8"/>
        <v>27299</v>
      </c>
      <c r="O49" s="268">
        <f t="shared" si="8"/>
        <v>-7500</v>
      </c>
      <c r="P49" s="268">
        <f t="shared" si="8"/>
        <v>-1059.8</v>
      </c>
      <c r="Q49" s="271">
        <f t="shared" ref="Q49:Q50" si="9">Q48</f>
        <v>0</v>
      </c>
      <c r="R49" s="272"/>
      <c r="S49" s="93"/>
    </row>
    <row r="50" ht="14.25" customHeight="1">
      <c r="B50" s="311" t="s">
        <v>112</v>
      </c>
      <c r="C50" s="277">
        <v>45693.0</v>
      </c>
      <c r="D50" s="223"/>
      <c r="E50" s="279"/>
      <c r="F50" s="226"/>
      <c r="G50" s="279"/>
      <c r="H50" s="222"/>
      <c r="I50" s="279"/>
      <c r="J50" s="226"/>
      <c r="K50" s="230">
        <f t="shared" ref="K50:K73" si="10">E50-I50-L50-M50-N50-J50+F50</f>
        <v>0</v>
      </c>
      <c r="L50" s="226"/>
      <c r="M50" s="226"/>
      <c r="N50" s="280"/>
      <c r="O50" s="226"/>
      <c r="P50" s="226"/>
      <c r="Q50" s="226">
        <f t="shared" si="9"/>
        <v>0</v>
      </c>
      <c r="R50" s="226"/>
      <c r="S50" s="93"/>
    </row>
    <row r="51" ht="14.25" customHeight="1">
      <c r="B51" s="163" t="s">
        <v>112</v>
      </c>
      <c r="C51" s="165">
        <v>45783.0</v>
      </c>
      <c r="D51" s="167">
        <v>1.0</v>
      </c>
      <c r="E51" s="175">
        <v>3400.0</v>
      </c>
      <c r="F51" s="177"/>
      <c r="G51" s="177"/>
      <c r="H51" s="179"/>
      <c r="I51" s="175">
        <v>1000.0</v>
      </c>
      <c r="J51" s="177"/>
      <c r="K51" s="184">
        <f t="shared" si="10"/>
        <v>0</v>
      </c>
      <c r="L51" s="177"/>
      <c r="M51" s="175">
        <v>2400.0</v>
      </c>
      <c r="N51" s="187"/>
      <c r="O51" s="207">
        <v>-500.0</v>
      </c>
      <c r="P51" s="189"/>
      <c r="Q51" s="189">
        <f t="shared" ref="Q51:Q73" si="11">Q50+N51+O51+P51</f>
        <v>-500</v>
      </c>
      <c r="R51" s="207" t="s">
        <v>115</v>
      </c>
      <c r="S51" s="312" t="s">
        <v>116</v>
      </c>
    </row>
    <row r="52" ht="14.25" customHeight="1">
      <c r="B52" s="179"/>
      <c r="C52" s="165">
        <v>45816.0</v>
      </c>
      <c r="D52" s="167">
        <v>2.0</v>
      </c>
      <c r="E52" s="175">
        <v>5000.0</v>
      </c>
      <c r="F52" s="177"/>
      <c r="G52" s="175"/>
      <c r="H52" s="289"/>
      <c r="I52" s="175">
        <v>1000.0</v>
      </c>
      <c r="J52" s="177"/>
      <c r="K52" s="184">
        <f t="shared" si="10"/>
        <v>0</v>
      </c>
      <c r="L52" s="175"/>
      <c r="M52" s="175"/>
      <c r="N52" s="187">
        <v>4000.0</v>
      </c>
      <c r="O52" s="207">
        <v>-500.0</v>
      </c>
      <c r="P52" s="189"/>
      <c r="Q52" s="189">
        <f t="shared" si="11"/>
        <v>3000</v>
      </c>
      <c r="R52" s="189"/>
      <c r="S52" s="93"/>
    </row>
    <row r="53" ht="14.25" customHeight="1">
      <c r="B53" s="179"/>
      <c r="C53" s="165">
        <v>45878.0</v>
      </c>
      <c r="D53" s="167">
        <v>1.0</v>
      </c>
      <c r="E53" s="175">
        <f>2400+800</f>
        <v>3200</v>
      </c>
      <c r="F53" s="177"/>
      <c r="G53" s="177"/>
      <c r="H53" s="179"/>
      <c r="I53" s="175">
        <v>1000.0</v>
      </c>
      <c r="J53" s="177"/>
      <c r="K53" s="184">
        <f t="shared" si="10"/>
        <v>0</v>
      </c>
      <c r="L53" s="177"/>
      <c r="M53" s="177"/>
      <c r="N53" s="187">
        <v>2200.0</v>
      </c>
      <c r="O53" s="207">
        <v>-500.0</v>
      </c>
      <c r="P53" s="189"/>
      <c r="Q53" s="189">
        <f t="shared" si="11"/>
        <v>4700</v>
      </c>
      <c r="R53" s="189"/>
      <c r="S53" s="93"/>
    </row>
    <row r="54" ht="14.25" customHeight="1">
      <c r="B54" s="222"/>
      <c r="C54" s="277">
        <v>45910.0</v>
      </c>
      <c r="D54" s="223"/>
      <c r="E54" s="279"/>
      <c r="F54" s="279"/>
      <c r="G54" s="226"/>
      <c r="H54" s="222"/>
      <c r="I54" s="279"/>
      <c r="J54" s="226"/>
      <c r="K54" s="230">
        <f t="shared" si="10"/>
        <v>0</v>
      </c>
      <c r="L54" s="226"/>
      <c r="M54" s="226"/>
      <c r="N54" s="280"/>
      <c r="O54" s="226"/>
      <c r="P54" s="226"/>
      <c r="Q54" s="226">
        <f t="shared" si="11"/>
        <v>4700</v>
      </c>
      <c r="R54" s="226"/>
      <c r="S54" s="93"/>
    </row>
    <row r="55" ht="14.25" customHeight="1">
      <c r="B55" s="179"/>
      <c r="C55" s="165">
        <v>45942.0</v>
      </c>
      <c r="D55" s="167">
        <v>2.0</v>
      </c>
      <c r="E55" s="175">
        <v>5200.0</v>
      </c>
      <c r="F55" s="175"/>
      <c r="G55" s="177"/>
      <c r="H55" s="179"/>
      <c r="I55" s="175">
        <v>1500.0</v>
      </c>
      <c r="J55" s="177"/>
      <c r="K55" s="184">
        <f t="shared" si="10"/>
        <v>0</v>
      </c>
      <c r="L55" s="177"/>
      <c r="M55" s="177"/>
      <c r="N55" s="187">
        <v>3700.0</v>
      </c>
      <c r="O55" s="207">
        <v>-500.0</v>
      </c>
      <c r="P55" s="189"/>
      <c r="Q55" s="189">
        <f t="shared" si="11"/>
        <v>7900</v>
      </c>
      <c r="R55" s="189"/>
      <c r="S55" s="93"/>
    </row>
    <row r="56" ht="14.25" customHeight="1">
      <c r="B56" s="179"/>
      <c r="C56" s="165">
        <v>46004.0</v>
      </c>
      <c r="D56" s="167">
        <v>1.0</v>
      </c>
      <c r="E56" s="175">
        <v>3800.0</v>
      </c>
      <c r="F56" s="177"/>
      <c r="G56" s="177"/>
      <c r="H56" s="179"/>
      <c r="I56" s="175">
        <v>1000.0</v>
      </c>
      <c r="J56" s="177"/>
      <c r="K56" s="184">
        <f t="shared" si="10"/>
        <v>0</v>
      </c>
      <c r="L56" s="177"/>
      <c r="M56" s="177"/>
      <c r="N56" s="187">
        <v>2800.0</v>
      </c>
      <c r="O56" s="207">
        <v>-500.0</v>
      </c>
      <c r="P56" s="189"/>
      <c r="Q56" s="189">
        <f t="shared" si="11"/>
        <v>10200</v>
      </c>
      <c r="R56" s="189"/>
      <c r="S56" s="93"/>
    </row>
    <row r="57" ht="14.25" customHeight="1">
      <c r="B57" s="179"/>
      <c r="C57" s="167" t="s">
        <v>117</v>
      </c>
      <c r="D57" s="167">
        <v>2.0</v>
      </c>
      <c r="E57" s="175">
        <v>5000.0</v>
      </c>
      <c r="F57" s="177"/>
      <c r="G57" s="177"/>
      <c r="H57" s="179"/>
      <c r="I57" s="175">
        <v>1500.0</v>
      </c>
      <c r="J57" s="177"/>
      <c r="K57" s="184">
        <f t="shared" si="10"/>
        <v>0</v>
      </c>
      <c r="L57" s="177"/>
      <c r="M57" s="177"/>
      <c r="N57" s="187">
        <v>3500.0</v>
      </c>
      <c r="O57" s="207">
        <v>-500.0</v>
      </c>
      <c r="P57" s="189"/>
      <c r="Q57" s="189">
        <f t="shared" si="11"/>
        <v>13200</v>
      </c>
      <c r="R57" s="189"/>
      <c r="S57" s="93"/>
    </row>
    <row r="58" ht="14.25" customHeight="1">
      <c r="B58" s="222"/>
      <c r="C58" s="223" t="s">
        <v>30</v>
      </c>
      <c r="D58" s="223"/>
      <c r="E58" s="279"/>
      <c r="F58" s="226"/>
      <c r="G58" s="226"/>
      <c r="H58" s="222"/>
      <c r="I58" s="279"/>
      <c r="J58" s="226"/>
      <c r="K58" s="230">
        <f t="shared" si="10"/>
        <v>0</v>
      </c>
      <c r="L58" s="226"/>
      <c r="M58" s="226"/>
      <c r="N58" s="280"/>
      <c r="O58" s="279"/>
      <c r="P58" s="226"/>
      <c r="Q58" s="226">
        <f t="shared" si="11"/>
        <v>13200</v>
      </c>
      <c r="R58" s="226"/>
      <c r="S58" s="93"/>
    </row>
    <row r="59" ht="14.25" customHeight="1">
      <c r="B59" s="179"/>
      <c r="C59" s="167" t="s">
        <v>31</v>
      </c>
      <c r="D59" s="167">
        <v>1.0</v>
      </c>
      <c r="E59" s="175">
        <v>2550.0</v>
      </c>
      <c r="F59" s="177"/>
      <c r="G59" s="177"/>
      <c r="H59" s="179"/>
      <c r="I59" s="175">
        <v>650.0</v>
      </c>
      <c r="J59" s="177"/>
      <c r="K59" s="184">
        <f t="shared" si="10"/>
        <v>0</v>
      </c>
      <c r="L59" s="177"/>
      <c r="M59" s="175">
        <v>1900.0</v>
      </c>
      <c r="N59" s="187"/>
      <c r="O59" s="207">
        <v>-500.0</v>
      </c>
      <c r="P59" s="189"/>
      <c r="Q59" s="189">
        <f t="shared" si="11"/>
        <v>12700</v>
      </c>
      <c r="R59" s="207" t="s">
        <v>115</v>
      </c>
      <c r="S59" s="312" t="s">
        <v>123</v>
      </c>
    </row>
    <row r="60" ht="14.25" customHeight="1">
      <c r="B60" s="179"/>
      <c r="C60" s="167" t="s">
        <v>31</v>
      </c>
      <c r="D60" s="167"/>
      <c r="E60" s="175">
        <v>1000.0</v>
      </c>
      <c r="F60" s="177"/>
      <c r="G60" s="177"/>
      <c r="H60" s="289" t="s">
        <v>81</v>
      </c>
      <c r="I60" s="175">
        <v>1000.0</v>
      </c>
      <c r="J60" s="177"/>
      <c r="K60" s="184">
        <f t="shared" si="10"/>
        <v>0</v>
      </c>
      <c r="L60" s="177"/>
      <c r="M60" s="177"/>
      <c r="N60" s="187"/>
      <c r="O60" s="207"/>
      <c r="P60" s="207"/>
      <c r="Q60" s="189">
        <f t="shared" si="11"/>
        <v>12700</v>
      </c>
      <c r="R60" s="207" t="s">
        <v>81</v>
      </c>
      <c r="S60" s="93"/>
    </row>
    <row r="61" ht="14.25" customHeight="1">
      <c r="B61" s="179"/>
      <c r="C61" s="167" t="s">
        <v>32</v>
      </c>
      <c r="D61" s="167">
        <v>1.0</v>
      </c>
      <c r="E61" s="175">
        <v>2800.0</v>
      </c>
      <c r="F61" s="177"/>
      <c r="G61" s="177"/>
      <c r="H61" s="179"/>
      <c r="I61" s="175">
        <v>1000.0</v>
      </c>
      <c r="J61" s="177"/>
      <c r="K61" s="184">
        <f t="shared" si="10"/>
        <v>0</v>
      </c>
      <c r="L61" s="177"/>
      <c r="M61" s="175"/>
      <c r="N61" s="187">
        <v>1800.0</v>
      </c>
      <c r="O61" s="207">
        <v>-500.0</v>
      </c>
      <c r="P61" s="189"/>
      <c r="Q61" s="189">
        <f t="shared" si="11"/>
        <v>14000</v>
      </c>
      <c r="R61" s="207"/>
      <c r="S61" s="93"/>
    </row>
    <row r="62" ht="14.25" customHeight="1">
      <c r="B62" s="179"/>
      <c r="C62" s="167" t="s">
        <v>33</v>
      </c>
      <c r="D62" s="167">
        <v>1.0</v>
      </c>
      <c r="E62" s="175">
        <v>3200.0</v>
      </c>
      <c r="F62" s="175">
        <v>400.0</v>
      </c>
      <c r="G62" s="177"/>
      <c r="H62" s="289"/>
      <c r="I62" s="175">
        <v>1200.0</v>
      </c>
      <c r="J62" s="177"/>
      <c r="K62" s="184">
        <f t="shared" si="10"/>
        <v>0</v>
      </c>
      <c r="L62" s="177"/>
      <c r="M62" s="177"/>
      <c r="N62" s="187">
        <v>2400.0</v>
      </c>
      <c r="O62" s="207">
        <v>-500.0</v>
      </c>
      <c r="P62" s="189"/>
      <c r="Q62" s="189">
        <f t="shared" si="11"/>
        <v>15900</v>
      </c>
      <c r="R62" s="207"/>
      <c r="S62" s="93"/>
    </row>
    <row r="63" ht="14.25" customHeight="1">
      <c r="B63" s="179"/>
      <c r="C63" s="167" t="s">
        <v>64</v>
      </c>
      <c r="D63" s="167">
        <v>2.0</v>
      </c>
      <c r="E63" s="175">
        <v>4074.0</v>
      </c>
      <c r="F63" s="177"/>
      <c r="G63" s="177"/>
      <c r="H63" s="179"/>
      <c r="I63" s="175"/>
      <c r="J63" s="177"/>
      <c r="K63" s="184">
        <f t="shared" si="10"/>
        <v>0</v>
      </c>
      <c r="L63" s="175">
        <v>4074.0</v>
      </c>
      <c r="M63" s="177"/>
      <c r="N63" s="187"/>
      <c r="O63" s="207">
        <v>-500.0</v>
      </c>
      <c r="P63" s="189"/>
      <c r="Q63" s="189">
        <f t="shared" si="11"/>
        <v>15400</v>
      </c>
      <c r="R63" s="207"/>
      <c r="S63" s="93"/>
    </row>
    <row r="64" ht="14.25" customHeight="1">
      <c r="B64" s="179"/>
      <c r="C64" s="167" t="s">
        <v>68</v>
      </c>
      <c r="D64" s="167">
        <v>1.0</v>
      </c>
      <c r="E64" s="175">
        <v>2550.0</v>
      </c>
      <c r="F64" s="177"/>
      <c r="G64" s="177"/>
      <c r="H64" s="179"/>
      <c r="I64" s="175">
        <v>500.0</v>
      </c>
      <c r="J64" s="177"/>
      <c r="K64" s="184">
        <f t="shared" si="10"/>
        <v>0</v>
      </c>
      <c r="L64" s="177"/>
      <c r="M64" s="177"/>
      <c r="N64" s="187">
        <v>2050.0</v>
      </c>
      <c r="O64" s="207">
        <v>-500.0</v>
      </c>
      <c r="P64" s="189"/>
      <c r="Q64" s="189">
        <f t="shared" si="11"/>
        <v>16950</v>
      </c>
      <c r="R64" s="207"/>
      <c r="S64" s="93"/>
    </row>
    <row r="65" ht="14.25" customHeight="1">
      <c r="B65" s="179"/>
      <c r="C65" s="167" t="s">
        <v>37</v>
      </c>
      <c r="D65" s="167">
        <v>1.0</v>
      </c>
      <c r="E65" s="175">
        <f>2700</f>
        <v>2700</v>
      </c>
      <c r="F65" s="175">
        <v>450.0</v>
      </c>
      <c r="G65" s="177"/>
      <c r="H65" s="179"/>
      <c r="I65" s="175"/>
      <c r="J65" s="175">
        <v>1200.0</v>
      </c>
      <c r="K65" s="184">
        <f t="shared" si="10"/>
        <v>0</v>
      </c>
      <c r="L65" s="177"/>
      <c r="M65" s="177"/>
      <c r="N65" s="187">
        <v>1950.0</v>
      </c>
      <c r="O65" s="207">
        <v>-500.0</v>
      </c>
      <c r="P65" s="189"/>
      <c r="Q65" s="189">
        <f t="shared" si="11"/>
        <v>18400</v>
      </c>
      <c r="R65" s="207"/>
      <c r="S65" s="93"/>
    </row>
    <row r="66" ht="14.25" customHeight="1">
      <c r="B66" s="179"/>
      <c r="C66" s="167" t="s">
        <v>41</v>
      </c>
      <c r="D66" s="167">
        <v>1.0</v>
      </c>
      <c r="E66" s="175">
        <v>3300.0</v>
      </c>
      <c r="F66" s="175">
        <v>350.0</v>
      </c>
      <c r="G66" s="177"/>
      <c r="H66" s="179"/>
      <c r="I66" s="175">
        <v>1350.0</v>
      </c>
      <c r="J66" s="177"/>
      <c r="K66" s="184">
        <f t="shared" si="10"/>
        <v>0</v>
      </c>
      <c r="L66" s="177"/>
      <c r="M66" s="175">
        <v>2300.0</v>
      </c>
      <c r="N66" s="187"/>
      <c r="O66" s="207">
        <v>-500.0</v>
      </c>
      <c r="P66" s="189"/>
      <c r="Q66" s="189">
        <f t="shared" si="11"/>
        <v>17900</v>
      </c>
      <c r="R66" s="207"/>
      <c r="S66" s="93"/>
    </row>
    <row r="67" ht="14.25" customHeight="1">
      <c r="B67" s="179"/>
      <c r="C67" s="167" t="s">
        <v>44</v>
      </c>
      <c r="D67" s="167"/>
      <c r="E67" s="175">
        <v>1500.0</v>
      </c>
      <c r="F67" s="177"/>
      <c r="G67" s="177"/>
      <c r="H67" s="179"/>
      <c r="I67" s="175"/>
      <c r="J67" s="177"/>
      <c r="K67" s="184">
        <f t="shared" si="10"/>
        <v>0</v>
      </c>
      <c r="L67" s="177"/>
      <c r="M67" s="175">
        <v>1500.0</v>
      </c>
      <c r="N67" s="187"/>
      <c r="O67" s="207"/>
      <c r="P67" s="189"/>
      <c r="Q67" s="189">
        <f t="shared" si="11"/>
        <v>17900</v>
      </c>
      <c r="R67" s="207" t="s">
        <v>131</v>
      </c>
      <c r="S67" s="93"/>
    </row>
    <row r="68" ht="14.25" customHeight="1">
      <c r="B68" s="222"/>
      <c r="C68" s="223" t="s">
        <v>45</v>
      </c>
      <c r="D68" s="224"/>
      <c r="E68" s="226"/>
      <c r="F68" s="226"/>
      <c r="G68" s="226"/>
      <c r="H68" s="222"/>
      <c r="I68" s="226"/>
      <c r="J68" s="226"/>
      <c r="K68" s="230">
        <f t="shared" si="10"/>
        <v>0</v>
      </c>
      <c r="L68" s="226"/>
      <c r="M68" s="226"/>
      <c r="N68" s="231"/>
      <c r="O68" s="226"/>
      <c r="P68" s="226"/>
      <c r="Q68" s="226">
        <f t="shared" si="11"/>
        <v>17900</v>
      </c>
      <c r="R68" s="279"/>
      <c r="S68" s="93"/>
    </row>
    <row r="69" ht="14.25" customHeight="1">
      <c r="B69" s="252"/>
      <c r="C69" s="305" t="s">
        <v>47</v>
      </c>
      <c r="D69" s="305">
        <v>1.0</v>
      </c>
      <c r="E69" s="306">
        <v>3102.25</v>
      </c>
      <c r="F69" s="254"/>
      <c r="G69" s="254"/>
      <c r="H69" s="252"/>
      <c r="I69" s="306"/>
      <c r="J69" s="254"/>
      <c r="K69" s="184">
        <f t="shared" si="10"/>
        <v>0</v>
      </c>
      <c r="L69" s="306">
        <v>3102.25</v>
      </c>
      <c r="M69" s="254"/>
      <c r="N69" s="307"/>
      <c r="O69" s="258">
        <v>-500.0</v>
      </c>
      <c r="P69" s="257"/>
      <c r="Q69" s="189">
        <f t="shared" si="11"/>
        <v>17400</v>
      </c>
      <c r="R69" s="257"/>
      <c r="S69" s="93"/>
    </row>
    <row r="70" ht="14.25" customHeight="1">
      <c r="B70" s="222"/>
      <c r="C70" s="223" t="s">
        <v>72</v>
      </c>
      <c r="D70" s="224"/>
      <c r="E70" s="226"/>
      <c r="F70" s="226"/>
      <c r="G70" s="226"/>
      <c r="H70" s="222"/>
      <c r="I70" s="226"/>
      <c r="J70" s="226"/>
      <c r="K70" s="230">
        <f t="shared" si="10"/>
        <v>0</v>
      </c>
      <c r="L70" s="226"/>
      <c r="M70" s="226"/>
      <c r="N70" s="231"/>
      <c r="O70" s="226"/>
      <c r="P70" s="226"/>
      <c r="Q70" s="226">
        <f t="shared" si="11"/>
        <v>17400</v>
      </c>
      <c r="R70" s="279"/>
      <c r="S70" s="93"/>
    </row>
    <row r="71" ht="14.25" customHeight="1">
      <c r="B71" s="252"/>
      <c r="C71" s="305" t="s">
        <v>74</v>
      </c>
      <c r="D71" s="305">
        <v>3.0</v>
      </c>
      <c r="E71" s="306">
        <f>6100+2800</f>
        <v>8900</v>
      </c>
      <c r="F71" s="254"/>
      <c r="G71" s="254"/>
      <c r="H71" s="252"/>
      <c r="I71" s="306">
        <v>1500.0</v>
      </c>
      <c r="J71" s="254"/>
      <c r="K71" s="184">
        <f t="shared" si="10"/>
        <v>0</v>
      </c>
      <c r="L71" s="254"/>
      <c r="M71" s="254"/>
      <c r="N71" s="307">
        <f>4600+2800</f>
        <v>7400</v>
      </c>
      <c r="O71" s="258">
        <v>-500.0</v>
      </c>
      <c r="P71" s="257"/>
      <c r="Q71" s="189">
        <f t="shared" si="11"/>
        <v>24300</v>
      </c>
      <c r="R71" s="257"/>
      <c r="S71" s="93"/>
    </row>
    <row r="72" ht="14.25" customHeight="1">
      <c r="B72" s="259"/>
      <c r="C72" s="260"/>
      <c r="D72" s="260"/>
      <c r="E72" s="261"/>
      <c r="F72" s="261"/>
      <c r="G72" s="261"/>
      <c r="H72" s="259"/>
      <c r="I72" s="261"/>
      <c r="J72" s="261"/>
      <c r="K72" s="184">
        <f t="shared" si="10"/>
        <v>0</v>
      </c>
      <c r="L72" s="261"/>
      <c r="M72" s="261"/>
      <c r="N72" s="263"/>
      <c r="O72" s="263"/>
      <c r="P72" s="264">
        <v>-955.32</v>
      </c>
      <c r="Q72" s="189">
        <f t="shared" si="11"/>
        <v>23344.68</v>
      </c>
      <c r="R72" s="264" t="s">
        <v>92</v>
      </c>
      <c r="S72" s="93"/>
    </row>
    <row r="73" ht="14.25" customHeight="1">
      <c r="B73" s="259"/>
      <c r="C73" s="260"/>
      <c r="D73" s="260"/>
      <c r="E73" s="261"/>
      <c r="F73" s="261"/>
      <c r="G73" s="261"/>
      <c r="H73" s="259"/>
      <c r="I73" s="261"/>
      <c r="J73" s="261"/>
      <c r="K73" s="184">
        <f t="shared" si="10"/>
        <v>0</v>
      </c>
      <c r="L73" s="261"/>
      <c r="M73" s="261"/>
      <c r="N73" s="263"/>
      <c r="O73" s="263"/>
      <c r="P73" s="264">
        <v>-23344.68</v>
      </c>
      <c r="Q73" s="189">
        <f t="shared" si="11"/>
        <v>0</v>
      </c>
      <c r="R73" s="264"/>
      <c r="S73" s="93"/>
    </row>
    <row r="74" ht="14.25" customHeight="1">
      <c r="B74" s="265" t="s">
        <v>112</v>
      </c>
      <c r="C74" s="266" t="s">
        <v>66</v>
      </c>
      <c r="D74" s="266">
        <f t="shared" ref="D74:O74" si="12">sum(D50:D72)</f>
        <v>21</v>
      </c>
      <c r="E74" s="268">
        <f t="shared" si="12"/>
        <v>61276.25</v>
      </c>
      <c r="F74" s="268">
        <f t="shared" si="12"/>
        <v>1200</v>
      </c>
      <c r="G74" s="268">
        <f t="shared" si="12"/>
        <v>0</v>
      </c>
      <c r="H74" s="268">
        <f t="shared" si="12"/>
        <v>0</v>
      </c>
      <c r="I74" s="268">
        <f t="shared" si="12"/>
        <v>14200</v>
      </c>
      <c r="J74" s="268">
        <f t="shared" si="12"/>
        <v>1200</v>
      </c>
      <c r="K74" s="268">
        <f t="shared" si="12"/>
        <v>0</v>
      </c>
      <c r="L74" s="268">
        <f t="shared" si="12"/>
        <v>7176.25</v>
      </c>
      <c r="M74" s="268">
        <f t="shared" si="12"/>
        <v>8100</v>
      </c>
      <c r="N74" s="268">
        <f t="shared" si="12"/>
        <v>31800</v>
      </c>
      <c r="O74" s="268">
        <f t="shared" si="12"/>
        <v>-7500</v>
      </c>
      <c r="P74" s="268">
        <f>sum(P50:P73)</f>
        <v>-24300</v>
      </c>
      <c r="Q74" s="271">
        <f>Q73</f>
        <v>0</v>
      </c>
      <c r="R74" s="272"/>
      <c r="S74" s="93"/>
    </row>
    <row r="75" ht="14.25" customHeight="1">
      <c r="B75" s="163" t="s">
        <v>127</v>
      </c>
      <c r="C75" s="165">
        <v>45659.0</v>
      </c>
      <c r="D75" s="167">
        <v>1.0</v>
      </c>
      <c r="E75" s="175">
        <v>2689.81</v>
      </c>
      <c r="F75" s="177"/>
      <c r="G75" s="177"/>
      <c r="H75" s="289" t="s">
        <v>42</v>
      </c>
      <c r="I75" s="175"/>
      <c r="J75" s="177"/>
      <c r="K75" s="184">
        <f t="shared" ref="K75:K79" si="13">E75-I75-L75-M75-N75-J75+F75</f>
        <v>0</v>
      </c>
      <c r="L75" s="175">
        <v>2689.81</v>
      </c>
      <c r="M75" s="175"/>
      <c r="N75" s="187"/>
      <c r="O75" s="207">
        <v>-500.0</v>
      </c>
      <c r="P75" s="189"/>
      <c r="Q75" s="189">
        <f t="shared" ref="Q75:Q95" si="14">Q74+N75+O75+P75</f>
        <v>-500</v>
      </c>
      <c r="R75" s="207"/>
      <c r="S75" s="312" t="s">
        <v>116</v>
      </c>
    </row>
    <row r="76" ht="14.25" customHeight="1">
      <c r="B76" s="163"/>
      <c r="C76" s="165">
        <v>45691.0</v>
      </c>
      <c r="D76" s="167">
        <v>1.0</v>
      </c>
      <c r="E76" s="175">
        <v>2400.0</v>
      </c>
      <c r="F76" s="177"/>
      <c r="G76" s="177"/>
      <c r="H76" s="179"/>
      <c r="I76" s="175">
        <v>500.0</v>
      </c>
      <c r="J76" s="177"/>
      <c r="K76" s="184">
        <f t="shared" si="13"/>
        <v>0</v>
      </c>
      <c r="L76" s="177"/>
      <c r="M76" s="175"/>
      <c r="N76" s="187">
        <v>1900.0</v>
      </c>
      <c r="O76" s="207">
        <v>-500.0</v>
      </c>
      <c r="P76" s="189"/>
      <c r="Q76" s="189">
        <f t="shared" si="14"/>
        <v>900</v>
      </c>
      <c r="R76" s="207"/>
      <c r="S76" s="312" t="s">
        <v>116</v>
      </c>
    </row>
    <row r="77" ht="14.25" customHeight="1">
      <c r="B77" s="179"/>
      <c r="C77" s="165">
        <v>45720.0</v>
      </c>
      <c r="D77" s="167">
        <v>1.0</v>
      </c>
      <c r="E77" s="175">
        <v>3500.0</v>
      </c>
      <c r="F77" s="177"/>
      <c r="G77" s="175"/>
      <c r="H77" s="289"/>
      <c r="I77" s="175">
        <v>1500.0</v>
      </c>
      <c r="J77" s="177"/>
      <c r="K77" s="184">
        <f t="shared" si="13"/>
        <v>0</v>
      </c>
      <c r="L77" s="175"/>
      <c r="M77" s="175"/>
      <c r="N77" s="187">
        <v>2000.0</v>
      </c>
      <c r="O77" s="207">
        <v>-500.0</v>
      </c>
      <c r="P77" s="189"/>
      <c r="Q77" s="189">
        <f t="shared" si="14"/>
        <v>2400</v>
      </c>
      <c r="R77" s="189"/>
      <c r="S77" s="93"/>
    </row>
    <row r="78" ht="14.25" customHeight="1">
      <c r="B78" s="222"/>
      <c r="C78" s="277">
        <v>45756.0</v>
      </c>
      <c r="D78" s="223"/>
      <c r="E78" s="279"/>
      <c r="F78" s="226"/>
      <c r="G78" s="226"/>
      <c r="H78" s="222"/>
      <c r="I78" s="279"/>
      <c r="J78" s="226"/>
      <c r="K78" s="230">
        <f t="shared" si="13"/>
        <v>0</v>
      </c>
      <c r="L78" s="226"/>
      <c r="M78" s="226"/>
      <c r="N78" s="280"/>
      <c r="O78" s="279"/>
      <c r="P78" s="226"/>
      <c r="Q78" s="226">
        <f t="shared" si="14"/>
        <v>2400</v>
      </c>
      <c r="R78" s="226"/>
      <c r="S78" s="93"/>
    </row>
    <row r="79" ht="14.25" customHeight="1">
      <c r="B79" s="179"/>
      <c r="C79" s="165">
        <v>45910.0</v>
      </c>
      <c r="D79" s="167">
        <v>1.0</v>
      </c>
      <c r="E79" s="175">
        <v>2100.0</v>
      </c>
      <c r="F79" s="175"/>
      <c r="G79" s="177"/>
      <c r="H79" s="179"/>
      <c r="I79" s="175">
        <v>501.0</v>
      </c>
      <c r="J79" s="177"/>
      <c r="K79" s="184">
        <f t="shared" si="13"/>
        <v>0</v>
      </c>
      <c r="L79" s="177"/>
      <c r="M79" s="177"/>
      <c r="N79" s="187">
        <v>1599.0</v>
      </c>
      <c r="O79" s="207">
        <v>-500.0</v>
      </c>
      <c r="P79" s="189"/>
      <c r="Q79" s="189">
        <f t="shared" si="14"/>
        <v>3499</v>
      </c>
      <c r="R79" s="189"/>
      <c r="S79" s="93"/>
    </row>
    <row r="80" ht="14.25" customHeight="1">
      <c r="B80" s="179"/>
      <c r="C80" s="165">
        <v>45941.0</v>
      </c>
      <c r="D80" s="167">
        <v>1.0</v>
      </c>
      <c r="E80" s="175">
        <v>3750.0</v>
      </c>
      <c r="F80" s="175"/>
      <c r="G80" s="175">
        <v>-500.0</v>
      </c>
      <c r="H80" s="179"/>
      <c r="I80" s="175"/>
      <c r="J80" s="177"/>
      <c r="K80" s="184">
        <f>E80-I80-L80-M80-N80-J80+F80+G81</f>
        <v>0</v>
      </c>
      <c r="L80" s="177"/>
      <c r="M80" s="177"/>
      <c r="N80" s="187">
        <v>3750.0</v>
      </c>
      <c r="O80" s="207">
        <v>-500.0</v>
      </c>
      <c r="P80" s="189"/>
      <c r="Q80" s="189">
        <f t="shared" si="14"/>
        <v>6749</v>
      </c>
      <c r="R80" s="189"/>
      <c r="S80" s="93"/>
    </row>
    <row r="81" ht="14.25" customHeight="1">
      <c r="B81" s="179"/>
      <c r="C81" s="165">
        <v>45973.0</v>
      </c>
      <c r="D81" s="167">
        <v>1.0</v>
      </c>
      <c r="E81" s="175">
        <v>2537.23</v>
      </c>
      <c r="F81" s="177"/>
      <c r="G81" s="177"/>
      <c r="H81" s="289" t="s">
        <v>42</v>
      </c>
      <c r="I81" s="175"/>
      <c r="J81" s="177"/>
      <c r="K81" s="184">
        <f t="shared" ref="K81:K95" si="15">E81-I81-L81-M81-N81-J81+F81</f>
        <v>0</v>
      </c>
      <c r="L81" s="175">
        <v>2537.23</v>
      </c>
      <c r="M81" s="177"/>
      <c r="N81" s="187"/>
      <c r="O81" s="207">
        <v>-500.0</v>
      </c>
      <c r="P81" s="189"/>
      <c r="Q81" s="189">
        <f t="shared" si="14"/>
        <v>6249</v>
      </c>
      <c r="R81" s="189"/>
      <c r="S81" s="93"/>
    </row>
    <row r="82" ht="14.25" customHeight="1">
      <c r="B82" s="222"/>
      <c r="C82" s="277">
        <v>46005.0</v>
      </c>
      <c r="D82" s="223"/>
      <c r="E82" s="279"/>
      <c r="F82" s="226"/>
      <c r="G82" s="226"/>
      <c r="H82" s="222"/>
      <c r="I82" s="279"/>
      <c r="J82" s="226"/>
      <c r="K82" s="230">
        <f t="shared" si="15"/>
        <v>0</v>
      </c>
      <c r="L82" s="226"/>
      <c r="M82" s="226"/>
      <c r="N82" s="280"/>
      <c r="O82" s="279"/>
      <c r="P82" s="226"/>
      <c r="Q82" s="226">
        <f t="shared" si="14"/>
        <v>6249</v>
      </c>
      <c r="R82" s="226"/>
      <c r="S82" s="93"/>
    </row>
    <row r="83" ht="14.25" customHeight="1">
      <c r="B83" s="179"/>
      <c r="C83" s="167" t="s">
        <v>29</v>
      </c>
      <c r="D83" s="167">
        <v>1.0</v>
      </c>
      <c r="E83" s="175">
        <v>2450.0</v>
      </c>
      <c r="F83" s="177"/>
      <c r="G83" s="177"/>
      <c r="H83" s="179"/>
      <c r="I83" s="175">
        <v>1000.0</v>
      </c>
      <c r="J83" s="177"/>
      <c r="K83" s="184">
        <f t="shared" si="15"/>
        <v>0</v>
      </c>
      <c r="L83" s="177"/>
      <c r="M83" s="175"/>
      <c r="N83" s="187">
        <v>1450.0</v>
      </c>
      <c r="O83" s="207">
        <v>-500.0</v>
      </c>
      <c r="P83" s="189"/>
      <c r="Q83" s="189">
        <f t="shared" si="14"/>
        <v>7199</v>
      </c>
      <c r="R83" s="207"/>
      <c r="S83" s="312" t="s">
        <v>123</v>
      </c>
    </row>
    <row r="84" ht="14.25" customHeight="1">
      <c r="B84" s="222"/>
      <c r="C84" s="223" t="s">
        <v>54</v>
      </c>
      <c r="D84" s="223"/>
      <c r="E84" s="279"/>
      <c r="F84" s="226"/>
      <c r="G84" s="226"/>
      <c r="H84" s="336"/>
      <c r="I84" s="279"/>
      <c r="J84" s="226"/>
      <c r="K84" s="230">
        <f t="shared" si="15"/>
        <v>0</v>
      </c>
      <c r="L84" s="226"/>
      <c r="M84" s="226"/>
      <c r="N84" s="280"/>
      <c r="O84" s="279"/>
      <c r="P84" s="279"/>
      <c r="Q84" s="226">
        <f t="shared" si="14"/>
        <v>7199</v>
      </c>
      <c r="R84" s="279"/>
      <c r="S84" s="93"/>
    </row>
    <row r="85" ht="14.25" customHeight="1">
      <c r="B85" s="179"/>
      <c r="C85" s="167" t="s">
        <v>32</v>
      </c>
      <c r="D85" s="167">
        <v>1.0</v>
      </c>
      <c r="E85" s="175">
        <v>3000.0</v>
      </c>
      <c r="F85" s="177"/>
      <c r="G85" s="175">
        <v>-200.0</v>
      </c>
      <c r="H85" s="179"/>
      <c r="I85" s="175">
        <v>1000.0</v>
      </c>
      <c r="J85" s="177"/>
      <c r="K85" s="184">
        <f t="shared" si="15"/>
        <v>0</v>
      </c>
      <c r="L85" s="177"/>
      <c r="M85" s="175"/>
      <c r="N85" s="187">
        <v>2000.0</v>
      </c>
      <c r="O85" s="207">
        <v>-500.0</v>
      </c>
      <c r="P85" s="189"/>
      <c r="Q85" s="189">
        <f t="shared" si="14"/>
        <v>8699</v>
      </c>
      <c r="R85" s="207"/>
      <c r="S85" s="93"/>
    </row>
    <row r="86" ht="14.25" customHeight="1">
      <c r="B86" s="222"/>
      <c r="C86" s="223" t="s">
        <v>33</v>
      </c>
      <c r="D86" s="223"/>
      <c r="E86" s="279"/>
      <c r="F86" s="279"/>
      <c r="G86" s="226"/>
      <c r="H86" s="336"/>
      <c r="I86" s="279"/>
      <c r="J86" s="226"/>
      <c r="K86" s="230">
        <f t="shared" si="15"/>
        <v>0</v>
      </c>
      <c r="L86" s="226"/>
      <c r="M86" s="226"/>
      <c r="N86" s="280"/>
      <c r="O86" s="279"/>
      <c r="P86" s="226"/>
      <c r="Q86" s="226">
        <f t="shared" si="14"/>
        <v>8699</v>
      </c>
      <c r="R86" s="279"/>
      <c r="S86" s="93"/>
    </row>
    <row r="87" ht="14.25" customHeight="1">
      <c r="B87" s="179"/>
      <c r="C87" s="167" t="s">
        <v>64</v>
      </c>
      <c r="D87" s="167">
        <v>2.0</v>
      </c>
      <c r="E87" s="175">
        <f>400+4300-950</f>
        <v>3750</v>
      </c>
      <c r="F87" s="177"/>
      <c r="G87" s="177"/>
      <c r="H87" s="179"/>
      <c r="I87" s="175">
        <v>1500.0</v>
      </c>
      <c r="J87" s="177"/>
      <c r="K87" s="184">
        <f t="shared" si="15"/>
        <v>0</v>
      </c>
      <c r="L87" s="175"/>
      <c r="M87" s="177"/>
      <c r="N87" s="187">
        <f>3200-950</f>
        <v>2250</v>
      </c>
      <c r="O87" s="207">
        <v>-500.0</v>
      </c>
      <c r="P87" s="189"/>
      <c r="Q87" s="189">
        <f t="shared" si="14"/>
        <v>10449</v>
      </c>
      <c r="R87" s="207"/>
      <c r="S87" s="93"/>
    </row>
    <row r="88" ht="14.25" customHeight="1">
      <c r="B88" s="179"/>
      <c r="C88" s="167" t="s">
        <v>78</v>
      </c>
      <c r="D88" s="167">
        <v>2.0</v>
      </c>
      <c r="E88" s="175">
        <v>4000.0</v>
      </c>
      <c r="F88" s="177"/>
      <c r="G88" s="177"/>
      <c r="H88" s="179"/>
      <c r="I88" s="175"/>
      <c r="J88" s="177"/>
      <c r="K88" s="184">
        <f t="shared" si="15"/>
        <v>0</v>
      </c>
      <c r="L88" s="177"/>
      <c r="M88" s="177"/>
      <c r="N88" s="187">
        <v>4000.0</v>
      </c>
      <c r="O88" s="207">
        <v>-500.0</v>
      </c>
      <c r="P88" s="189"/>
      <c r="Q88" s="189">
        <f t="shared" si="14"/>
        <v>13949</v>
      </c>
      <c r="R88" s="207"/>
      <c r="S88" s="93"/>
    </row>
    <row r="89" ht="14.25" customHeight="1">
      <c r="B89" s="179"/>
      <c r="C89" s="167" t="s">
        <v>41</v>
      </c>
      <c r="D89" s="167">
        <v>1.0</v>
      </c>
      <c r="E89" s="175">
        <v>3200.0</v>
      </c>
      <c r="F89" s="175"/>
      <c r="G89" s="177"/>
      <c r="H89" s="179"/>
      <c r="I89" s="175">
        <v>1000.0</v>
      </c>
      <c r="J89" s="175"/>
      <c r="K89" s="184">
        <f t="shared" si="15"/>
        <v>0</v>
      </c>
      <c r="L89" s="177"/>
      <c r="M89" s="177"/>
      <c r="N89" s="187">
        <v>2200.0</v>
      </c>
      <c r="O89" s="207">
        <v>-500.0</v>
      </c>
      <c r="P89" s="189"/>
      <c r="Q89" s="189">
        <f t="shared" si="14"/>
        <v>15649</v>
      </c>
      <c r="R89" s="207"/>
      <c r="S89" s="93"/>
    </row>
    <row r="90" ht="14.25" customHeight="1">
      <c r="B90" s="179"/>
      <c r="C90" s="167" t="s">
        <v>44</v>
      </c>
      <c r="D90" s="167">
        <v>1.0</v>
      </c>
      <c r="E90" s="175">
        <v>3500.0</v>
      </c>
      <c r="F90" s="175"/>
      <c r="G90" s="177"/>
      <c r="H90" s="179"/>
      <c r="I90" s="175">
        <v>1000.0</v>
      </c>
      <c r="J90" s="177"/>
      <c r="K90" s="184">
        <f t="shared" si="15"/>
        <v>0</v>
      </c>
      <c r="L90" s="177"/>
      <c r="M90" s="175"/>
      <c r="N90" s="187">
        <v>2500.0</v>
      </c>
      <c r="O90" s="207">
        <v>-500.0</v>
      </c>
      <c r="P90" s="189"/>
      <c r="Q90" s="189">
        <f t="shared" si="14"/>
        <v>17649</v>
      </c>
      <c r="R90" s="207"/>
      <c r="S90" s="93"/>
    </row>
    <row r="91" ht="14.25" customHeight="1">
      <c r="B91" s="179"/>
      <c r="C91" s="167" t="s">
        <v>45</v>
      </c>
      <c r="D91" s="167">
        <v>1.0</v>
      </c>
      <c r="E91" s="175">
        <v>2537.23</v>
      </c>
      <c r="F91" s="177"/>
      <c r="G91" s="177"/>
      <c r="H91" s="179"/>
      <c r="I91" s="175"/>
      <c r="J91" s="177"/>
      <c r="K91" s="184">
        <f t="shared" si="15"/>
        <v>0</v>
      </c>
      <c r="L91" s="175">
        <v>2537.23</v>
      </c>
      <c r="M91" s="175"/>
      <c r="N91" s="187"/>
      <c r="O91" s="207">
        <v>-500.0</v>
      </c>
      <c r="P91" s="189"/>
      <c r="Q91" s="189">
        <f t="shared" si="14"/>
        <v>17149</v>
      </c>
      <c r="R91" s="207"/>
      <c r="S91" s="93"/>
    </row>
    <row r="92" ht="14.25" customHeight="1">
      <c r="B92" s="252"/>
      <c r="C92" s="305" t="s">
        <v>47</v>
      </c>
      <c r="D92" s="305">
        <v>1.0</v>
      </c>
      <c r="E92" s="306">
        <v>2300.0</v>
      </c>
      <c r="F92" s="254"/>
      <c r="G92" s="254"/>
      <c r="H92" s="252"/>
      <c r="I92" s="306">
        <v>1000.0</v>
      </c>
      <c r="J92" s="254"/>
      <c r="K92" s="184">
        <f t="shared" si="15"/>
        <v>0</v>
      </c>
      <c r="L92" s="306"/>
      <c r="M92" s="254"/>
      <c r="N92" s="307">
        <v>1300.0</v>
      </c>
      <c r="O92" s="258">
        <v>-500.0</v>
      </c>
      <c r="P92" s="257"/>
      <c r="Q92" s="189">
        <f t="shared" si="14"/>
        <v>17949</v>
      </c>
      <c r="R92" s="257"/>
      <c r="S92" s="93"/>
    </row>
    <row r="93" ht="14.25" customHeight="1">
      <c r="B93" s="222"/>
      <c r="C93" s="223" t="s">
        <v>143</v>
      </c>
      <c r="D93" s="224"/>
      <c r="E93" s="226"/>
      <c r="F93" s="226"/>
      <c r="G93" s="226"/>
      <c r="H93" s="222"/>
      <c r="I93" s="226"/>
      <c r="J93" s="226"/>
      <c r="K93" s="230">
        <f t="shared" si="15"/>
        <v>0</v>
      </c>
      <c r="L93" s="226"/>
      <c r="M93" s="226"/>
      <c r="N93" s="231"/>
      <c r="O93" s="226"/>
      <c r="P93" s="226"/>
      <c r="Q93" s="226">
        <f t="shared" si="14"/>
        <v>17949</v>
      </c>
      <c r="R93" s="279"/>
      <c r="S93" s="93"/>
    </row>
    <row r="94" ht="14.25" customHeight="1">
      <c r="B94" s="252"/>
      <c r="C94" s="305" t="s">
        <v>50</v>
      </c>
      <c r="D94" s="305">
        <v>1.0</v>
      </c>
      <c r="E94" s="306">
        <v>2200.0</v>
      </c>
      <c r="F94" s="254"/>
      <c r="G94" s="254"/>
      <c r="H94" s="252"/>
      <c r="I94" s="306"/>
      <c r="J94" s="254"/>
      <c r="K94" s="184">
        <f t="shared" si="15"/>
        <v>0</v>
      </c>
      <c r="L94" s="254"/>
      <c r="M94" s="254"/>
      <c r="N94" s="307">
        <v>2200.0</v>
      </c>
      <c r="O94" s="258">
        <v>-500.0</v>
      </c>
      <c r="P94" s="257"/>
      <c r="Q94" s="189">
        <f t="shared" si="14"/>
        <v>19649</v>
      </c>
      <c r="R94" s="257"/>
      <c r="S94" s="93"/>
    </row>
    <row r="95" ht="14.25" customHeight="1">
      <c r="B95" s="259"/>
      <c r="C95" s="339" t="s">
        <v>52</v>
      </c>
      <c r="D95" s="339">
        <v>1.0</v>
      </c>
      <c r="E95" s="340">
        <v>2300.0</v>
      </c>
      <c r="F95" s="261"/>
      <c r="G95" s="261"/>
      <c r="H95" s="259"/>
      <c r="I95" s="340">
        <v>2300.0</v>
      </c>
      <c r="J95" s="261"/>
      <c r="K95" s="184">
        <f t="shared" si="15"/>
        <v>0</v>
      </c>
      <c r="L95" s="261"/>
      <c r="M95" s="261"/>
      <c r="N95" s="263"/>
      <c r="O95" s="264">
        <v>-500.0</v>
      </c>
      <c r="P95" s="264">
        <v>-19149.0</v>
      </c>
      <c r="Q95" s="189">
        <f t="shared" si="14"/>
        <v>0</v>
      </c>
      <c r="R95" s="264"/>
      <c r="S95" s="93"/>
    </row>
    <row r="96" ht="14.25" customHeight="1">
      <c r="B96" s="265" t="s">
        <v>127</v>
      </c>
      <c r="C96" s="266" t="s">
        <v>66</v>
      </c>
      <c r="D96" s="266">
        <f t="shared" ref="D96:P96" si="16">sum(D75:D95)</f>
        <v>18</v>
      </c>
      <c r="E96" s="268">
        <f t="shared" si="16"/>
        <v>46214.27</v>
      </c>
      <c r="F96" s="268">
        <f t="shared" si="16"/>
        <v>0</v>
      </c>
      <c r="G96" s="268">
        <f t="shared" si="16"/>
        <v>-700</v>
      </c>
      <c r="H96" s="268">
        <f t="shared" si="16"/>
        <v>0</v>
      </c>
      <c r="I96" s="268">
        <f t="shared" si="16"/>
        <v>11301</v>
      </c>
      <c r="J96" s="268">
        <f t="shared" si="16"/>
        <v>0</v>
      </c>
      <c r="K96" s="268">
        <f t="shared" si="16"/>
        <v>0</v>
      </c>
      <c r="L96" s="268">
        <f t="shared" si="16"/>
        <v>7764.27</v>
      </c>
      <c r="M96" s="268">
        <f t="shared" si="16"/>
        <v>0</v>
      </c>
      <c r="N96" s="268">
        <f t="shared" si="16"/>
        <v>27149</v>
      </c>
      <c r="O96" s="268">
        <f t="shared" si="16"/>
        <v>-8000</v>
      </c>
      <c r="P96" s="268">
        <f t="shared" si="16"/>
        <v>-19149</v>
      </c>
      <c r="Q96" s="271">
        <f>Q95</f>
        <v>0</v>
      </c>
      <c r="R96" s="272"/>
      <c r="S96" s="93"/>
    </row>
    <row r="97" ht="14.25" customHeight="1">
      <c r="B97" s="336" t="s">
        <v>139</v>
      </c>
      <c r="C97" s="277">
        <v>45659.0</v>
      </c>
      <c r="D97" s="223"/>
      <c r="E97" s="279"/>
      <c r="F97" s="226"/>
      <c r="G97" s="226"/>
      <c r="H97" s="222"/>
      <c r="I97" s="279"/>
      <c r="J97" s="226"/>
      <c r="K97" s="230">
        <f t="shared" ref="K97:K115" si="17">E97-I97-L97-M97-N97-J97+F97</f>
        <v>0</v>
      </c>
      <c r="L97" s="226"/>
      <c r="M97" s="226"/>
      <c r="N97" s="280"/>
      <c r="O97" s="279"/>
      <c r="P97" s="226"/>
      <c r="Q97" s="226">
        <f t="shared" ref="Q97:Q115" si="18">Q96+N97+O97+P97</f>
        <v>0</v>
      </c>
      <c r="R97" s="279"/>
      <c r="S97" s="93"/>
    </row>
    <row r="98" ht="14.25" customHeight="1">
      <c r="B98" s="179"/>
      <c r="C98" s="165">
        <v>45721.0</v>
      </c>
      <c r="D98" s="167">
        <v>2.0</v>
      </c>
      <c r="E98" s="175">
        <v>4900.0</v>
      </c>
      <c r="F98" s="175">
        <v>900.0</v>
      </c>
      <c r="G98" s="177"/>
      <c r="H98" s="179"/>
      <c r="I98" s="175">
        <f>1500+450</f>
        <v>1950</v>
      </c>
      <c r="J98" s="175"/>
      <c r="K98" s="184">
        <f t="shared" si="17"/>
        <v>0</v>
      </c>
      <c r="L98" s="177"/>
      <c r="M98" s="177"/>
      <c r="N98" s="187">
        <v>3850.0</v>
      </c>
      <c r="O98" s="207">
        <v>-500.0</v>
      </c>
      <c r="P98" s="189"/>
      <c r="Q98" s="189">
        <f t="shared" si="18"/>
        <v>3350</v>
      </c>
      <c r="R98" s="207"/>
      <c r="S98" s="93"/>
    </row>
    <row r="99" ht="14.25" customHeight="1">
      <c r="B99" s="222"/>
      <c r="C99" s="277">
        <v>45783.0</v>
      </c>
      <c r="D99" s="223"/>
      <c r="E99" s="279"/>
      <c r="F99" s="279"/>
      <c r="G99" s="226"/>
      <c r="H99" s="222"/>
      <c r="I99" s="279"/>
      <c r="J99" s="226"/>
      <c r="K99" s="230">
        <f t="shared" si="17"/>
        <v>0</v>
      </c>
      <c r="L99" s="226"/>
      <c r="M99" s="279"/>
      <c r="N99" s="280"/>
      <c r="O99" s="279"/>
      <c r="P99" s="226"/>
      <c r="Q99" s="226">
        <f t="shared" si="18"/>
        <v>3350</v>
      </c>
      <c r="R99" s="279"/>
      <c r="S99" s="93"/>
    </row>
    <row r="100" ht="14.25" customHeight="1">
      <c r="B100" s="179"/>
      <c r="C100" s="165">
        <v>45815.0</v>
      </c>
      <c r="D100" s="167">
        <v>1.0</v>
      </c>
      <c r="E100" s="175">
        <v>3100.0</v>
      </c>
      <c r="F100" s="177"/>
      <c r="G100" s="175">
        <v>-500.0</v>
      </c>
      <c r="H100" s="179"/>
      <c r="I100" s="175">
        <v>501.0</v>
      </c>
      <c r="J100" s="177"/>
      <c r="K100" s="184">
        <f t="shared" si="17"/>
        <v>0</v>
      </c>
      <c r="L100" s="175"/>
      <c r="M100" s="175"/>
      <c r="N100" s="187">
        <v>2599.0</v>
      </c>
      <c r="O100" s="207">
        <v>-500.0</v>
      </c>
      <c r="P100" s="189"/>
      <c r="Q100" s="189">
        <f t="shared" si="18"/>
        <v>5449</v>
      </c>
      <c r="R100" s="207"/>
      <c r="S100" s="93"/>
    </row>
    <row r="101" ht="14.25" customHeight="1">
      <c r="B101" s="252"/>
      <c r="C101" s="343">
        <v>45846.0</v>
      </c>
      <c r="D101" s="305">
        <v>1.0</v>
      </c>
      <c r="E101" s="306">
        <v>2800.0</v>
      </c>
      <c r="F101" s="254"/>
      <c r="G101" s="254"/>
      <c r="H101" s="252"/>
      <c r="I101" s="306">
        <v>1000.0</v>
      </c>
      <c r="J101" s="254"/>
      <c r="K101" s="184">
        <f t="shared" si="17"/>
        <v>0</v>
      </c>
      <c r="L101" s="306"/>
      <c r="M101" s="306"/>
      <c r="N101" s="307">
        <v>1800.0</v>
      </c>
      <c r="O101" s="258">
        <v>-500.0</v>
      </c>
      <c r="P101" s="257"/>
      <c r="Q101" s="189">
        <f t="shared" si="18"/>
        <v>6749</v>
      </c>
      <c r="R101" s="258"/>
      <c r="S101" s="93"/>
    </row>
    <row r="102" ht="14.25" customHeight="1">
      <c r="B102" s="345"/>
      <c r="C102" s="347">
        <v>45881.0</v>
      </c>
      <c r="D102" s="348"/>
      <c r="E102" s="349"/>
      <c r="F102" s="350"/>
      <c r="G102" s="350"/>
      <c r="H102" s="345"/>
      <c r="I102" s="349"/>
      <c r="J102" s="350"/>
      <c r="K102" s="230">
        <f t="shared" si="17"/>
        <v>0</v>
      </c>
      <c r="L102" s="349"/>
      <c r="M102" s="349"/>
      <c r="N102" s="351"/>
      <c r="O102" s="349"/>
      <c r="P102" s="350"/>
      <c r="Q102" s="226">
        <f t="shared" si="18"/>
        <v>6749</v>
      </c>
      <c r="R102" s="349"/>
      <c r="S102" s="93"/>
    </row>
    <row r="103" ht="14.25" customHeight="1">
      <c r="B103" s="252"/>
      <c r="C103" s="343">
        <v>46005.0</v>
      </c>
      <c r="D103" s="305">
        <v>2.0</v>
      </c>
      <c r="E103" s="306">
        <v>4702.1</v>
      </c>
      <c r="F103" s="254"/>
      <c r="G103" s="254"/>
      <c r="H103" s="252"/>
      <c r="I103" s="306"/>
      <c r="J103" s="254"/>
      <c r="K103" s="184">
        <f t="shared" si="17"/>
        <v>0</v>
      </c>
      <c r="L103" s="306">
        <v>4702.1</v>
      </c>
      <c r="M103" s="306"/>
      <c r="N103" s="307"/>
      <c r="O103" s="258">
        <v>-500.0</v>
      </c>
      <c r="P103" s="257"/>
      <c r="Q103" s="189">
        <f t="shared" si="18"/>
        <v>6249</v>
      </c>
      <c r="R103" s="258"/>
      <c r="S103" s="93"/>
    </row>
    <row r="104" ht="14.25" customHeight="1">
      <c r="B104" s="252"/>
      <c r="C104" s="305" t="s">
        <v>29</v>
      </c>
      <c r="D104" s="305">
        <v>1.0</v>
      </c>
      <c r="E104" s="306"/>
      <c r="F104" s="254"/>
      <c r="G104" s="254"/>
      <c r="H104" s="252"/>
      <c r="I104" s="306"/>
      <c r="J104" s="254"/>
      <c r="K104" s="184">
        <f t="shared" si="17"/>
        <v>0</v>
      </c>
      <c r="L104" s="306"/>
      <c r="M104" s="306"/>
      <c r="N104" s="307"/>
      <c r="O104" s="258">
        <v>-500.0</v>
      </c>
      <c r="P104" s="257"/>
      <c r="Q104" s="189">
        <f t="shared" si="18"/>
        <v>5749</v>
      </c>
      <c r="R104" s="258"/>
      <c r="S104" s="93"/>
    </row>
    <row r="105" ht="14.25" customHeight="1">
      <c r="B105" s="345"/>
      <c r="C105" s="348" t="s">
        <v>30</v>
      </c>
      <c r="D105" s="348"/>
      <c r="E105" s="349"/>
      <c r="F105" s="350"/>
      <c r="G105" s="350"/>
      <c r="H105" s="345"/>
      <c r="I105" s="349"/>
      <c r="J105" s="350"/>
      <c r="K105" s="230">
        <f t="shared" si="17"/>
        <v>0</v>
      </c>
      <c r="L105" s="349"/>
      <c r="M105" s="350"/>
      <c r="N105" s="351"/>
      <c r="O105" s="349">
        <v>-500.0</v>
      </c>
      <c r="P105" s="350"/>
      <c r="Q105" s="226">
        <f t="shared" si="18"/>
        <v>5249</v>
      </c>
      <c r="R105" s="350"/>
      <c r="S105" s="93"/>
    </row>
    <row r="106" ht="14.25" customHeight="1">
      <c r="B106" s="252"/>
      <c r="C106" s="305" t="s">
        <v>31</v>
      </c>
      <c r="D106" s="305">
        <v>1.0</v>
      </c>
      <c r="E106" s="306">
        <v>1800.0</v>
      </c>
      <c r="F106" s="254"/>
      <c r="G106" s="254"/>
      <c r="H106" s="252"/>
      <c r="I106" s="306">
        <v>600.0</v>
      </c>
      <c r="J106" s="254"/>
      <c r="K106" s="184">
        <f t="shared" si="17"/>
        <v>0</v>
      </c>
      <c r="L106" s="254"/>
      <c r="M106" s="254"/>
      <c r="N106" s="307">
        <v>1200.0</v>
      </c>
      <c r="O106" s="258">
        <v>-500.0</v>
      </c>
      <c r="P106" s="257"/>
      <c r="Q106" s="189">
        <f t="shared" si="18"/>
        <v>5949</v>
      </c>
      <c r="R106" s="257"/>
      <c r="S106" s="93"/>
    </row>
    <row r="107" ht="14.25" customHeight="1">
      <c r="B107" s="345"/>
      <c r="C107" s="348" t="s">
        <v>56</v>
      </c>
      <c r="D107" s="348"/>
      <c r="E107" s="349"/>
      <c r="F107" s="350"/>
      <c r="G107" s="350"/>
      <c r="H107" s="345"/>
      <c r="I107" s="349"/>
      <c r="J107" s="350"/>
      <c r="K107" s="230">
        <f t="shared" si="17"/>
        <v>0</v>
      </c>
      <c r="L107" s="350"/>
      <c r="M107" s="350"/>
      <c r="N107" s="351"/>
      <c r="O107" s="349"/>
      <c r="P107" s="350"/>
      <c r="Q107" s="226">
        <f t="shared" si="18"/>
        <v>5949</v>
      </c>
      <c r="R107" s="350"/>
      <c r="S107" s="93"/>
    </row>
    <row r="108" ht="14.25" customHeight="1">
      <c r="B108" s="252"/>
      <c r="C108" s="305" t="s">
        <v>34</v>
      </c>
      <c r="D108" s="305">
        <v>1.0</v>
      </c>
      <c r="E108" s="306">
        <v>2000.0</v>
      </c>
      <c r="F108" s="254"/>
      <c r="G108" s="254"/>
      <c r="H108" s="252"/>
      <c r="I108" s="306">
        <v>1000.0</v>
      </c>
      <c r="J108" s="254"/>
      <c r="K108" s="184">
        <f t="shared" si="17"/>
        <v>0</v>
      </c>
      <c r="L108" s="254"/>
      <c r="M108" s="254"/>
      <c r="N108" s="307">
        <v>1000.0</v>
      </c>
      <c r="O108" s="258">
        <v>-500.0</v>
      </c>
      <c r="P108" s="257"/>
      <c r="Q108" s="189">
        <f t="shared" si="18"/>
        <v>6449</v>
      </c>
      <c r="R108" s="257"/>
      <c r="S108" s="93"/>
    </row>
    <row r="109" ht="14.25" customHeight="1">
      <c r="B109" s="345"/>
      <c r="C109" s="348" t="s">
        <v>69</v>
      </c>
      <c r="D109" s="348"/>
      <c r="E109" s="349"/>
      <c r="F109" s="350"/>
      <c r="G109" s="350"/>
      <c r="H109" s="345"/>
      <c r="I109" s="349"/>
      <c r="J109" s="350"/>
      <c r="K109" s="230">
        <f t="shared" si="17"/>
        <v>0</v>
      </c>
      <c r="L109" s="350"/>
      <c r="M109" s="350"/>
      <c r="N109" s="351"/>
      <c r="O109" s="349"/>
      <c r="P109" s="350"/>
      <c r="Q109" s="226">
        <f t="shared" si="18"/>
        <v>6449</v>
      </c>
      <c r="R109" s="350"/>
      <c r="S109" s="93"/>
    </row>
    <row r="110" ht="14.25" customHeight="1">
      <c r="B110" s="252"/>
      <c r="C110" s="305" t="s">
        <v>78</v>
      </c>
      <c r="D110" s="305">
        <v>2.0</v>
      </c>
      <c r="E110" s="306">
        <f>2500+1800</f>
        <v>4300</v>
      </c>
      <c r="F110" s="254"/>
      <c r="G110" s="254"/>
      <c r="H110" s="252"/>
      <c r="I110" s="306">
        <v>500.0</v>
      </c>
      <c r="J110" s="254"/>
      <c r="K110" s="184">
        <f t="shared" si="17"/>
        <v>0</v>
      </c>
      <c r="L110" s="254"/>
      <c r="M110" s="306">
        <v>1800.0</v>
      </c>
      <c r="N110" s="307">
        <v>2000.0</v>
      </c>
      <c r="O110" s="258">
        <v>-500.0</v>
      </c>
      <c r="P110" s="257"/>
      <c r="Q110" s="189">
        <f t="shared" si="18"/>
        <v>7949</v>
      </c>
      <c r="R110" s="257"/>
      <c r="S110" s="93"/>
    </row>
    <row r="111" ht="14.25" customHeight="1">
      <c r="B111" s="345"/>
      <c r="C111" s="348" t="s">
        <v>108</v>
      </c>
      <c r="D111" s="348"/>
      <c r="E111" s="349"/>
      <c r="F111" s="350"/>
      <c r="G111" s="350"/>
      <c r="H111" s="345"/>
      <c r="I111" s="349"/>
      <c r="J111" s="350"/>
      <c r="K111" s="230">
        <f t="shared" si="17"/>
        <v>0</v>
      </c>
      <c r="L111" s="350"/>
      <c r="M111" s="350"/>
      <c r="N111" s="351"/>
      <c r="O111" s="349"/>
      <c r="P111" s="350"/>
      <c r="Q111" s="226">
        <f t="shared" si="18"/>
        <v>7949</v>
      </c>
      <c r="R111" s="350"/>
      <c r="S111" s="93"/>
    </row>
    <row r="112" ht="14.25" customHeight="1">
      <c r="B112" s="252"/>
      <c r="C112" s="305" t="s">
        <v>99</v>
      </c>
      <c r="D112" s="305">
        <v>2.0</v>
      </c>
      <c r="E112" s="306">
        <v>4300.0</v>
      </c>
      <c r="F112" s="254"/>
      <c r="G112" s="254"/>
      <c r="H112" s="252"/>
      <c r="I112" s="306">
        <v>1500.0</v>
      </c>
      <c r="J112" s="254"/>
      <c r="K112" s="184">
        <f t="shared" si="17"/>
        <v>0</v>
      </c>
      <c r="L112" s="254"/>
      <c r="M112" s="254"/>
      <c r="N112" s="307">
        <v>2800.0</v>
      </c>
      <c r="O112" s="258">
        <v>-500.0</v>
      </c>
      <c r="P112" s="257"/>
      <c r="Q112" s="189">
        <f t="shared" si="18"/>
        <v>10249</v>
      </c>
      <c r="R112" s="257"/>
      <c r="S112" s="93"/>
    </row>
    <row r="113" ht="14.25" customHeight="1">
      <c r="B113" s="252"/>
      <c r="C113" s="305" t="s">
        <v>48</v>
      </c>
      <c r="D113" s="305">
        <v>2.0</v>
      </c>
      <c r="E113" s="306">
        <v>6500.0</v>
      </c>
      <c r="F113" s="254"/>
      <c r="G113" s="254"/>
      <c r="H113" s="252"/>
      <c r="I113" s="306">
        <v>1500.0</v>
      </c>
      <c r="J113" s="254"/>
      <c r="K113" s="184">
        <f t="shared" si="17"/>
        <v>0</v>
      </c>
      <c r="L113" s="254"/>
      <c r="M113" s="254"/>
      <c r="N113" s="307">
        <v>5000.0</v>
      </c>
      <c r="O113" s="258">
        <v>-500.0</v>
      </c>
      <c r="P113" s="257"/>
      <c r="Q113" s="189">
        <f t="shared" si="18"/>
        <v>14749</v>
      </c>
      <c r="R113" s="257"/>
      <c r="S113" s="93"/>
    </row>
    <row r="114" ht="14.25" customHeight="1">
      <c r="B114" s="345"/>
      <c r="C114" s="348" t="s">
        <v>167</v>
      </c>
      <c r="D114" s="348"/>
      <c r="E114" s="349"/>
      <c r="F114" s="350"/>
      <c r="G114" s="350"/>
      <c r="H114" s="345"/>
      <c r="I114" s="349"/>
      <c r="J114" s="350"/>
      <c r="K114" s="230">
        <f t="shared" si="17"/>
        <v>0</v>
      </c>
      <c r="L114" s="350"/>
      <c r="M114" s="350"/>
      <c r="N114" s="351"/>
      <c r="O114" s="349"/>
      <c r="P114" s="350"/>
      <c r="Q114" s="226">
        <f t="shared" si="18"/>
        <v>14749</v>
      </c>
      <c r="R114" s="350"/>
      <c r="S114" s="93"/>
    </row>
    <row r="115" ht="14.25" customHeight="1">
      <c r="B115" s="252"/>
      <c r="C115" s="305"/>
      <c r="D115" s="305"/>
      <c r="E115" s="306"/>
      <c r="F115" s="254"/>
      <c r="G115" s="254"/>
      <c r="H115" s="252"/>
      <c r="I115" s="306"/>
      <c r="J115" s="254"/>
      <c r="K115" s="184">
        <f t="shared" si="17"/>
        <v>0</v>
      </c>
      <c r="L115" s="254"/>
      <c r="M115" s="254"/>
      <c r="N115" s="307"/>
      <c r="O115" s="258"/>
      <c r="P115" s="258">
        <v>-14749.0</v>
      </c>
      <c r="Q115" s="189">
        <f t="shared" si="18"/>
        <v>0</v>
      </c>
      <c r="R115" s="258" t="s">
        <v>63</v>
      </c>
      <c r="S115" s="93"/>
    </row>
    <row r="116" ht="14.25" customHeight="1">
      <c r="B116" s="359" t="s">
        <v>146</v>
      </c>
      <c r="C116" s="360" t="s">
        <v>66</v>
      </c>
      <c r="D116" s="360">
        <f t="shared" ref="D116:P116" si="19">sum(D97:D115)</f>
        <v>15</v>
      </c>
      <c r="E116" s="361">
        <f t="shared" si="19"/>
        <v>34402.1</v>
      </c>
      <c r="F116" s="361">
        <f t="shared" si="19"/>
        <v>900</v>
      </c>
      <c r="G116" s="361">
        <f t="shared" si="19"/>
        <v>-500</v>
      </c>
      <c r="H116" s="361">
        <f t="shared" si="19"/>
        <v>0</v>
      </c>
      <c r="I116" s="361">
        <f t="shared" si="19"/>
        <v>8551</v>
      </c>
      <c r="J116" s="361">
        <f t="shared" si="19"/>
        <v>0</v>
      </c>
      <c r="K116" s="361">
        <f t="shared" si="19"/>
        <v>0</v>
      </c>
      <c r="L116" s="361">
        <f t="shared" si="19"/>
        <v>4702.1</v>
      </c>
      <c r="M116" s="361">
        <f t="shared" si="19"/>
        <v>1800</v>
      </c>
      <c r="N116" s="361">
        <f t="shared" si="19"/>
        <v>20249</v>
      </c>
      <c r="O116" s="361">
        <f t="shared" si="19"/>
        <v>-5500</v>
      </c>
      <c r="P116" s="361">
        <f t="shared" si="19"/>
        <v>-14749</v>
      </c>
      <c r="Q116" s="362">
        <f>Q115</f>
        <v>0</v>
      </c>
      <c r="R116" s="363"/>
      <c r="S116" s="93"/>
    </row>
    <row r="117" ht="14.25" customHeight="1">
      <c r="B117" s="163" t="s">
        <v>148</v>
      </c>
      <c r="C117" s="165">
        <v>45659.0</v>
      </c>
      <c r="D117" s="167">
        <v>1.0</v>
      </c>
      <c r="E117" s="175">
        <v>2400.0</v>
      </c>
      <c r="F117" s="175"/>
      <c r="G117" s="177"/>
      <c r="H117" s="179"/>
      <c r="I117" s="175">
        <v>1000.0</v>
      </c>
      <c r="J117" s="175"/>
      <c r="K117" s="184">
        <f t="shared" ref="K117:K132" si="20">E117-I117-L117-M117-N117-J117+F117</f>
        <v>0</v>
      </c>
      <c r="L117" s="177"/>
      <c r="M117" s="177"/>
      <c r="N117" s="187">
        <v>1400.0</v>
      </c>
      <c r="O117" s="207">
        <v>-500.0</v>
      </c>
      <c r="P117" s="189"/>
      <c r="Q117" s="189">
        <f t="shared" ref="Q117:Q140" si="21">Q116+N117+O117+P117</f>
        <v>900</v>
      </c>
      <c r="R117" s="207"/>
      <c r="S117" s="93"/>
    </row>
    <row r="118" ht="14.25" customHeight="1">
      <c r="B118" s="222"/>
      <c r="C118" s="277">
        <v>45691.0</v>
      </c>
      <c r="D118" s="223"/>
      <c r="E118" s="279"/>
      <c r="F118" s="279"/>
      <c r="G118" s="226"/>
      <c r="H118" s="222"/>
      <c r="I118" s="279"/>
      <c r="J118" s="279"/>
      <c r="K118" s="230">
        <f t="shared" si="20"/>
        <v>0</v>
      </c>
      <c r="L118" s="226"/>
      <c r="M118" s="226"/>
      <c r="N118" s="280"/>
      <c r="O118" s="279"/>
      <c r="P118" s="226"/>
      <c r="Q118" s="226">
        <f t="shared" si="21"/>
        <v>900</v>
      </c>
      <c r="R118" s="279"/>
      <c r="S118" s="93"/>
    </row>
    <row r="119" ht="14.25" customHeight="1">
      <c r="B119" s="179"/>
      <c r="C119" s="165">
        <v>45720.0</v>
      </c>
      <c r="D119" s="167">
        <v>1.0</v>
      </c>
      <c r="E119" s="175">
        <v>3000.0</v>
      </c>
      <c r="F119" s="175"/>
      <c r="G119" s="177"/>
      <c r="H119" s="179"/>
      <c r="I119" s="175">
        <v>1000.0</v>
      </c>
      <c r="J119" s="175"/>
      <c r="K119" s="184">
        <f t="shared" si="20"/>
        <v>0</v>
      </c>
      <c r="L119" s="177"/>
      <c r="M119" s="177"/>
      <c r="N119" s="187">
        <v>2000.0</v>
      </c>
      <c r="O119" s="207">
        <v>-500.0</v>
      </c>
      <c r="P119" s="189"/>
      <c r="Q119" s="189">
        <f t="shared" si="21"/>
        <v>2400</v>
      </c>
      <c r="R119" s="207"/>
      <c r="S119" s="93"/>
    </row>
    <row r="120" ht="14.25" customHeight="1">
      <c r="B120" s="222"/>
      <c r="C120" s="277">
        <v>45752.0</v>
      </c>
      <c r="D120" s="223"/>
      <c r="E120" s="279"/>
      <c r="F120" s="279"/>
      <c r="G120" s="226"/>
      <c r="H120" s="222"/>
      <c r="I120" s="279"/>
      <c r="J120" s="279"/>
      <c r="K120" s="230">
        <f t="shared" si="20"/>
        <v>0</v>
      </c>
      <c r="L120" s="226"/>
      <c r="M120" s="226"/>
      <c r="N120" s="280"/>
      <c r="O120" s="279"/>
      <c r="P120" s="226"/>
      <c r="Q120" s="226">
        <f t="shared" si="21"/>
        <v>2400</v>
      </c>
      <c r="R120" s="279"/>
      <c r="S120" s="93"/>
    </row>
    <row r="121" ht="14.25" customHeight="1">
      <c r="B121" s="179"/>
      <c r="C121" s="165">
        <v>45783.0</v>
      </c>
      <c r="D121" s="167">
        <v>1.0</v>
      </c>
      <c r="E121" s="175">
        <v>3500.0</v>
      </c>
      <c r="F121" s="175"/>
      <c r="G121" s="177"/>
      <c r="H121" s="179"/>
      <c r="I121" s="175">
        <v>1000.0</v>
      </c>
      <c r="J121" s="175"/>
      <c r="K121" s="184">
        <f t="shared" si="20"/>
        <v>0</v>
      </c>
      <c r="L121" s="177"/>
      <c r="M121" s="177"/>
      <c r="N121" s="187">
        <v>2500.0</v>
      </c>
      <c r="O121" s="207">
        <v>-500.0</v>
      </c>
      <c r="P121" s="189"/>
      <c r="Q121" s="189">
        <f t="shared" si="21"/>
        <v>4400</v>
      </c>
      <c r="R121" s="207"/>
      <c r="S121" s="93"/>
    </row>
    <row r="122" ht="14.25" customHeight="1">
      <c r="B122" s="222"/>
      <c r="C122" s="277">
        <v>45815.0</v>
      </c>
      <c r="D122" s="223"/>
      <c r="E122" s="279"/>
      <c r="F122" s="279"/>
      <c r="G122" s="226"/>
      <c r="H122" s="222"/>
      <c r="I122" s="279"/>
      <c r="J122" s="279"/>
      <c r="K122" s="230">
        <f t="shared" si="20"/>
        <v>0</v>
      </c>
      <c r="L122" s="226"/>
      <c r="M122" s="226"/>
      <c r="N122" s="280"/>
      <c r="O122" s="279"/>
      <c r="P122" s="226"/>
      <c r="Q122" s="226">
        <f t="shared" si="21"/>
        <v>4400</v>
      </c>
      <c r="R122" s="279"/>
      <c r="S122" s="93"/>
    </row>
    <row r="123" ht="14.25" customHeight="1">
      <c r="B123" s="179"/>
      <c r="C123" s="371">
        <v>45846.0</v>
      </c>
      <c r="D123" s="167">
        <v>1.0</v>
      </c>
      <c r="E123" s="175">
        <v>2500.0</v>
      </c>
      <c r="F123" s="175"/>
      <c r="G123" s="177"/>
      <c r="H123" s="179"/>
      <c r="I123" s="175"/>
      <c r="J123" s="175"/>
      <c r="K123" s="184">
        <f t="shared" si="20"/>
        <v>0</v>
      </c>
      <c r="L123" s="177"/>
      <c r="M123" s="177"/>
      <c r="N123" s="187">
        <v>2500.0</v>
      </c>
      <c r="O123" s="207">
        <v>-500.0</v>
      </c>
      <c r="P123" s="189"/>
      <c r="Q123" s="189">
        <f t="shared" si="21"/>
        <v>6400</v>
      </c>
      <c r="R123" s="207" t="s">
        <v>178</v>
      </c>
      <c r="S123" s="93"/>
    </row>
    <row r="124" ht="14.25" customHeight="1">
      <c r="B124" s="222"/>
      <c r="C124" s="277">
        <v>45879.0</v>
      </c>
      <c r="D124" s="223"/>
      <c r="E124" s="279"/>
      <c r="F124" s="279"/>
      <c r="G124" s="226"/>
      <c r="H124" s="222"/>
      <c r="I124" s="279"/>
      <c r="J124" s="279"/>
      <c r="K124" s="230">
        <f t="shared" si="20"/>
        <v>0</v>
      </c>
      <c r="L124" s="226"/>
      <c r="M124" s="226"/>
      <c r="N124" s="280"/>
      <c r="O124" s="279"/>
      <c r="P124" s="226"/>
      <c r="Q124" s="226">
        <f t="shared" si="21"/>
        <v>6400</v>
      </c>
      <c r="R124" s="279"/>
      <c r="S124" s="93"/>
    </row>
    <row r="125" ht="14.25" customHeight="1">
      <c r="B125" s="179"/>
      <c r="C125" s="165">
        <v>45941.0</v>
      </c>
      <c r="D125" s="167">
        <v>1.0</v>
      </c>
      <c r="E125" s="175">
        <v>3150.0</v>
      </c>
      <c r="F125" s="175"/>
      <c r="G125" s="177"/>
      <c r="H125" s="179"/>
      <c r="I125" s="175">
        <v>1000.0</v>
      </c>
      <c r="J125" s="175"/>
      <c r="K125" s="184">
        <f t="shared" si="20"/>
        <v>0</v>
      </c>
      <c r="L125" s="177"/>
      <c r="M125" s="177"/>
      <c r="N125" s="187">
        <v>2150.0</v>
      </c>
      <c r="O125" s="207">
        <v>-500.0</v>
      </c>
      <c r="P125" s="189"/>
      <c r="Q125" s="189">
        <f t="shared" si="21"/>
        <v>8050</v>
      </c>
      <c r="R125" s="207"/>
      <c r="S125" s="93"/>
    </row>
    <row r="126" ht="14.25" customHeight="1">
      <c r="B126" s="222"/>
      <c r="C126" s="277">
        <v>45973.0</v>
      </c>
      <c r="D126" s="223"/>
      <c r="E126" s="279"/>
      <c r="F126" s="279"/>
      <c r="G126" s="226"/>
      <c r="H126" s="222"/>
      <c r="I126" s="279"/>
      <c r="J126" s="279"/>
      <c r="K126" s="230">
        <f t="shared" si="20"/>
        <v>0</v>
      </c>
      <c r="L126" s="226"/>
      <c r="M126" s="226"/>
      <c r="N126" s="280"/>
      <c r="O126" s="279"/>
      <c r="P126" s="226"/>
      <c r="Q126" s="226">
        <f t="shared" si="21"/>
        <v>8050</v>
      </c>
      <c r="R126" s="279"/>
      <c r="S126" s="93"/>
    </row>
    <row r="127" ht="14.25" customHeight="1">
      <c r="B127" s="179"/>
      <c r="C127" s="165">
        <v>46004.0</v>
      </c>
      <c r="D127" s="167">
        <v>1.0</v>
      </c>
      <c r="E127" s="175">
        <v>2500.0</v>
      </c>
      <c r="F127" s="175"/>
      <c r="G127" s="177"/>
      <c r="H127" s="179"/>
      <c r="I127" s="175">
        <v>500.0</v>
      </c>
      <c r="J127" s="175"/>
      <c r="K127" s="184">
        <f t="shared" si="20"/>
        <v>0</v>
      </c>
      <c r="L127" s="177"/>
      <c r="M127" s="177"/>
      <c r="N127" s="187">
        <v>2000.0</v>
      </c>
      <c r="O127" s="207">
        <v>-500.0</v>
      </c>
      <c r="P127" s="189"/>
      <c r="Q127" s="189">
        <f t="shared" si="21"/>
        <v>9550</v>
      </c>
      <c r="R127" s="207"/>
      <c r="S127" s="93"/>
    </row>
    <row r="128" ht="14.25" customHeight="1">
      <c r="B128" s="179"/>
      <c r="C128" s="167" t="s">
        <v>117</v>
      </c>
      <c r="D128" s="167">
        <v>2.0</v>
      </c>
      <c r="E128" s="175">
        <v>3700.0</v>
      </c>
      <c r="F128" s="175"/>
      <c r="G128" s="177"/>
      <c r="H128" s="179"/>
      <c r="I128" s="175"/>
      <c r="J128" s="175"/>
      <c r="K128" s="184">
        <f t="shared" si="20"/>
        <v>0</v>
      </c>
      <c r="L128" s="177"/>
      <c r="M128" s="177"/>
      <c r="N128" s="187">
        <v>3700.0</v>
      </c>
      <c r="O128" s="207">
        <v>-500.0</v>
      </c>
      <c r="P128" s="189"/>
      <c r="Q128" s="189">
        <f t="shared" si="21"/>
        <v>12750</v>
      </c>
      <c r="R128" s="207" t="s">
        <v>182</v>
      </c>
      <c r="S128" s="93"/>
    </row>
    <row r="129" ht="14.25" customHeight="1">
      <c r="B129" s="222"/>
      <c r="C129" s="223" t="s">
        <v>30</v>
      </c>
      <c r="D129" s="223"/>
      <c r="E129" s="279"/>
      <c r="F129" s="279"/>
      <c r="G129" s="226"/>
      <c r="H129" s="222"/>
      <c r="I129" s="279"/>
      <c r="J129" s="279"/>
      <c r="K129" s="230">
        <f t="shared" si="20"/>
        <v>0</v>
      </c>
      <c r="L129" s="226"/>
      <c r="M129" s="226"/>
      <c r="N129" s="280"/>
      <c r="O129" s="279"/>
      <c r="P129" s="226"/>
      <c r="Q129" s="226">
        <f t="shared" si="21"/>
        <v>12750</v>
      </c>
      <c r="R129" s="279"/>
      <c r="S129" s="93"/>
    </row>
    <row r="130" ht="14.25" customHeight="1">
      <c r="B130" s="179"/>
      <c r="C130" s="167" t="s">
        <v>102</v>
      </c>
      <c r="D130" s="167">
        <v>2.0</v>
      </c>
      <c r="E130" s="175">
        <v>4300.0</v>
      </c>
      <c r="F130" s="175">
        <v>900.0</v>
      </c>
      <c r="G130" s="177"/>
      <c r="H130" s="179"/>
      <c r="I130" s="175">
        <f>1500+450</f>
        <v>1950</v>
      </c>
      <c r="J130" s="175"/>
      <c r="K130" s="184">
        <f t="shared" si="20"/>
        <v>0</v>
      </c>
      <c r="L130" s="177"/>
      <c r="M130" s="177"/>
      <c r="N130" s="187">
        <f>2800+450</f>
        <v>3250</v>
      </c>
      <c r="O130" s="207">
        <v>-500.0</v>
      </c>
      <c r="P130" s="189"/>
      <c r="Q130" s="189">
        <f t="shared" si="21"/>
        <v>15500</v>
      </c>
      <c r="R130" s="207"/>
      <c r="S130" s="93"/>
    </row>
    <row r="131" ht="14.25" customHeight="1">
      <c r="B131" s="179"/>
      <c r="C131" s="167" t="s">
        <v>33</v>
      </c>
      <c r="D131" s="167">
        <v>1.0</v>
      </c>
      <c r="E131" s="175">
        <v>2500.0</v>
      </c>
      <c r="F131" s="175">
        <v>450.0</v>
      </c>
      <c r="G131" s="177"/>
      <c r="H131" s="179"/>
      <c r="I131" s="175">
        <v>1225.0</v>
      </c>
      <c r="J131" s="175"/>
      <c r="K131" s="184">
        <f t="shared" si="20"/>
        <v>0</v>
      </c>
      <c r="L131" s="177"/>
      <c r="M131" s="177"/>
      <c r="N131" s="187">
        <v>1725.0</v>
      </c>
      <c r="O131" s="207">
        <v>-500.0</v>
      </c>
      <c r="P131" s="189"/>
      <c r="Q131" s="189">
        <f t="shared" si="21"/>
        <v>16725</v>
      </c>
      <c r="R131" s="207"/>
      <c r="S131" s="93"/>
    </row>
    <row r="132" ht="14.25" customHeight="1">
      <c r="B132" s="179"/>
      <c r="C132" s="167" t="s">
        <v>34</v>
      </c>
      <c r="D132" s="167">
        <v>1.0</v>
      </c>
      <c r="E132" s="175">
        <v>3000.0</v>
      </c>
      <c r="F132" s="175"/>
      <c r="G132" s="177"/>
      <c r="H132" s="179"/>
      <c r="I132" s="175">
        <v>1000.0</v>
      </c>
      <c r="J132" s="175"/>
      <c r="K132" s="184">
        <f t="shared" si="20"/>
        <v>0</v>
      </c>
      <c r="L132" s="177"/>
      <c r="M132" s="177"/>
      <c r="N132" s="187">
        <v>2000.0</v>
      </c>
      <c r="O132" s="207">
        <v>-500.0</v>
      </c>
      <c r="P132" s="189"/>
      <c r="Q132" s="189">
        <f t="shared" si="21"/>
        <v>18225</v>
      </c>
      <c r="R132" s="207"/>
      <c r="S132" s="93"/>
    </row>
    <row r="133" ht="14.25" customHeight="1">
      <c r="B133" s="222"/>
      <c r="C133" s="223"/>
      <c r="D133" s="223"/>
      <c r="E133" s="279"/>
      <c r="F133" s="279"/>
      <c r="G133" s="226"/>
      <c r="H133" s="222"/>
      <c r="I133" s="279"/>
      <c r="J133" s="279"/>
      <c r="K133" s="230"/>
      <c r="L133" s="226"/>
      <c r="M133" s="226"/>
      <c r="N133" s="280"/>
      <c r="O133" s="279"/>
      <c r="P133" s="226"/>
      <c r="Q133" s="226">
        <f t="shared" si="21"/>
        <v>18225</v>
      </c>
      <c r="R133" s="279"/>
      <c r="S133" s="93"/>
    </row>
    <row r="134" ht="14.25" customHeight="1">
      <c r="B134" s="179"/>
      <c r="C134" s="167" t="s">
        <v>47</v>
      </c>
      <c r="D134" s="167">
        <v>1.0</v>
      </c>
      <c r="E134" s="175">
        <v>2800.0</v>
      </c>
      <c r="F134" s="175"/>
      <c r="G134" s="177"/>
      <c r="H134" s="179"/>
      <c r="I134" s="175">
        <v>1000.0</v>
      </c>
      <c r="J134" s="175"/>
      <c r="K134" s="184">
        <f t="shared" ref="K134:K137" si="22">E134-I134-L134-M134-N134-J134+F134</f>
        <v>0</v>
      </c>
      <c r="L134" s="177"/>
      <c r="M134" s="177"/>
      <c r="N134" s="187">
        <v>1800.0</v>
      </c>
      <c r="O134" s="207">
        <v>-500.0</v>
      </c>
      <c r="P134" s="189"/>
      <c r="Q134" s="189">
        <f t="shared" si="21"/>
        <v>19525</v>
      </c>
      <c r="R134" s="207"/>
      <c r="S134" s="93"/>
    </row>
    <row r="135" ht="14.25" customHeight="1">
      <c r="B135" s="179"/>
      <c r="C135" s="167" t="s">
        <v>72</v>
      </c>
      <c r="D135" s="167">
        <v>1.0</v>
      </c>
      <c r="E135" s="175">
        <v>2500.0</v>
      </c>
      <c r="F135" s="175"/>
      <c r="G135" s="177"/>
      <c r="H135" s="179"/>
      <c r="I135" s="175">
        <v>500.0</v>
      </c>
      <c r="J135" s="175"/>
      <c r="K135" s="184">
        <f t="shared" si="22"/>
        <v>0</v>
      </c>
      <c r="L135" s="177"/>
      <c r="M135" s="177"/>
      <c r="N135" s="187">
        <v>2000.0</v>
      </c>
      <c r="O135" s="207">
        <v>-500.0</v>
      </c>
      <c r="P135" s="189"/>
      <c r="Q135" s="189">
        <f t="shared" si="21"/>
        <v>21025</v>
      </c>
      <c r="R135" s="207"/>
      <c r="S135" s="93"/>
    </row>
    <row r="136" ht="14.25" customHeight="1">
      <c r="B136" s="222"/>
      <c r="C136" s="223" t="s">
        <v>88</v>
      </c>
      <c r="D136" s="223"/>
      <c r="E136" s="279"/>
      <c r="F136" s="279"/>
      <c r="G136" s="226"/>
      <c r="H136" s="222"/>
      <c r="I136" s="279"/>
      <c r="J136" s="279"/>
      <c r="K136" s="230">
        <f t="shared" si="22"/>
        <v>0</v>
      </c>
      <c r="L136" s="226"/>
      <c r="M136" s="226"/>
      <c r="N136" s="280"/>
      <c r="O136" s="279"/>
      <c r="P136" s="226"/>
      <c r="Q136" s="226">
        <f t="shared" si="21"/>
        <v>21025</v>
      </c>
      <c r="R136" s="279"/>
      <c r="S136" s="93"/>
    </row>
    <row r="137" ht="14.25" customHeight="1">
      <c r="B137" s="179"/>
      <c r="C137" s="167" t="s">
        <v>75</v>
      </c>
      <c r="D137" s="167">
        <v>2.0</v>
      </c>
      <c r="E137" s="175">
        <v>3700.0</v>
      </c>
      <c r="F137" s="175"/>
      <c r="G137" s="177"/>
      <c r="H137" s="179"/>
      <c r="I137" s="175">
        <v>1500.0</v>
      </c>
      <c r="J137" s="175"/>
      <c r="K137" s="184">
        <f t="shared" si="22"/>
        <v>0</v>
      </c>
      <c r="L137" s="177"/>
      <c r="M137" s="177"/>
      <c r="N137" s="187">
        <v>2200.0</v>
      </c>
      <c r="O137" s="207">
        <v>-500.0</v>
      </c>
      <c r="P137" s="189"/>
      <c r="Q137" s="189">
        <f t="shared" si="21"/>
        <v>22725</v>
      </c>
      <c r="R137" s="207"/>
      <c r="S137" s="93"/>
    </row>
    <row r="138" ht="14.25" customHeight="1">
      <c r="B138" s="179"/>
      <c r="C138" s="167"/>
      <c r="D138" s="167"/>
      <c r="E138" s="175"/>
      <c r="F138" s="175"/>
      <c r="G138" s="177"/>
      <c r="H138" s="179"/>
      <c r="I138" s="175"/>
      <c r="J138" s="175"/>
      <c r="K138" s="184"/>
      <c r="L138" s="177"/>
      <c r="M138" s="177"/>
      <c r="N138" s="207"/>
      <c r="O138" s="207"/>
      <c r="P138" s="207">
        <v>-500.0</v>
      </c>
      <c r="Q138" s="189">
        <f t="shared" si="21"/>
        <v>22225</v>
      </c>
      <c r="R138" s="207" t="s">
        <v>187</v>
      </c>
      <c r="S138" s="93"/>
    </row>
    <row r="139" ht="14.25" customHeight="1">
      <c r="B139" s="380"/>
      <c r="C139" s="381"/>
      <c r="D139" s="381"/>
      <c r="E139" s="382"/>
      <c r="F139" s="383"/>
      <c r="G139" s="383"/>
      <c r="H139" s="380"/>
      <c r="I139" s="382"/>
      <c r="J139" s="383"/>
      <c r="K139" s="184">
        <f t="shared" ref="K139:K140" si="23">E139-I139-L139-M139-N139-J139+F139</f>
        <v>0</v>
      </c>
      <c r="L139" s="383"/>
      <c r="M139" s="383"/>
      <c r="N139" s="384"/>
      <c r="O139" s="385"/>
      <c r="P139" s="385">
        <v>-1500.0</v>
      </c>
      <c r="Q139" s="189">
        <f t="shared" si="21"/>
        <v>20725</v>
      </c>
      <c r="R139" s="385" t="s">
        <v>183</v>
      </c>
      <c r="S139" s="93"/>
    </row>
    <row r="140" ht="14.25" customHeight="1">
      <c r="B140" s="380"/>
      <c r="C140" s="381"/>
      <c r="D140" s="381"/>
      <c r="E140" s="382"/>
      <c r="F140" s="383"/>
      <c r="G140" s="383"/>
      <c r="H140" s="380"/>
      <c r="I140" s="382"/>
      <c r="J140" s="383"/>
      <c r="K140" s="184">
        <f t="shared" si="23"/>
        <v>0</v>
      </c>
      <c r="L140" s="383"/>
      <c r="M140" s="383"/>
      <c r="N140" s="384"/>
      <c r="O140" s="385"/>
      <c r="P140" s="385">
        <v>-20725.0</v>
      </c>
      <c r="Q140" s="189">
        <f t="shared" si="21"/>
        <v>0</v>
      </c>
      <c r="R140" s="385"/>
      <c r="S140" s="93"/>
    </row>
    <row r="141" ht="14.25" customHeight="1">
      <c r="B141" s="265" t="s">
        <v>148</v>
      </c>
      <c r="C141" s="266" t="s">
        <v>66</v>
      </c>
      <c r="D141" s="266">
        <f t="shared" ref="D141:P141" si="24">sum(D117:D139)</f>
        <v>16</v>
      </c>
      <c r="E141" s="268">
        <f t="shared" si="24"/>
        <v>39550</v>
      </c>
      <c r="F141" s="268">
        <f t="shared" si="24"/>
        <v>1350</v>
      </c>
      <c r="G141" s="268">
        <f t="shared" si="24"/>
        <v>0</v>
      </c>
      <c r="H141" s="268">
        <f t="shared" si="24"/>
        <v>0</v>
      </c>
      <c r="I141" s="268">
        <f t="shared" si="24"/>
        <v>11675</v>
      </c>
      <c r="J141" s="268">
        <f t="shared" si="24"/>
        <v>0</v>
      </c>
      <c r="K141" s="268">
        <f t="shared" si="24"/>
        <v>0</v>
      </c>
      <c r="L141" s="268">
        <f t="shared" si="24"/>
        <v>0</v>
      </c>
      <c r="M141" s="268">
        <f t="shared" si="24"/>
        <v>0</v>
      </c>
      <c r="N141" s="268">
        <f t="shared" si="24"/>
        <v>29225</v>
      </c>
      <c r="O141" s="268">
        <f t="shared" si="24"/>
        <v>-6500</v>
      </c>
      <c r="P141" s="268">
        <f t="shared" si="24"/>
        <v>-2000</v>
      </c>
      <c r="Q141" s="271">
        <f>Q140</f>
        <v>0</v>
      </c>
      <c r="R141" s="272"/>
      <c r="S141" s="93"/>
    </row>
    <row r="142" ht="14.25" customHeight="1">
      <c r="B142" s="163" t="s">
        <v>166</v>
      </c>
      <c r="C142" s="165">
        <v>45659.0</v>
      </c>
      <c r="D142" s="167">
        <v>1.0</v>
      </c>
      <c r="E142" s="175">
        <v>2300.0</v>
      </c>
      <c r="F142" s="175"/>
      <c r="G142" s="177"/>
      <c r="H142" s="179"/>
      <c r="I142" s="175">
        <v>501.0</v>
      </c>
      <c r="J142" s="175"/>
      <c r="K142" s="184">
        <f t="shared" ref="K142:K160" si="25">E142-I142-L142-M142-N142-J142+F142</f>
        <v>0</v>
      </c>
      <c r="L142" s="177"/>
      <c r="M142" s="177"/>
      <c r="N142" s="187">
        <v>1799.0</v>
      </c>
      <c r="O142" s="207">
        <v>-500.0</v>
      </c>
      <c r="P142" s="189"/>
      <c r="Q142" s="189">
        <f t="shared" ref="Q142:Q162" si="26">Q141+N142+O142+P142</f>
        <v>1299</v>
      </c>
      <c r="R142" s="207"/>
      <c r="S142" s="93"/>
    </row>
    <row r="143" ht="14.25" customHeight="1">
      <c r="B143" s="179"/>
      <c r="C143" s="165">
        <v>45691.0</v>
      </c>
      <c r="D143" s="167">
        <v>1.0</v>
      </c>
      <c r="E143" s="175">
        <v>3000.0</v>
      </c>
      <c r="F143" s="175">
        <v>350.0</v>
      </c>
      <c r="G143" s="177"/>
      <c r="H143" s="179"/>
      <c r="I143" s="175">
        <v>1175.0</v>
      </c>
      <c r="J143" s="175"/>
      <c r="K143" s="184">
        <f t="shared" si="25"/>
        <v>0</v>
      </c>
      <c r="L143" s="177"/>
      <c r="M143" s="177"/>
      <c r="N143" s="187">
        <v>2175.0</v>
      </c>
      <c r="O143" s="207">
        <v>-500.0</v>
      </c>
      <c r="P143" s="189"/>
      <c r="Q143" s="189">
        <f t="shared" si="26"/>
        <v>2974</v>
      </c>
      <c r="R143" s="207"/>
      <c r="S143" s="93"/>
    </row>
    <row r="144" ht="14.25" customHeight="1">
      <c r="B144" s="222"/>
      <c r="C144" s="277">
        <v>45721.0</v>
      </c>
      <c r="D144" s="223"/>
      <c r="E144" s="279"/>
      <c r="F144" s="279"/>
      <c r="G144" s="226"/>
      <c r="H144" s="222"/>
      <c r="I144" s="279"/>
      <c r="J144" s="279"/>
      <c r="K144" s="230">
        <f t="shared" si="25"/>
        <v>0</v>
      </c>
      <c r="L144" s="226"/>
      <c r="M144" s="226"/>
      <c r="N144" s="280"/>
      <c r="O144" s="279"/>
      <c r="P144" s="226"/>
      <c r="Q144" s="226">
        <f t="shared" si="26"/>
        <v>2974</v>
      </c>
      <c r="R144" s="279"/>
      <c r="S144" s="93"/>
    </row>
    <row r="145" ht="14.25" customHeight="1">
      <c r="B145" s="179"/>
      <c r="C145" s="165">
        <v>45783.0</v>
      </c>
      <c r="D145" s="167">
        <v>1.0</v>
      </c>
      <c r="E145" s="175">
        <v>2100.0</v>
      </c>
      <c r="F145" s="175"/>
      <c r="G145" s="177"/>
      <c r="H145" s="179"/>
      <c r="I145" s="175">
        <v>500.0</v>
      </c>
      <c r="J145" s="175"/>
      <c r="K145" s="184">
        <f t="shared" si="25"/>
        <v>0</v>
      </c>
      <c r="L145" s="177"/>
      <c r="M145" s="177"/>
      <c r="N145" s="187">
        <v>1600.0</v>
      </c>
      <c r="O145" s="207">
        <v>-500.0</v>
      </c>
      <c r="P145" s="189"/>
      <c r="Q145" s="189">
        <f t="shared" si="26"/>
        <v>4074</v>
      </c>
      <c r="R145" s="207"/>
      <c r="S145" s="93"/>
    </row>
    <row r="146" ht="14.25" customHeight="1">
      <c r="B146" s="179"/>
      <c r="C146" s="165">
        <v>45816.0</v>
      </c>
      <c r="D146" s="167">
        <v>2.0</v>
      </c>
      <c r="E146" s="175">
        <v>5800.0</v>
      </c>
      <c r="F146" s="175">
        <v>900.0</v>
      </c>
      <c r="G146" s="175">
        <v>-400.0</v>
      </c>
      <c r="H146" s="179"/>
      <c r="I146" s="175">
        <v>1500.0</v>
      </c>
      <c r="J146" s="175"/>
      <c r="K146" s="184">
        <f t="shared" si="25"/>
        <v>0</v>
      </c>
      <c r="L146" s="177"/>
      <c r="M146" s="177"/>
      <c r="N146" s="187">
        <v>5200.0</v>
      </c>
      <c r="O146" s="207">
        <v>-500.0</v>
      </c>
      <c r="P146" s="189"/>
      <c r="Q146" s="189">
        <f t="shared" si="26"/>
        <v>8774</v>
      </c>
      <c r="R146" s="207"/>
      <c r="S146" s="93"/>
    </row>
    <row r="147" ht="14.25" customHeight="1">
      <c r="B147" s="179"/>
      <c r="C147" s="165">
        <v>45879.0</v>
      </c>
      <c r="D147" s="167">
        <v>2.0</v>
      </c>
      <c r="E147" s="175">
        <v>5850.0</v>
      </c>
      <c r="F147" s="175">
        <v>900.0</v>
      </c>
      <c r="G147" s="177"/>
      <c r="H147" s="179"/>
      <c r="I147" s="175">
        <v>1950.0</v>
      </c>
      <c r="J147" s="175"/>
      <c r="K147" s="184">
        <f t="shared" si="25"/>
        <v>0</v>
      </c>
      <c r="L147" s="177"/>
      <c r="M147" s="177"/>
      <c r="N147" s="187">
        <v>4800.0</v>
      </c>
      <c r="O147" s="207">
        <v>-500.0</v>
      </c>
      <c r="P147" s="189"/>
      <c r="Q147" s="189">
        <f t="shared" si="26"/>
        <v>13074</v>
      </c>
      <c r="R147" s="207"/>
      <c r="S147" s="93"/>
    </row>
    <row r="148" ht="14.25" customHeight="1">
      <c r="B148" s="222"/>
      <c r="C148" s="277">
        <v>45943.0</v>
      </c>
      <c r="D148" s="223"/>
      <c r="E148" s="279"/>
      <c r="F148" s="279"/>
      <c r="G148" s="226"/>
      <c r="H148" s="222"/>
      <c r="I148" s="279"/>
      <c r="J148" s="279"/>
      <c r="K148" s="230">
        <f t="shared" si="25"/>
        <v>0</v>
      </c>
      <c r="L148" s="226"/>
      <c r="M148" s="226"/>
      <c r="N148" s="280"/>
      <c r="O148" s="279"/>
      <c r="P148" s="226"/>
      <c r="Q148" s="226">
        <f t="shared" si="26"/>
        <v>13074</v>
      </c>
      <c r="R148" s="279"/>
      <c r="S148" s="93"/>
    </row>
    <row r="149" ht="14.25" customHeight="1">
      <c r="B149" s="179"/>
      <c r="C149" s="167" t="s">
        <v>46</v>
      </c>
      <c r="D149" s="167">
        <v>1.0</v>
      </c>
      <c r="E149" s="175">
        <v>2000.0</v>
      </c>
      <c r="F149" s="175"/>
      <c r="G149" s="177"/>
      <c r="H149" s="179"/>
      <c r="I149" s="175">
        <v>800.0</v>
      </c>
      <c r="J149" s="175"/>
      <c r="K149" s="184">
        <f t="shared" si="25"/>
        <v>-350</v>
      </c>
      <c r="L149" s="177"/>
      <c r="M149" s="177"/>
      <c r="N149" s="187">
        <v>1550.0</v>
      </c>
      <c r="O149" s="207">
        <v>-500.0</v>
      </c>
      <c r="P149" s="189"/>
      <c r="Q149" s="189">
        <f t="shared" si="26"/>
        <v>14124</v>
      </c>
      <c r="R149" s="207"/>
      <c r="S149" s="93"/>
    </row>
    <row r="150" ht="14.25" customHeight="1">
      <c r="B150" s="222"/>
      <c r="C150" s="223" t="s">
        <v>29</v>
      </c>
      <c r="D150" s="223"/>
      <c r="E150" s="279"/>
      <c r="F150" s="279"/>
      <c r="G150" s="226"/>
      <c r="H150" s="222"/>
      <c r="I150" s="279"/>
      <c r="J150" s="279"/>
      <c r="K150" s="230">
        <f t="shared" si="25"/>
        <v>0</v>
      </c>
      <c r="L150" s="226"/>
      <c r="M150" s="226"/>
      <c r="N150" s="280"/>
      <c r="O150" s="279"/>
      <c r="P150" s="226"/>
      <c r="Q150" s="226">
        <f t="shared" si="26"/>
        <v>14124</v>
      </c>
      <c r="R150" s="279"/>
      <c r="S150" s="93"/>
    </row>
    <row r="151" ht="14.25" customHeight="1">
      <c r="B151" s="179"/>
      <c r="C151" s="167" t="s">
        <v>54</v>
      </c>
      <c r="D151" s="167">
        <v>2.0</v>
      </c>
      <c r="E151" s="175">
        <f>5700-900</f>
        <v>4800</v>
      </c>
      <c r="F151" s="175">
        <v>900.0</v>
      </c>
      <c r="G151" s="177"/>
      <c r="H151" s="179"/>
      <c r="I151" s="175">
        <v>1500.0</v>
      </c>
      <c r="J151" s="175"/>
      <c r="K151" s="184">
        <f t="shared" si="25"/>
        <v>0</v>
      </c>
      <c r="L151" s="177"/>
      <c r="M151" s="177"/>
      <c r="N151" s="187">
        <v>4200.0</v>
      </c>
      <c r="O151" s="207">
        <v>-500.0</v>
      </c>
      <c r="P151" s="189"/>
      <c r="Q151" s="189">
        <f t="shared" si="26"/>
        <v>17824</v>
      </c>
      <c r="R151" s="207"/>
      <c r="S151" s="93"/>
    </row>
    <row r="152" ht="14.25" customHeight="1">
      <c r="B152" s="222"/>
      <c r="C152" s="223" t="s">
        <v>198</v>
      </c>
      <c r="D152" s="223"/>
      <c r="E152" s="279"/>
      <c r="F152" s="279"/>
      <c r="G152" s="226"/>
      <c r="H152" s="222"/>
      <c r="I152" s="279"/>
      <c r="J152" s="279"/>
      <c r="K152" s="230">
        <f t="shared" si="25"/>
        <v>0</v>
      </c>
      <c r="L152" s="226"/>
      <c r="M152" s="226"/>
      <c r="N152" s="280"/>
      <c r="O152" s="279"/>
      <c r="P152" s="226"/>
      <c r="Q152" s="226">
        <f t="shared" si="26"/>
        <v>17824</v>
      </c>
      <c r="R152" s="279"/>
      <c r="S152" s="93"/>
    </row>
    <row r="153" ht="14.25" customHeight="1">
      <c r="B153" s="179"/>
      <c r="C153" s="167" t="s">
        <v>68</v>
      </c>
      <c r="D153" s="167">
        <v>1.0</v>
      </c>
      <c r="E153" s="175">
        <v>3050.0</v>
      </c>
      <c r="F153" s="175"/>
      <c r="G153" s="177"/>
      <c r="H153" s="179"/>
      <c r="I153" s="175">
        <v>1000.0</v>
      </c>
      <c r="J153" s="175"/>
      <c r="K153" s="184">
        <f t="shared" si="25"/>
        <v>0</v>
      </c>
      <c r="L153" s="177"/>
      <c r="M153" s="177"/>
      <c r="N153" s="187">
        <v>2050.0</v>
      </c>
      <c r="O153" s="207">
        <v>-500.0</v>
      </c>
      <c r="P153" s="189"/>
      <c r="Q153" s="189">
        <f t="shared" si="26"/>
        <v>19374</v>
      </c>
      <c r="R153" s="207"/>
      <c r="S153" s="93"/>
    </row>
    <row r="154" ht="14.25" customHeight="1">
      <c r="B154" s="222"/>
      <c r="C154" s="223" t="s">
        <v>37</v>
      </c>
      <c r="D154" s="223"/>
      <c r="E154" s="279"/>
      <c r="F154" s="279"/>
      <c r="G154" s="226"/>
      <c r="H154" s="222"/>
      <c r="I154" s="279"/>
      <c r="J154" s="279"/>
      <c r="K154" s="230">
        <f t="shared" si="25"/>
        <v>0</v>
      </c>
      <c r="L154" s="226"/>
      <c r="M154" s="226"/>
      <c r="N154" s="280"/>
      <c r="O154" s="279"/>
      <c r="P154" s="226"/>
      <c r="Q154" s="226">
        <f t="shared" si="26"/>
        <v>19374</v>
      </c>
      <c r="R154" s="279"/>
      <c r="S154" s="93"/>
    </row>
    <row r="155" ht="14.25" customHeight="1">
      <c r="B155" s="179"/>
      <c r="C155" s="167" t="s">
        <v>41</v>
      </c>
      <c r="D155" s="167">
        <v>1.0</v>
      </c>
      <c r="E155" s="175">
        <v>3150.0</v>
      </c>
      <c r="F155" s="175"/>
      <c r="G155" s="177"/>
      <c r="H155" s="179"/>
      <c r="I155" s="175"/>
      <c r="J155" s="175">
        <v>1000.0</v>
      </c>
      <c r="K155" s="184">
        <f t="shared" si="25"/>
        <v>0</v>
      </c>
      <c r="L155" s="177"/>
      <c r="M155" s="177"/>
      <c r="N155" s="187">
        <v>2150.0</v>
      </c>
      <c r="O155" s="207">
        <v>-500.0</v>
      </c>
      <c r="P155" s="189"/>
      <c r="Q155" s="189">
        <f t="shared" si="26"/>
        <v>21024</v>
      </c>
      <c r="R155" s="207"/>
      <c r="S155" s="93"/>
    </row>
    <row r="156" ht="14.25" customHeight="1">
      <c r="B156" s="179"/>
      <c r="C156" s="167" t="s">
        <v>44</v>
      </c>
      <c r="D156" s="167">
        <v>1.0</v>
      </c>
      <c r="E156" s="175">
        <v>2800.0</v>
      </c>
      <c r="F156" s="175"/>
      <c r="G156" s="177"/>
      <c r="H156" s="179"/>
      <c r="I156" s="175">
        <v>1000.0</v>
      </c>
      <c r="J156" s="175"/>
      <c r="K156" s="184">
        <f t="shared" si="25"/>
        <v>0</v>
      </c>
      <c r="L156" s="177"/>
      <c r="M156" s="177"/>
      <c r="N156" s="187">
        <v>1800.0</v>
      </c>
      <c r="O156" s="207">
        <v>-500.0</v>
      </c>
      <c r="P156" s="189"/>
      <c r="Q156" s="189">
        <f t="shared" si="26"/>
        <v>22324</v>
      </c>
      <c r="R156" s="207"/>
      <c r="S156" s="93"/>
    </row>
    <row r="157" ht="14.25" customHeight="1">
      <c r="B157" s="222"/>
      <c r="C157" s="223" t="s">
        <v>201</v>
      </c>
      <c r="D157" s="223"/>
      <c r="E157" s="279"/>
      <c r="F157" s="279"/>
      <c r="G157" s="226"/>
      <c r="H157" s="222"/>
      <c r="I157" s="279"/>
      <c r="J157" s="279"/>
      <c r="K157" s="230">
        <f t="shared" si="25"/>
        <v>0</v>
      </c>
      <c r="L157" s="226"/>
      <c r="M157" s="226"/>
      <c r="N157" s="280"/>
      <c r="O157" s="279"/>
      <c r="P157" s="226"/>
      <c r="Q157" s="226">
        <f t="shared" si="26"/>
        <v>22324</v>
      </c>
      <c r="R157" s="279"/>
      <c r="S157" s="93"/>
    </row>
    <row r="158" ht="14.25" customHeight="1">
      <c r="B158" s="179"/>
      <c r="C158" s="167" t="s">
        <v>88</v>
      </c>
      <c r="D158" s="167">
        <v>2.0</v>
      </c>
      <c r="E158" s="175">
        <v>4100.0</v>
      </c>
      <c r="F158" s="175"/>
      <c r="G158" s="177"/>
      <c r="H158" s="179"/>
      <c r="I158" s="175">
        <v>1400.0</v>
      </c>
      <c r="J158" s="175"/>
      <c r="K158" s="184">
        <f t="shared" si="25"/>
        <v>0</v>
      </c>
      <c r="L158" s="177"/>
      <c r="M158" s="389">
        <v>2700.0</v>
      </c>
      <c r="N158" s="187"/>
      <c r="O158" s="207">
        <v>-500.0</v>
      </c>
      <c r="P158" s="189"/>
      <c r="Q158" s="189">
        <f t="shared" si="26"/>
        <v>21824</v>
      </c>
      <c r="R158" s="207"/>
      <c r="S158" s="93"/>
    </row>
    <row r="159" ht="14.25" customHeight="1">
      <c r="B159" s="179"/>
      <c r="C159" s="167" t="s">
        <v>50</v>
      </c>
      <c r="D159" s="167">
        <v>1.0</v>
      </c>
      <c r="E159" s="175">
        <v>2800.0</v>
      </c>
      <c r="F159" s="175"/>
      <c r="G159" s="177"/>
      <c r="H159" s="179"/>
      <c r="I159" s="175">
        <v>501.0</v>
      </c>
      <c r="J159" s="175"/>
      <c r="K159" s="184">
        <f t="shared" si="25"/>
        <v>0</v>
      </c>
      <c r="L159" s="177"/>
      <c r="M159" s="389">
        <v>2299.0</v>
      </c>
      <c r="N159" s="187"/>
      <c r="O159" s="207">
        <v>-500.0</v>
      </c>
      <c r="P159" s="189"/>
      <c r="Q159" s="189">
        <f t="shared" si="26"/>
        <v>21324</v>
      </c>
      <c r="R159" s="207"/>
      <c r="S159" s="93"/>
    </row>
    <row r="160" ht="14.25" customHeight="1">
      <c r="B160" s="179"/>
      <c r="C160" s="167" t="s">
        <v>89</v>
      </c>
      <c r="D160" s="167">
        <v>1.0</v>
      </c>
      <c r="E160" s="175">
        <v>1500.0</v>
      </c>
      <c r="F160" s="175"/>
      <c r="G160" s="177"/>
      <c r="H160" s="179"/>
      <c r="I160" s="175">
        <v>1500.0</v>
      </c>
      <c r="J160" s="175"/>
      <c r="K160" s="184">
        <f t="shared" si="25"/>
        <v>0</v>
      </c>
      <c r="L160" s="177"/>
      <c r="M160" s="177"/>
      <c r="N160" s="187"/>
      <c r="O160" s="207"/>
      <c r="P160" s="189"/>
      <c r="Q160" s="189">
        <f t="shared" si="26"/>
        <v>21324</v>
      </c>
      <c r="R160" s="207" t="s">
        <v>94</v>
      </c>
      <c r="S160" s="93"/>
    </row>
    <row r="161" ht="14.25" customHeight="1">
      <c r="B161" s="179"/>
      <c r="C161" s="167"/>
      <c r="D161" s="167"/>
      <c r="E161" s="175"/>
      <c r="F161" s="175"/>
      <c r="G161" s="177"/>
      <c r="H161" s="179"/>
      <c r="I161" s="175"/>
      <c r="J161" s="175"/>
      <c r="K161" s="184"/>
      <c r="L161" s="177"/>
      <c r="M161" s="177"/>
      <c r="N161" s="207"/>
      <c r="O161" s="207"/>
      <c r="P161" s="207">
        <v>-21324.0</v>
      </c>
      <c r="Q161" s="189">
        <f t="shared" si="26"/>
        <v>0</v>
      </c>
      <c r="R161" s="207"/>
      <c r="S161" s="93"/>
    </row>
    <row r="162" ht="14.25" customHeight="1">
      <c r="B162" s="265" t="s">
        <v>166</v>
      </c>
      <c r="C162" s="266" t="s">
        <v>66</v>
      </c>
      <c r="D162" s="266">
        <f t="shared" ref="D162:P162" si="27">sum(D142:D161)</f>
        <v>17</v>
      </c>
      <c r="E162" s="268">
        <f t="shared" si="27"/>
        <v>43250</v>
      </c>
      <c r="F162" s="268">
        <f t="shared" si="27"/>
        <v>3050</v>
      </c>
      <c r="G162" s="268">
        <f t="shared" si="27"/>
        <v>-400</v>
      </c>
      <c r="H162" s="268">
        <f t="shared" si="27"/>
        <v>0</v>
      </c>
      <c r="I162" s="268">
        <f t="shared" si="27"/>
        <v>13327</v>
      </c>
      <c r="J162" s="268">
        <f t="shared" si="27"/>
        <v>1000</v>
      </c>
      <c r="K162" s="268">
        <f t="shared" si="27"/>
        <v>-350</v>
      </c>
      <c r="L162" s="268">
        <f t="shared" si="27"/>
        <v>0</v>
      </c>
      <c r="M162" s="268">
        <f t="shared" si="27"/>
        <v>4999</v>
      </c>
      <c r="N162" s="268">
        <f t="shared" si="27"/>
        <v>27324</v>
      </c>
      <c r="O162" s="268">
        <f t="shared" si="27"/>
        <v>-6000</v>
      </c>
      <c r="P162" s="268">
        <f t="shared" si="27"/>
        <v>-21324</v>
      </c>
      <c r="Q162" s="271">
        <f t="shared" si="26"/>
        <v>0</v>
      </c>
      <c r="R162" s="272"/>
      <c r="S162" s="93"/>
    </row>
    <row r="163" ht="14.25" customHeight="1">
      <c r="B163" s="311" t="s">
        <v>179</v>
      </c>
      <c r="C163" s="277">
        <v>45662.0</v>
      </c>
      <c r="D163" s="223"/>
      <c r="E163" s="279"/>
      <c r="F163" s="279"/>
      <c r="G163" s="226"/>
      <c r="H163" s="222"/>
      <c r="I163" s="279"/>
      <c r="J163" s="279"/>
      <c r="K163" s="230">
        <f t="shared" ref="K163:K178" si="28">E163-I163-L163-M163-N163-J163+F163</f>
        <v>0</v>
      </c>
      <c r="L163" s="226"/>
      <c r="M163" s="226"/>
      <c r="N163" s="280"/>
      <c r="O163" s="279"/>
      <c r="P163" s="226"/>
      <c r="Q163" s="279">
        <v>0.0</v>
      </c>
      <c r="R163" s="279"/>
      <c r="S163" s="93"/>
    </row>
    <row r="164" ht="14.25" customHeight="1">
      <c r="B164" s="179"/>
      <c r="C164" s="165">
        <v>45783.0</v>
      </c>
      <c r="D164" s="167">
        <v>1.0</v>
      </c>
      <c r="E164" s="175">
        <f>2100+200</f>
        <v>2300</v>
      </c>
      <c r="F164" s="175"/>
      <c r="G164" s="177"/>
      <c r="H164" s="179"/>
      <c r="I164" s="175"/>
      <c r="J164" s="175"/>
      <c r="K164" s="184">
        <f t="shared" si="28"/>
        <v>0</v>
      </c>
      <c r="L164" s="177"/>
      <c r="M164" s="177"/>
      <c r="N164" s="187">
        <v>2300.0</v>
      </c>
      <c r="O164" s="207">
        <v>-500.0</v>
      </c>
      <c r="P164" s="189"/>
      <c r="Q164" s="189">
        <f t="shared" ref="Q164:Q178" si="29">Q163+N164+O164+P164</f>
        <v>1800</v>
      </c>
      <c r="R164" s="207"/>
      <c r="S164" s="93"/>
    </row>
    <row r="165" ht="14.25" customHeight="1">
      <c r="B165" s="179"/>
      <c r="C165" s="165">
        <v>45815.0</v>
      </c>
      <c r="D165" s="167">
        <v>1.0</v>
      </c>
      <c r="E165" s="175">
        <v>3300.0</v>
      </c>
      <c r="F165" s="175">
        <v>450.0</v>
      </c>
      <c r="G165" s="177"/>
      <c r="H165" s="179"/>
      <c r="I165" s="175">
        <v>1450.0</v>
      </c>
      <c r="J165" s="175"/>
      <c r="K165" s="184">
        <f t="shared" si="28"/>
        <v>0</v>
      </c>
      <c r="L165" s="177"/>
      <c r="M165" s="177"/>
      <c r="N165" s="187">
        <v>2300.0</v>
      </c>
      <c r="O165" s="207">
        <v>-500.0</v>
      </c>
      <c r="P165" s="189"/>
      <c r="Q165" s="189">
        <f t="shared" si="29"/>
        <v>3600</v>
      </c>
      <c r="R165" s="207"/>
      <c r="S165" s="93"/>
    </row>
    <row r="166" ht="14.25" customHeight="1">
      <c r="B166" s="222"/>
      <c r="C166" s="277">
        <v>45850.0</v>
      </c>
      <c r="D166" s="223"/>
      <c r="E166" s="279"/>
      <c r="F166" s="279"/>
      <c r="G166" s="226"/>
      <c r="H166" s="222"/>
      <c r="I166" s="279"/>
      <c r="J166" s="279"/>
      <c r="K166" s="230">
        <f t="shared" si="28"/>
        <v>0</v>
      </c>
      <c r="L166" s="226"/>
      <c r="M166" s="226"/>
      <c r="N166" s="280"/>
      <c r="O166" s="279"/>
      <c r="P166" s="226"/>
      <c r="Q166" s="226">
        <f t="shared" si="29"/>
        <v>3600</v>
      </c>
      <c r="R166" s="279"/>
      <c r="S166" s="93"/>
    </row>
    <row r="167" ht="14.25" customHeight="1">
      <c r="B167" s="179"/>
      <c r="C167" s="165">
        <v>46005.0</v>
      </c>
      <c r="D167" s="167">
        <v>2.0</v>
      </c>
      <c r="E167" s="175">
        <v>5100.0</v>
      </c>
      <c r="F167" s="175"/>
      <c r="G167" s="175"/>
      <c r="H167" s="179"/>
      <c r="I167" s="175">
        <v>1500.0</v>
      </c>
      <c r="J167" s="175"/>
      <c r="K167" s="184">
        <f t="shared" si="28"/>
        <v>0</v>
      </c>
      <c r="L167" s="177"/>
      <c r="M167" s="177"/>
      <c r="N167" s="187">
        <v>3600.0</v>
      </c>
      <c r="O167" s="207">
        <v>-500.0</v>
      </c>
      <c r="P167" s="189"/>
      <c r="Q167" s="189">
        <f t="shared" si="29"/>
        <v>6700</v>
      </c>
      <c r="R167" s="207"/>
      <c r="S167" s="93"/>
    </row>
    <row r="168" ht="14.25" customHeight="1">
      <c r="B168" s="179"/>
      <c r="C168" s="167" t="s">
        <v>29</v>
      </c>
      <c r="D168" s="167">
        <v>1.0</v>
      </c>
      <c r="E168" s="175">
        <v>2200.0</v>
      </c>
      <c r="F168" s="175">
        <v>450.0</v>
      </c>
      <c r="G168" s="175"/>
      <c r="H168" s="179"/>
      <c r="I168" s="175">
        <v>1225.0</v>
      </c>
      <c r="J168" s="175"/>
      <c r="K168" s="184">
        <f t="shared" si="28"/>
        <v>0</v>
      </c>
      <c r="L168" s="177"/>
      <c r="M168" s="177"/>
      <c r="N168" s="187">
        <v>1425.0</v>
      </c>
      <c r="O168" s="207">
        <v>-500.0</v>
      </c>
      <c r="P168" s="189"/>
      <c r="Q168" s="189">
        <f t="shared" si="29"/>
        <v>7625</v>
      </c>
      <c r="R168" s="207"/>
      <c r="S168" s="93"/>
    </row>
    <row r="169" ht="14.25" customHeight="1">
      <c r="B169" s="222"/>
      <c r="C169" s="223" t="s">
        <v>65</v>
      </c>
      <c r="D169" s="223"/>
      <c r="E169" s="279"/>
      <c r="F169" s="279"/>
      <c r="G169" s="226"/>
      <c r="H169" s="222"/>
      <c r="I169" s="279"/>
      <c r="J169" s="279"/>
      <c r="K169" s="230">
        <f t="shared" si="28"/>
        <v>0</v>
      </c>
      <c r="L169" s="226"/>
      <c r="M169" s="226"/>
      <c r="N169" s="280"/>
      <c r="O169" s="279"/>
      <c r="P169" s="226"/>
      <c r="Q169" s="226">
        <f t="shared" si="29"/>
        <v>7625</v>
      </c>
      <c r="R169" s="279"/>
      <c r="S169" s="93"/>
    </row>
    <row r="170" ht="14.25" customHeight="1">
      <c r="B170" s="179"/>
      <c r="C170" s="167" t="s">
        <v>33</v>
      </c>
      <c r="D170" s="167">
        <v>1.0</v>
      </c>
      <c r="E170" s="175">
        <v>2000.0</v>
      </c>
      <c r="F170" s="175"/>
      <c r="G170" s="177"/>
      <c r="H170" s="179"/>
      <c r="I170" s="175">
        <v>701.0</v>
      </c>
      <c r="J170" s="175"/>
      <c r="K170" s="184">
        <f t="shared" si="28"/>
        <v>0</v>
      </c>
      <c r="L170" s="177"/>
      <c r="M170" s="177"/>
      <c r="N170" s="187">
        <v>1299.0</v>
      </c>
      <c r="O170" s="207">
        <v>-500.0</v>
      </c>
      <c r="P170" s="189"/>
      <c r="Q170" s="189">
        <f t="shared" si="29"/>
        <v>8424</v>
      </c>
      <c r="R170" s="207"/>
      <c r="S170" s="93"/>
    </row>
    <row r="171" ht="14.25" customHeight="1">
      <c r="B171" s="222"/>
      <c r="C171" s="223" t="s">
        <v>34</v>
      </c>
      <c r="D171" s="223"/>
      <c r="E171" s="279"/>
      <c r="F171" s="279"/>
      <c r="G171" s="226"/>
      <c r="H171" s="222"/>
      <c r="I171" s="279"/>
      <c r="J171" s="279"/>
      <c r="K171" s="230">
        <f t="shared" si="28"/>
        <v>0</v>
      </c>
      <c r="L171" s="226"/>
      <c r="M171" s="226"/>
      <c r="N171" s="280"/>
      <c r="O171" s="279"/>
      <c r="P171" s="226"/>
      <c r="Q171" s="226">
        <f t="shared" si="29"/>
        <v>8424</v>
      </c>
      <c r="R171" s="279"/>
      <c r="S171" s="93"/>
    </row>
    <row r="172" ht="14.25" customHeight="1">
      <c r="B172" s="179"/>
      <c r="C172" s="167" t="s">
        <v>69</v>
      </c>
      <c r="D172" s="167">
        <v>1.0</v>
      </c>
      <c r="E172" s="175">
        <v>2800.0</v>
      </c>
      <c r="F172" s="175"/>
      <c r="G172" s="177"/>
      <c r="H172" s="179"/>
      <c r="I172" s="175">
        <v>1000.0</v>
      </c>
      <c r="J172" s="175"/>
      <c r="K172" s="184">
        <f t="shared" si="28"/>
        <v>0</v>
      </c>
      <c r="L172" s="177"/>
      <c r="M172" s="177"/>
      <c r="N172" s="187">
        <v>1800.0</v>
      </c>
      <c r="O172" s="207">
        <v>-500.0</v>
      </c>
      <c r="P172" s="189"/>
      <c r="Q172" s="189">
        <f t="shared" si="29"/>
        <v>9724</v>
      </c>
      <c r="R172" s="207"/>
      <c r="S172" s="93"/>
    </row>
    <row r="173" ht="14.25" customHeight="1">
      <c r="B173" s="222"/>
      <c r="C173" s="223" t="s">
        <v>206</v>
      </c>
      <c r="D173" s="223"/>
      <c r="E173" s="279"/>
      <c r="F173" s="279"/>
      <c r="G173" s="226"/>
      <c r="H173" s="222"/>
      <c r="I173" s="279"/>
      <c r="J173" s="279"/>
      <c r="K173" s="230">
        <f t="shared" si="28"/>
        <v>0</v>
      </c>
      <c r="L173" s="226"/>
      <c r="M173" s="226"/>
      <c r="N173" s="280"/>
      <c r="O173" s="279"/>
      <c r="P173" s="226"/>
      <c r="Q173" s="226">
        <f t="shared" si="29"/>
        <v>9724</v>
      </c>
      <c r="R173" s="279"/>
      <c r="S173" s="93"/>
    </row>
    <row r="174" ht="14.25" customHeight="1">
      <c r="B174" s="179"/>
      <c r="C174" s="167" t="s">
        <v>72</v>
      </c>
      <c r="D174" s="167">
        <v>1.0</v>
      </c>
      <c r="E174" s="175">
        <v>3550.0</v>
      </c>
      <c r="F174" s="175"/>
      <c r="G174" s="177"/>
      <c r="H174" s="179"/>
      <c r="I174" s="175">
        <v>1000.0</v>
      </c>
      <c r="J174" s="175"/>
      <c r="K174" s="184">
        <f t="shared" si="28"/>
        <v>0</v>
      </c>
      <c r="L174" s="177"/>
      <c r="M174" s="177"/>
      <c r="N174" s="187">
        <v>2550.0</v>
      </c>
      <c r="O174" s="207">
        <v>-500.0</v>
      </c>
      <c r="P174" s="189"/>
      <c r="Q174" s="189">
        <f t="shared" si="29"/>
        <v>11774</v>
      </c>
      <c r="R174" s="207"/>
      <c r="S174" s="93"/>
    </row>
    <row r="175" ht="14.25" customHeight="1">
      <c r="B175" s="222"/>
      <c r="C175" s="223" t="s">
        <v>73</v>
      </c>
      <c r="D175" s="223"/>
      <c r="E175" s="279"/>
      <c r="F175" s="279"/>
      <c r="G175" s="226"/>
      <c r="H175" s="222"/>
      <c r="I175" s="279"/>
      <c r="J175" s="279"/>
      <c r="K175" s="230">
        <f t="shared" si="28"/>
        <v>0</v>
      </c>
      <c r="L175" s="226"/>
      <c r="M175" s="226"/>
      <c r="N175" s="280"/>
      <c r="O175" s="279"/>
      <c r="P175" s="226"/>
      <c r="Q175" s="226">
        <f t="shared" si="29"/>
        <v>11774</v>
      </c>
      <c r="R175" s="279"/>
      <c r="S175" s="93"/>
    </row>
    <row r="176" ht="14.25" customHeight="1">
      <c r="B176" s="179"/>
      <c r="C176" s="167" t="s">
        <v>49</v>
      </c>
      <c r="D176" s="167">
        <v>1.0</v>
      </c>
      <c r="E176" s="175">
        <v>2000.0</v>
      </c>
      <c r="F176" s="175"/>
      <c r="G176" s="177"/>
      <c r="H176" s="179"/>
      <c r="I176" s="175">
        <v>1000.0</v>
      </c>
      <c r="J176" s="175"/>
      <c r="K176" s="184">
        <f t="shared" si="28"/>
        <v>0</v>
      </c>
      <c r="L176" s="177"/>
      <c r="M176" s="177"/>
      <c r="N176" s="187">
        <v>1000.0</v>
      </c>
      <c r="O176" s="207">
        <v>-500.0</v>
      </c>
      <c r="P176" s="189"/>
      <c r="Q176" s="189">
        <f t="shared" si="29"/>
        <v>12274</v>
      </c>
      <c r="R176" s="207"/>
      <c r="S176" s="93"/>
    </row>
    <row r="177" ht="14.25" customHeight="1">
      <c r="B177" s="222"/>
      <c r="C177" s="223" t="s">
        <v>75</v>
      </c>
      <c r="D177" s="223"/>
      <c r="E177" s="279"/>
      <c r="F177" s="279"/>
      <c r="G177" s="226"/>
      <c r="H177" s="222"/>
      <c r="I177" s="279"/>
      <c r="J177" s="279"/>
      <c r="K177" s="230">
        <f t="shared" si="28"/>
        <v>0</v>
      </c>
      <c r="L177" s="226"/>
      <c r="M177" s="226"/>
      <c r="N177" s="280"/>
      <c r="O177" s="279"/>
      <c r="P177" s="226"/>
      <c r="Q177" s="226">
        <f t="shared" si="29"/>
        <v>12274</v>
      </c>
      <c r="R177" s="279"/>
      <c r="S177" s="93"/>
    </row>
    <row r="178" ht="14.25" customHeight="1">
      <c r="B178" s="380"/>
      <c r="C178" s="381"/>
      <c r="D178" s="381"/>
      <c r="E178" s="382"/>
      <c r="F178" s="383"/>
      <c r="G178" s="383"/>
      <c r="H178" s="380"/>
      <c r="I178" s="382"/>
      <c r="J178" s="383"/>
      <c r="K178" s="184">
        <f t="shared" si="28"/>
        <v>0</v>
      </c>
      <c r="L178" s="383"/>
      <c r="M178" s="383"/>
      <c r="N178" s="384"/>
      <c r="O178" s="385"/>
      <c r="P178" s="189"/>
      <c r="Q178" s="189">
        <f t="shared" si="29"/>
        <v>12274</v>
      </c>
      <c r="R178" s="385"/>
      <c r="S178" s="93"/>
    </row>
    <row r="179" ht="14.25" customHeight="1">
      <c r="B179" s="265" t="s">
        <v>179</v>
      </c>
      <c r="C179" s="266" t="s">
        <v>66</v>
      </c>
      <c r="D179" s="266">
        <f t="shared" ref="D179:P179" si="30">sum(D163:D178)</f>
        <v>9</v>
      </c>
      <c r="E179" s="268">
        <f t="shared" si="30"/>
        <v>23250</v>
      </c>
      <c r="F179" s="268">
        <f t="shared" si="30"/>
        <v>900</v>
      </c>
      <c r="G179" s="268">
        <f t="shared" si="30"/>
        <v>0</v>
      </c>
      <c r="H179" s="268">
        <f t="shared" si="30"/>
        <v>0</v>
      </c>
      <c r="I179" s="268">
        <f t="shared" si="30"/>
        <v>7876</v>
      </c>
      <c r="J179" s="268">
        <f t="shared" si="30"/>
        <v>0</v>
      </c>
      <c r="K179" s="268">
        <f t="shared" si="30"/>
        <v>0</v>
      </c>
      <c r="L179" s="268">
        <f t="shared" si="30"/>
        <v>0</v>
      </c>
      <c r="M179" s="268">
        <f t="shared" si="30"/>
        <v>0</v>
      </c>
      <c r="N179" s="268">
        <f t="shared" si="30"/>
        <v>16274</v>
      </c>
      <c r="O179" s="268">
        <f t="shared" si="30"/>
        <v>-4000</v>
      </c>
      <c r="P179" s="268">
        <f t="shared" si="30"/>
        <v>0</v>
      </c>
      <c r="Q179" s="271">
        <f>Q178</f>
        <v>12274</v>
      </c>
      <c r="R179" s="272"/>
      <c r="S179" s="93"/>
    </row>
    <row r="180" ht="14.25" customHeight="1">
      <c r="B180" s="311" t="s">
        <v>186</v>
      </c>
      <c r="C180" s="277">
        <v>45660.0</v>
      </c>
      <c r="D180" s="223"/>
      <c r="E180" s="279"/>
      <c r="F180" s="279"/>
      <c r="G180" s="226"/>
      <c r="H180" s="222"/>
      <c r="I180" s="279"/>
      <c r="J180" s="279"/>
      <c r="K180" s="230">
        <f t="shared" ref="K180:K192" si="31">E180-I180-L180-M180-N180-J180+F180</f>
        <v>0</v>
      </c>
      <c r="L180" s="226"/>
      <c r="M180" s="226"/>
      <c r="N180" s="280"/>
      <c r="O180" s="279"/>
      <c r="P180" s="226"/>
      <c r="Q180" s="226">
        <f>Q162+N180+O180+P180</f>
        <v>0</v>
      </c>
      <c r="R180" s="279"/>
      <c r="S180" s="93"/>
    </row>
    <row r="181" ht="14.25" customHeight="1">
      <c r="B181" s="179"/>
      <c r="C181" s="165">
        <v>45720.0</v>
      </c>
      <c r="D181" s="167">
        <v>1.0</v>
      </c>
      <c r="E181" s="175">
        <v>2700.0</v>
      </c>
      <c r="F181" s="175">
        <v>450.0</v>
      </c>
      <c r="G181" s="177"/>
      <c r="H181" s="179"/>
      <c r="I181" s="175"/>
      <c r="J181" s="175"/>
      <c r="K181" s="184">
        <f t="shared" si="31"/>
        <v>0</v>
      </c>
      <c r="L181" s="177"/>
      <c r="M181" s="177"/>
      <c r="N181" s="187">
        <v>3150.0</v>
      </c>
      <c r="O181" s="207">
        <v>-500.0</v>
      </c>
      <c r="P181" s="189"/>
      <c r="Q181" s="189">
        <f t="shared" ref="Q181:Q202" si="32">Q180+N181+O181+P181</f>
        <v>2650</v>
      </c>
      <c r="R181" s="207"/>
      <c r="S181" s="93"/>
    </row>
    <row r="182" ht="14.25" customHeight="1">
      <c r="B182" s="179"/>
      <c r="C182" s="165">
        <v>45752.0</v>
      </c>
      <c r="D182" s="167">
        <v>1.0</v>
      </c>
      <c r="E182" s="175">
        <v>2800.0</v>
      </c>
      <c r="F182" s="175"/>
      <c r="G182" s="177"/>
      <c r="H182" s="179"/>
      <c r="I182" s="175">
        <v>501.0</v>
      </c>
      <c r="J182" s="175"/>
      <c r="K182" s="184">
        <f t="shared" si="31"/>
        <v>0</v>
      </c>
      <c r="L182" s="177"/>
      <c r="M182" s="177"/>
      <c r="N182" s="187">
        <v>2299.0</v>
      </c>
      <c r="O182" s="207">
        <v>-500.0</v>
      </c>
      <c r="P182" s="189"/>
      <c r="Q182" s="189">
        <f t="shared" si="32"/>
        <v>4449</v>
      </c>
      <c r="R182" s="207"/>
      <c r="S182" s="93"/>
    </row>
    <row r="183" ht="14.25" customHeight="1">
      <c r="B183" s="222"/>
      <c r="C183" s="277">
        <v>45788.0</v>
      </c>
      <c r="D183" s="223"/>
      <c r="E183" s="279"/>
      <c r="F183" s="279"/>
      <c r="G183" s="226"/>
      <c r="H183" s="222"/>
      <c r="I183" s="279"/>
      <c r="J183" s="279"/>
      <c r="K183" s="230">
        <f t="shared" si="31"/>
        <v>0</v>
      </c>
      <c r="L183" s="226"/>
      <c r="M183" s="226"/>
      <c r="N183" s="280"/>
      <c r="O183" s="279"/>
      <c r="P183" s="226"/>
      <c r="Q183" s="226">
        <f t="shared" si="32"/>
        <v>4449</v>
      </c>
      <c r="R183" s="279"/>
      <c r="S183" s="93"/>
    </row>
    <row r="184" ht="14.25" customHeight="1">
      <c r="B184" s="179"/>
      <c r="C184" s="165">
        <v>45973.0</v>
      </c>
      <c r="D184" s="167">
        <v>1.0</v>
      </c>
      <c r="E184" s="175">
        <v>2800.0</v>
      </c>
      <c r="F184" s="175"/>
      <c r="G184" s="175"/>
      <c r="H184" s="179"/>
      <c r="I184" s="175">
        <v>1000.0</v>
      </c>
      <c r="J184" s="175"/>
      <c r="K184" s="184">
        <f t="shared" si="31"/>
        <v>0</v>
      </c>
      <c r="L184" s="177"/>
      <c r="M184" s="177"/>
      <c r="N184" s="187">
        <v>1800.0</v>
      </c>
      <c r="O184" s="207">
        <v>-500.0</v>
      </c>
      <c r="P184" s="189"/>
      <c r="Q184" s="189">
        <f t="shared" si="32"/>
        <v>5749</v>
      </c>
      <c r="R184" s="207"/>
      <c r="S184" s="93"/>
    </row>
    <row r="185" ht="14.25" customHeight="1">
      <c r="B185" s="179"/>
      <c r="C185" s="165">
        <v>46004.0</v>
      </c>
      <c r="D185" s="167">
        <v>1.0</v>
      </c>
      <c r="E185" s="175">
        <v>2600.0</v>
      </c>
      <c r="F185" s="175"/>
      <c r="G185" s="175"/>
      <c r="H185" s="179"/>
      <c r="I185" s="175">
        <v>501.0</v>
      </c>
      <c r="J185" s="175"/>
      <c r="K185" s="184">
        <f t="shared" si="31"/>
        <v>0</v>
      </c>
      <c r="L185" s="177"/>
      <c r="M185" s="177"/>
      <c r="N185" s="187">
        <v>2099.0</v>
      </c>
      <c r="O185" s="207">
        <v>-500.0</v>
      </c>
      <c r="P185" s="189"/>
      <c r="Q185" s="189">
        <f t="shared" si="32"/>
        <v>7348</v>
      </c>
      <c r="R185" s="207"/>
      <c r="S185" s="93"/>
    </row>
    <row r="186" ht="14.25" customHeight="1">
      <c r="B186" s="179"/>
      <c r="C186" s="167" t="s">
        <v>46</v>
      </c>
      <c r="D186" s="167">
        <v>1.0</v>
      </c>
      <c r="E186" s="175">
        <v>2000.0</v>
      </c>
      <c r="F186" s="175">
        <v>450.0</v>
      </c>
      <c r="G186" s="177"/>
      <c r="H186" s="179"/>
      <c r="I186" s="175">
        <v>1000.0</v>
      </c>
      <c r="J186" s="175"/>
      <c r="K186" s="184">
        <f t="shared" si="31"/>
        <v>0</v>
      </c>
      <c r="L186" s="177"/>
      <c r="M186" s="177"/>
      <c r="N186" s="187">
        <v>1450.0</v>
      </c>
      <c r="O186" s="207">
        <v>-500.0</v>
      </c>
      <c r="P186" s="189"/>
      <c r="Q186" s="189">
        <f t="shared" si="32"/>
        <v>8298</v>
      </c>
      <c r="R186" s="207"/>
      <c r="S186" s="93"/>
    </row>
    <row r="187" ht="14.25" customHeight="1">
      <c r="B187" s="222"/>
      <c r="C187" s="223" t="s">
        <v>101</v>
      </c>
      <c r="D187" s="223"/>
      <c r="E187" s="279"/>
      <c r="F187" s="279"/>
      <c r="G187" s="226"/>
      <c r="H187" s="222"/>
      <c r="I187" s="279"/>
      <c r="J187" s="279"/>
      <c r="K187" s="230">
        <f t="shared" si="31"/>
        <v>0</v>
      </c>
      <c r="L187" s="226"/>
      <c r="M187" s="226"/>
      <c r="N187" s="280"/>
      <c r="O187" s="279"/>
      <c r="P187" s="226"/>
      <c r="Q187" s="226">
        <f t="shared" si="32"/>
        <v>8298</v>
      </c>
      <c r="R187" s="279"/>
      <c r="S187" s="93"/>
    </row>
    <row r="188" ht="14.25" customHeight="1">
      <c r="B188" s="179"/>
      <c r="C188" s="167" t="s">
        <v>31</v>
      </c>
      <c r="D188" s="167">
        <v>1.0</v>
      </c>
      <c r="E188" s="175">
        <v>2050.0</v>
      </c>
      <c r="F188" s="175"/>
      <c r="G188" s="177"/>
      <c r="H188" s="179"/>
      <c r="I188" s="175"/>
      <c r="J188" s="175"/>
      <c r="K188" s="184">
        <f t="shared" si="31"/>
        <v>0</v>
      </c>
      <c r="L188" s="177"/>
      <c r="M188" s="177"/>
      <c r="N188" s="187">
        <v>2050.0</v>
      </c>
      <c r="O188" s="207">
        <v>-500.0</v>
      </c>
      <c r="P188" s="189"/>
      <c r="Q188" s="189">
        <f t="shared" si="32"/>
        <v>9848</v>
      </c>
      <c r="R188" s="207"/>
      <c r="S188" s="93"/>
    </row>
    <row r="189" ht="14.25" customHeight="1">
      <c r="B189" s="179"/>
      <c r="C189" s="167" t="s">
        <v>32</v>
      </c>
      <c r="D189" s="167">
        <v>1.0</v>
      </c>
      <c r="E189" s="175">
        <v>3250.0</v>
      </c>
      <c r="F189" s="175"/>
      <c r="G189" s="177"/>
      <c r="H189" s="179"/>
      <c r="I189" s="175">
        <v>1000.0</v>
      </c>
      <c r="J189" s="175"/>
      <c r="K189" s="184">
        <f t="shared" si="31"/>
        <v>0</v>
      </c>
      <c r="L189" s="177"/>
      <c r="M189" s="177"/>
      <c r="N189" s="187">
        <v>2250.0</v>
      </c>
      <c r="O189" s="207">
        <v>-500.0</v>
      </c>
      <c r="P189" s="189"/>
      <c r="Q189" s="189">
        <f t="shared" si="32"/>
        <v>11598</v>
      </c>
      <c r="R189" s="207"/>
      <c r="S189" s="93"/>
    </row>
    <row r="190" ht="14.25" customHeight="1">
      <c r="B190" s="179"/>
      <c r="C190" s="167" t="s">
        <v>33</v>
      </c>
      <c r="D190" s="167">
        <v>1.0</v>
      </c>
      <c r="E190" s="175">
        <v>3150.0</v>
      </c>
      <c r="F190" s="175"/>
      <c r="G190" s="177"/>
      <c r="H190" s="179"/>
      <c r="I190" s="175">
        <v>500.0</v>
      </c>
      <c r="J190" s="175"/>
      <c r="K190" s="184">
        <f t="shared" si="31"/>
        <v>0</v>
      </c>
      <c r="L190" s="177"/>
      <c r="M190" s="177"/>
      <c r="N190" s="187">
        <v>2650.0</v>
      </c>
      <c r="O190" s="207">
        <v>-500.0</v>
      </c>
      <c r="P190" s="189"/>
      <c r="Q190" s="189">
        <f t="shared" si="32"/>
        <v>13748</v>
      </c>
      <c r="R190" s="207"/>
      <c r="S190" s="93"/>
    </row>
    <row r="191" ht="14.25" customHeight="1">
      <c r="B191" s="222"/>
      <c r="C191" s="223" t="s">
        <v>34</v>
      </c>
      <c r="D191" s="223"/>
      <c r="E191" s="279"/>
      <c r="F191" s="279"/>
      <c r="G191" s="226"/>
      <c r="H191" s="222"/>
      <c r="I191" s="279"/>
      <c r="J191" s="279"/>
      <c r="K191" s="230">
        <f t="shared" si="31"/>
        <v>0</v>
      </c>
      <c r="L191" s="226"/>
      <c r="M191" s="226"/>
      <c r="N191" s="280"/>
      <c r="O191" s="279"/>
      <c r="P191" s="226"/>
      <c r="Q191" s="226">
        <f t="shared" si="32"/>
        <v>13748</v>
      </c>
      <c r="R191" s="279"/>
      <c r="S191" s="93"/>
    </row>
    <row r="192" ht="14.25" customHeight="1">
      <c r="B192" s="179"/>
      <c r="C192" s="167" t="s">
        <v>35</v>
      </c>
      <c r="D192" s="167">
        <v>2.0</v>
      </c>
      <c r="E192" s="175">
        <v>3700.0</v>
      </c>
      <c r="F192" s="175"/>
      <c r="G192" s="177"/>
      <c r="H192" s="179"/>
      <c r="I192" s="175">
        <v>1500.0</v>
      </c>
      <c r="J192" s="175"/>
      <c r="K192" s="184">
        <f t="shared" si="31"/>
        <v>0</v>
      </c>
      <c r="L192" s="177"/>
      <c r="M192" s="177"/>
      <c r="N192" s="187">
        <v>2200.0</v>
      </c>
      <c r="O192" s="207">
        <v>-500.0</v>
      </c>
      <c r="P192" s="189"/>
      <c r="Q192" s="189">
        <f t="shared" si="32"/>
        <v>15448</v>
      </c>
      <c r="R192" s="207"/>
      <c r="S192" s="93"/>
    </row>
    <row r="193" ht="14.25" customHeight="1">
      <c r="B193" s="222"/>
      <c r="C193" s="223" t="s">
        <v>164</v>
      </c>
      <c r="D193" s="223"/>
      <c r="E193" s="279"/>
      <c r="F193" s="279"/>
      <c r="G193" s="226"/>
      <c r="H193" s="222"/>
      <c r="I193" s="279"/>
      <c r="J193" s="279"/>
      <c r="K193" s="230"/>
      <c r="L193" s="226"/>
      <c r="M193" s="226"/>
      <c r="N193" s="280"/>
      <c r="O193" s="279"/>
      <c r="P193" s="226"/>
      <c r="Q193" s="226">
        <f t="shared" si="32"/>
        <v>15448</v>
      </c>
      <c r="R193" s="279"/>
      <c r="S193" s="93"/>
    </row>
    <row r="194" ht="14.25" customHeight="1">
      <c r="B194" s="179"/>
      <c r="C194" s="167" t="s">
        <v>45</v>
      </c>
      <c r="D194" s="167">
        <v>1.0</v>
      </c>
      <c r="E194" s="175">
        <v>3500.0</v>
      </c>
      <c r="F194" s="175"/>
      <c r="G194" s="177"/>
      <c r="H194" s="179"/>
      <c r="I194" s="175"/>
      <c r="J194" s="175">
        <v>1000.0</v>
      </c>
      <c r="K194" s="184"/>
      <c r="L194" s="177"/>
      <c r="M194" s="177"/>
      <c r="N194" s="187">
        <v>2500.0</v>
      </c>
      <c r="O194" s="207">
        <v>-500.0</v>
      </c>
      <c r="P194" s="189"/>
      <c r="Q194" s="189">
        <f t="shared" si="32"/>
        <v>17448</v>
      </c>
      <c r="R194" s="207"/>
      <c r="S194" s="93"/>
    </row>
    <row r="195" ht="14.25" customHeight="1">
      <c r="B195" s="222"/>
      <c r="C195" s="223" t="s">
        <v>47</v>
      </c>
      <c r="D195" s="223"/>
      <c r="E195" s="279"/>
      <c r="F195" s="279"/>
      <c r="G195" s="226"/>
      <c r="H195" s="222"/>
      <c r="I195" s="279"/>
      <c r="J195" s="279"/>
      <c r="K195" s="230">
        <f t="shared" ref="K195:K200" si="33">E195-I195-L195-M195-N195-J195+F195</f>
        <v>0</v>
      </c>
      <c r="L195" s="226"/>
      <c r="M195" s="226"/>
      <c r="N195" s="280"/>
      <c r="O195" s="279"/>
      <c r="P195" s="226"/>
      <c r="Q195" s="226">
        <f t="shared" si="32"/>
        <v>17448</v>
      </c>
      <c r="R195" s="279"/>
      <c r="S195" s="93"/>
    </row>
    <row r="196" ht="14.25" customHeight="1">
      <c r="B196" s="380"/>
      <c r="C196" s="381" t="s">
        <v>72</v>
      </c>
      <c r="D196" s="381">
        <v>1.0</v>
      </c>
      <c r="E196" s="382">
        <v>2300.0</v>
      </c>
      <c r="F196" s="383"/>
      <c r="G196" s="383"/>
      <c r="H196" s="380"/>
      <c r="I196" s="382">
        <v>1000.0</v>
      </c>
      <c r="J196" s="383"/>
      <c r="K196" s="184">
        <f t="shared" si="33"/>
        <v>0</v>
      </c>
      <c r="L196" s="383"/>
      <c r="M196" s="383"/>
      <c r="N196" s="385">
        <v>1300.0</v>
      </c>
      <c r="O196" s="385">
        <v>-500.0</v>
      </c>
      <c r="P196" s="189"/>
      <c r="Q196" s="189">
        <f t="shared" si="32"/>
        <v>18248</v>
      </c>
      <c r="R196" s="385"/>
      <c r="S196" s="93"/>
    </row>
    <row r="197" ht="14.25" customHeight="1">
      <c r="B197" s="380"/>
      <c r="C197" s="381" t="s">
        <v>73</v>
      </c>
      <c r="D197" s="381">
        <v>1.0</v>
      </c>
      <c r="E197" s="382">
        <v>2750.0</v>
      </c>
      <c r="F197" s="383"/>
      <c r="G197" s="383"/>
      <c r="H197" s="380"/>
      <c r="I197" s="382"/>
      <c r="J197" s="383"/>
      <c r="K197" s="184">
        <f t="shared" si="33"/>
        <v>0</v>
      </c>
      <c r="L197" s="383"/>
      <c r="M197" s="383"/>
      <c r="N197" s="385">
        <v>2750.0</v>
      </c>
      <c r="O197" s="385">
        <v>-500.0</v>
      </c>
      <c r="P197" s="189"/>
      <c r="Q197" s="189">
        <f t="shared" si="32"/>
        <v>20498</v>
      </c>
      <c r="R197" s="385"/>
      <c r="S197" s="93"/>
    </row>
    <row r="198" ht="14.25" customHeight="1">
      <c r="B198" s="380"/>
      <c r="C198" s="381" t="s">
        <v>49</v>
      </c>
      <c r="D198" s="381">
        <v>1.0</v>
      </c>
      <c r="E198" s="382">
        <v>2000.0</v>
      </c>
      <c r="F198" s="383"/>
      <c r="G198" s="383"/>
      <c r="H198" s="380"/>
      <c r="I198" s="382">
        <v>1000.0</v>
      </c>
      <c r="J198" s="383"/>
      <c r="K198" s="184">
        <f t="shared" si="33"/>
        <v>0</v>
      </c>
      <c r="L198" s="383"/>
      <c r="M198" s="383"/>
      <c r="N198" s="385">
        <v>1000.0</v>
      </c>
      <c r="O198" s="385">
        <v>-500.0</v>
      </c>
      <c r="P198" s="189"/>
      <c r="Q198" s="189">
        <f t="shared" si="32"/>
        <v>20998</v>
      </c>
      <c r="R198" s="385"/>
      <c r="S198" s="93"/>
    </row>
    <row r="199" ht="14.25" customHeight="1">
      <c r="B199" s="380"/>
      <c r="C199" s="381" t="s">
        <v>50</v>
      </c>
      <c r="D199" s="381">
        <v>1.0</v>
      </c>
      <c r="E199" s="382">
        <v>2000.0</v>
      </c>
      <c r="F199" s="383"/>
      <c r="G199" s="383"/>
      <c r="H199" s="380"/>
      <c r="I199" s="382">
        <v>1000.0</v>
      </c>
      <c r="J199" s="383"/>
      <c r="K199" s="184">
        <f t="shared" si="33"/>
        <v>0</v>
      </c>
      <c r="L199" s="383"/>
      <c r="M199" s="383"/>
      <c r="N199" s="385">
        <v>1000.0</v>
      </c>
      <c r="O199" s="385">
        <v>-500.0</v>
      </c>
      <c r="P199" s="189"/>
      <c r="Q199" s="189">
        <f t="shared" si="32"/>
        <v>21498</v>
      </c>
      <c r="R199" s="385"/>
      <c r="S199" s="93"/>
    </row>
    <row r="200" ht="14.25" customHeight="1">
      <c r="B200" s="380"/>
      <c r="C200" s="381" t="s">
        <v>52</v>
      </c>
      <c r="D200" s="381">
        <v>1.0</v>
      </c>
      <c r="E200" s="382">
        <v>3500.0</v>
      </c>
      <c r="F200" s="383"/>
      <c r="G200" s="383"/>
      <c r="H200" s="380"/>
      <c r="I200" s="382">
        <v>1000.0</v>
      </c>
      <c r="J200" s="383"/>
      <c r="K200" s="184">
        <f t="shared" si="33"/>
        <v>0</v>
      </c>
      <c r="L200" s="383"/>
      <c r="M200" s="383"/>
      <c r="N200" s="385">
        <v>2500.0</v>
      </c>
      <c r="O200" s="385">
        <v>-500.0</v>
      </c>
      <c r="P200" s="189"/>
      <c r="Q200" s="189">
        <f t="shared" si="32"/>
        <v>23498</v>
      </c>
      <c r="R200" s="385"/>
      <c r="S200" s="93"/>
    </row>
    <row r="201" ht="14.25" customHeight="1">
      <c r="B201" s="380"/>
      <c r="C201" s="381"/>
      <c r="D201" s="381"/>
      <c r="E201" s="382"/>
      <c r="F201" s="383"/>
      <c r="G201" s="383"/>
      <c r="H201" s="380"/>
      <c r="I201" s="382"/>
      <c r="J201" s="383"/>
      <c r="K201" s="184"/>
      <c r="L201" s="383"/>
      <c r="M201" s="383"/>
      <c r="N201" s="385"/>
      <c r="O201" s="385"/>
      <c r="P201" s="207">
        <v>-814.06</v>
      </c>
      <c r="Q201" s="189">
        <f t="shared" si="32"/>
        <v>22683.94</v>
      </c>
      <c r="R201" s="385" t="s">
        <v>92</v>
      </c>
      <c r="S201" s="93"/>
    </row>
    <row r="202" ht="14.25" customHeight="1">
      <c r="B202" s="380"/>
      <c r="C202" s="381"/>
      <c r="D202" s="381"/>
      <c r="E202" s="382"/>
      <c r="F202" s="383"/>
      <c r="G202" s="383"/>
      <c r="H202" s="380"/>
      <c r="I202" s="382"/>
      <c r="J202" s="383"/>
      <c r="K202" s="184">
        <f>E202-I202-L202-M202-N202-J202+F202</f>
        <v>0</v>
      </c>
      <c r="L202" s="383"/>
      <c r="M202" s="383"/>
      <c r="N202" s="385"/>
      <c r="O202" s="385"/>
      <c r="P202" s="207">
        <v>-22683.94</v>
      </c>
      <c r="Q202" s="189">
        <f t="shared" si="32"/>
        <v>0</v>
      </c>
      <c r="R202" s="385" t="s">
        <v>63</v>
      </c>
      <c r="S202" s="93"/>
    </row>
    <row r="203" ht="14.25" customHeight="1">
      <c r="B203" s="265" t="s">
        <v>186</v>
      </c>
      <c r="C203" s="266" t="s">
        <v>66</v>
      </c>
      <c r="D203" s="266">
        <f t="shared" ref="D203:P203" si="34">sum(D180:D202)</f>
        <v>16</v>
      </c>
      <c r="E203" s="268">
        <f t="shared" si="34"/>
        <v>41100</v>
      </c>
      <c r="F203" s="268">
        <f t="shared" si="34"/>
        <v>900</v>
      </c>
      <c r="G203" s="268">
        <f t="shared" si="34"/>
        <v>0</v>
      </c>
      <c r="H203" s="268">
        <f t="shared" si="34"/>
        <v>0</v>
      </c>
      <c r="I203" s="268">
        <f t="shared" si="34"/>
        <v>10002</v>
      </c>
      <c r="J203" s="268">
        <f t="shared" si="34"/>
        <v>1000</v>
      </c>
      <c r="K203" s="268">
        <f t="shared" si="34"/>
        <v>0</v>
      </c>
      <c r="L203" s="268">
        <f t="shared" si="34"/>
        <v>0</v>
      </c>
      <c r="M203" s="268">
        <f t="shared" si="34"/>
        <v>0</v>
      </c>
      <c r="N203" s="268">
        <f t="shared" si="34"/>
        <v>30998</v>
      </c>
      <c r="O203" s="268">
        <f t="shared" si="34"/>
        <v>-7500</v>
      </c>
      <c r="P203" s="268">
        <f t="shared" si="34"/>
        <v>-23498</v>
      </c>
      <c r="Q203" s="271">
        <f>Q202</f>
        <v>0</v>
      </c>
      <c r="R203" s="272"/>
      <c r="S203" s="93"/>
    </row>
    <row r="204" ht="14.25" customHeight="1">
      <c r="B204" s="179" t="s">
        <v>197</v>
      </c>
      <c r="C204" s="165">
        <v>45659.0</v>
      </c>
      <c r="D204" s="167">
        <v>1.0</v>
      </c>
      <c r="E204" s="175">
        <v>3350.0</v>
      </c>
      <c r="F204" s="175"/>
      <c r="G204" s="177"/>
      <c r="H204" s="179"/>
      <c r="I204" s="175">
        <v>1000.0</v>
      </c>
      <c r="J204" s="175"/>
      <c r="K204" s="184">
        <f t="shared" ref="K204:K211" si="35">E204-I204-L204-M204-N204-J204+F204</f>
        <v>0</v>
      </c>
      <c r="L204" s="177"/>
      <c r="M204" s="177"/>
      <c r="N204" s="187">
        <v>2350.0</v>
      </c>
      <c r="O204" s="207">
        <v>-500.0</v>
      </c>
      <c r="P204" s="189"/>
      <c r="Q204" s="189">
        <f t="shared" ref="Q204:Q226" si="36">Q203+N204+O204+P204</f>
        <v>1850</v>
      </c>
      <c r="R204" s="207"/>
      <c r="S204" s="93"/>
    </row>
    <row r="205" ht="14.25" customHeight="1">
      <c r="B205" s="179"/>
      <c r="C205" s="165">
        <v>45691.0</v>
      </c>
      <c r="D205" s="167">
        <v>1.0</v>
      </c>
      <c r="E205" s="175">
        <v>2850.0</v>
      </c>
      <c r="F205" s="175"/>
      <c r="G205" s="177"/>
      <c r="H205" s="179"/>
      <c r="I205" s="175">
        <v>1000.0</v>
      </c>
      <c r="J205" s="175"/>
      <c r="K205" s="184">
        <f t="shared" si="35"/>
        <v>0</v>
      </c>
      <c r="L205" s="177"/>
      <c r="M205" s="177"/>
      <c r="N205" s="187">
        <v>1850.0</v>
      </c>
      <c r="O205" s="207">
        <v>-500.0</v>
      </c>
      <c r="P205" s="189"/>
      <c r="Q205" s="189">
        <f t="shared" si="36"/>
        <v>3200</v>
      </c>
      <c r="R205" s="207"/>
      <c r="S205" s="93"/>
    </row>
    <row r="206" ht="14.25" customHeight="1">
      <c r="B206" s="179"/>
      <c r="C206" s="165">
        <v>45720.0</v>
      </c>
      <c r="D206" s="167">
        <v>1.0</v>
      </c>
      <c r="E206" s="175">
        <v>2300.0</v>
      </c>
      <c r="F206" s="175"/>
      <c r="G206" s="177"/>
      <c r="H206" s="179"/>
      <c r="I206" s="175">
        <v>1000.0</v>
      </c>
      <c r="J206" s="175"/>
      <c r="K206" s="184">
        <f t="shared" si="35"/>
        <v>0</v>
      </c>
      <c r="L206" s="177"/>
      <c r="M206" s="177"/>
      <c r="N206" s="187">
        <v>1300.0</v>
      </c>
      <c r="O206" s="207">
        <v>-500.0</v>
      </c>
      <c r="P206" s="189">
        <f>400</f>
        <v>400</v>
      </c>
      <c r="Q206" s="189">
        <f t="shared" si="36"/>
        <v>4400</v>
      </c>
      <c r="R206" s="207" t="s">
        <v>125</v>
      </c>
      <c r="S206" s="93"/>
    </row>
    <row r="207" ht="14.25" customHeight="1">
      <c r="B207" s="222"/>
      <c r="C207" s="277">
        <v>45753.0</v>
      </c>
      <c r="D207" s="223"/>
      <c r="E207" s="279"/>
      <c r="F207" s="279"/>
      <c r="G207" s="226"/>
      <c r="H207" s="222"/>
      <c r="I207" s="279"/>
      <c r="J207" s="279"/>
      <c r="K207" s="230">
        <f t="shared" si="35"/>
        <v>0</v>
      </c>
      <c r="L207" s="226"/>
      <c r="M207" s="226"/>
      <c r="N207" s="280"/>
      <c r="O207" s="279"/>
      <c r="P207" s="226"/>
      <c r="Q207" s="226">
        <f t="shared" si="36"/>
        <v>4400</v>
      </c>
      <c r="R207" s="279"/>
      <c r="S207" s="93"/>
    </row>
    <row r="208" ht="14.25" customHeight="1">
      <c r="B208" s="179"/>
      <c r="C208" s="165">
        <v>45815.0</v>
      </c>
      <c r="D208" s="167">
        <v>1.0</v>
      </c>
      <c r="E208" s="175">
        <v>2700.0</v>
      </c>
      <c r="F208" s="175"/>
      <c r="G208" s="175"/>
      <c r="H208" s="179"/>
      <c r="I208" s="175">
        <v>1000.0</v>
      </c>
      <c r="J208" s="175"/>
      <c r="K208" s="184">
        <f t="shared" si="35"/>
        <v>0</v>
      </c>
      <c r="L208" s="177"/>
      <c r="M208" s="177"/>
      <c r="N208" s="187">
        <v>1700.0</v>
      </c>
      <c r="O208" s="207">
        <v>-500.0</v>
      </c>
      <c r="P208" s="189"/>
      <c r="Q208" s="189">
        <f t="shared" si="36"/>
        <v>5600</v>
      </c>
      <c r="R208" s="207"/>
      <c r="S208" s="93"/>
    </row>
    <row r="209" ht="14.25" customHeight="1">
      <c r="B209" s="222"/>
      <c r="C209" s="277">
        <v>45846.0</v>
      </c>
      <c r="D209" s="223"/>
      <c r="E209" s="279"/>
      <c r="F209" s="279"/>
      <c r="G209" s="226"/>
      <c r="H209" s="222"/>
      <c r="I209" s="279"/>
      <c r="J209" s="279"/>
      <c r="K209" s="230">
        <f t="shared" si="35"/>
        <v>0</v>
      </c>
      <c r="L209" s="226"/>
      <c r="M209" s="226"/>
      <c r="N209" s="280"/>
      <c r="O209" s="279"/>
      <c r="P209" s="226"/>
      <c r="Q209" s="226">
        <f t="shared" si="36"/>
        <v>5600</v>
      </c>
      <c r="R209" s="279"/>
      <c r="S209" s="93"/>
    </row>
    <row r="210" ht="14.25" customHeight="1">
      <c r="B210" s="179"/>
      <c r="C210" s="165">
        <v>45878.0</v>
      </c>
      <c r="D210" s="167">
        <v>1.0</v>
      </c>
      <c r="E210" s="175">
        <v>3700.0</v>
      </c>
      <c r="F210" s="175"/>
      <c r="G210" s="177"/>
      <c r="H210" s="179"/>
      <c r="I210" s="175">
        <v>1000.0</v>
      </c>
      <c r="J210" s="175"/>
      <c r="K210" s="184">
        <f t="shared" si="35"/>
        <v>0</v>
      </c>
      <c r="L210" s="177"/>
      <c r="M210" s="177"/>
      <c r="N210" s="187">
        <v>2700.0</v>
      </c>
      <c r="O210" s="207">
        <v>-500.0</v>
      </c>
      <c r="P210" s="189"/>
      <c r="Q210" s="189">
        <f t="shared" si="36"/>
        <v>7800</v>
      </c>
      <c r="R210" s="207"/>
      <c r="S210" s="93"/>
    </row>
    <row r="211" ht="14.25" customHeight="1">
      <c r="B211" s="222"/>
      <c r="C211" s="277">
        <v>45913.0</v>
      </c>
      <c r="D211" s="223"/>
      <c r="E211" s="279"/>
      <c r="F211" s="279"/>
      <c r="G211" s="226"/>
      <c r="H211" s="222"/>
      <c r="I211" s="279"/>
      <c r="J211" s="279"/>
      <c r="K211" s="230">
        <f t="shared" si="35"/>
        <v>0</v>
      </c>
      <c r="L211" s="226"/>
      <c r="M211" s="226"/>
      <c r="N211" s="280"/>
      <c r="O211" s="279"/>
      <c r="P211" s="226"/>
      <c r="Q211" s="226">
        <f t="shared" si="36"/>
        <v>7800</v>
      </c>
      <c r="R211" s="279"/>
      <c r="S211" s="93"/>
    </row>
    <row r="212" ht="14.25" customHeight="1">
      <c r="B212" s="179"/>
      <c r="C212" s="167" t="s">
        <v>117</v>
      </c>
      <c r="D212" s="167">
        <v>2.0</v>
      </c>
      <c r="E212" s="175">
        <v>3800.0</v>
      </c>
      <c r="F212" s="175"/>
      <c r="G212" s="177"/>
      <c r="H212" s="179"/>
      <c r="I212" s="175">
        <v>1000.0</v>
      </c>
      <c r="J212" s="175"/>
      <c r="K212" s="184">
        <f t="shared" ref="K212:K216" si="37">E212-I212-L212-M212-N212-J212+F212-P212</f>
        <v>0</v>
      </c>
      <c r="L212" s="177"/>
      <c r="M212" s="177"/>
      <c r="N212" s="187">
        <v>2800.0</v>
      </c>
      <c r="O212" s="207">
        <v>-500.0</v>
      </c>
      <c r="P212" s="189"/>
      <c r="Q212" s="189">
        <f t="shared" si="36"/>
        <v>10100</v>
      </c>
      <c r="R212" s="207"/>
      <c r="S212" s="93"/>
    </row>
    <row r="213" ht="14.25" customHeight="1">
      <c r="B213" s="179"/>
      <c r="C213" s="167" t="s">
        <v>54</v>
      </c>
      <c r="D213" s="167">
        <v>2.0</v>
      </c>
      <c r="E213" s="175">
        <v>5100.0</v>
      </c>
      <c r="F213" s="175"/>
      <c r="G213" s="177"/>
      <c r="H213" s="179"/>
      <c r="I213" s="175"/>
      <c r="J213" s="175">
        <v>1500.0</v>
      </c>
      <c r="K213" s="184">
        <f t="shared" si="37"/>
        <v>0</v>
      </c>
      <c r="L213" s="177"/>
      <c r="M213" s="177"/>
      <c r="N213" s="187">
        <v>3600.0</v>
      </c>
      <c r="O213" s="207">
        <v>-500.0</v>
      </c>
      <c r="P213" s="189"/>
      <c r="Q213" s="189">
        <f t="shared" si="36"/>
        <v>13200</v>
      </c>
      <c r="R213" s="207"/>
      <c r="S213" s="93"/>
    </row>
    <row r="214" ht="14.25" customHeight="1">
      <c r="B214" s="179"/>
      <c r="C214" s="167" t="s">
        <v>32</v>
      </c>
      <c r="D214" s="167">
        <v>1.0</v>
      </c>
      <c r="E214" s="175">
        <v>3000.0</v>
      </c>
      <c r="F214" s="175"/>
      <c r="G214" s="177"/>
      <c r="H214" s="179"/>
      <c r="I214" s="175">
        <v>1000.0</v>
      </c>
      <c r="J214" s="175"/>
      <c r="K214" s="184">
        <f t="shared" si="37"/>
        <v>0</v>
      </c>
      <c r="L214" s="177"/>
      <c r="M214" s="177"/>
      <c r="N214" s="187">
        <v>2000.0</v>
      </c>
      <c r="O214" s="207">
        <v>-500.0</v>
      </c>
      <c r="P214" s="189"/>
      <c r="Q214" s="189">
        <f t="shared" si="36"/>
        <v>14700</v>
      </c>
      <c r="R214" s="207"/>
      <c r="S214" s="93"/>
    </row>
    <row r="215" ht="14.25" customHeight="1">
      <c r="B215" s="179"/>
      <c r="C215" s="167" t="s">
        <v>33</v>
      </c>
      <c r="D215" s="167">
        <v>1.0</v>
      </c>
      <c r="E215" s="175">
        <v>2100.0</v>
      </c>
      <c r="F215" s="175">
        <v>200.0</v>
      </c>
      <c r="G215" s="177"/>
      <c r="H215" s="179"/>
      <c r="I215" s="175">
        <v>1000.0</v>
      </c>
      <c r="J215" s="175"/>
      <c r="K215" s="184">
        <f t="shared" si="37"/>
        <v>0</v>
      </c>
      <c r="L215" s="177"/>
      <c r="M215" s="177"/>
      <c r="N215" s="187">
        <v>1100.0</v>
      </c>
      <c r="O215" s="207">
        <v>-500.0</v>
      </c>
      <c r="P215" s="207">
        <v>200.0</v>
      </c>
      <c r="Q215" s="189">
        <f t="shared" si="36"/>
        <v>15500</v>
      </c>
      <c r="R215" s="207" t="s">
        <v>43</v>
      </c>
      <c r="S215" s="93"/>
    </row>
    <row r="216" ht="14.25" customHeight="1">
      <c r="B216" s="222"/>
      <c r="C216" s="223" t="s">
        <v>144</v>
      </c>
      <c r="D216" s="223"/>
      <c r="E216" s="279"/>
      <c r="F216" s="279"/>
      <c r="G216" s="226"/>
      <c r="H216" s="222"/>
      <c r="I216" s="279"/>
      <c r="J216" s="279"/>
      <c r="K216" s="230">
        <f t="shared" si="37"/>
        <v>0</v>
      </c>
      <c r="L216" s="226"/>
      <c r="M216" s="226"/>
      <c r="N216" s="280"/>
      <c r="O216" s="279"/>
      <c r="P216" s="226"/>
      <c r="Q216" s="226">
        <f t="shared" si="36"/>
        <v>15500</v>
      </c>
      <c r="R216" s="279"/>
      <c r="S216" s="93"/>
    </row>
    <row r="217" ht="14.25" customHeight="1">
      <c r="B217" s="179"/>
      <c r="C217" s="167" t="s">
        <v>37</v>
      </c>
      <c r="D217" s="167">
        <v>1.0</v>
      </c>
      <c r="E217" s="175">
        <v>2800.0</v>
      </c>
      <c r="F217" s="175"/>
      <c r="G217" s="177"/>
      <c r="H217" s="179"/>
      <c r="I217" s="175">
        <v>1000.0</v>
      </c>
      <c r="J217" s="175"/>
      <c r="K217" s="184"/>
      <c r="L217" s="177"/>
      <c r="M217" s="177"/>
      <c r="N217" s="187">
        <v>1800.0</v>
      </c>
      <c r="O217" s="207">
        <v>-500.0</v>
      </c>
      <c r="P217" s="189"/>
      <c r="Q217" s="189">
        <f t="shared" si="36"/>
        <v>16800</v>
      </c>
      <c r="R217" s="207"/>
      <c r="S217" s="93"/>
    </row>
    <row r="218" ht="14.25" customHeight="1">
      <c r="B218" s="179"/>
      <c r="C218" s="167" t="s">
        <v>108</v>
      </c>
      <c r="D218" s="167">
        <v>2.0</v>
      </c>
      <c r="E218" s="175">
        <f>2001+3899</f>
        <v>5900</v>
      </c>
      <c r="F218" s="175"/>
      <c r="G218" s="177"/>
      <c r="H218" s="179"/>
      <c r="I218" s="175">
        <v>2001.0</v>
      </c>
      <c r="J218" s="175"/>
      <c r="K218" s="184">
        <f>E218-I218-L218-M218-N218-J218+F218-P218</f>
        <v>0</v>
      </c>
      <c r="L218" s="177"/>
      <c r="M218" s="177"/>
      <c r="N218" s="187">
        <v>3899.0</v>
      </c>
      <c r="O218" s="207">
        <v>-500.0</v>
      </c>
      <c r="P218" s="189"/>
      <c r="Q218" s="189">
        <f t="shared" si="36"/>
        <v>20199</v>
      </c>
      <c r="R218" s="207"/>
      <c r="S218" s="93"/>
    </row>
    <row r="219" ht="14.25" customHeight="1">
      <c r="B219" s="222"/>
      <c r="C219" s="223" t="s">
        <v>201</v>
      </c>
      <c r="D219" s="223"/>
      <c r="E219" s="279"/>
      <c r="F219" s="279"/>
      <c r="G219" s="226"/>
      <c r="H219" s="222"/>
      <c r="I219" s="279"/>
      <c r="J219" s="279"/>
      <c r="K219" s="230">
        <f>E219-I219-L219-M219-N219-J219+F219</f>
        <v>0</v>
      </c>
      <c r="L219" s="226"/>
      <c r="M219" s="226"/>
      <c r="N219" s="280"/>
      <c r="O219" s="279"/>
      <c r="P219" s="226"/>
      <c r="Q219" s="226">
        <f t="shared" si="36"/>
        <v>20199</v>
      </c>
      <c r="R219" s="279"/>
      <c r="S219" s="93"/>
    </row>
    <row r="220" ht="14.25" customHeight="1">
      <c r="B220" s="380"/>
      <c r="C220" s="381" t="s">
        <v>73</v>
      </c>
      <c r="D220" s="381">
        <v>1.0</v>
      </c>
      <c r="E220" s="382">
        <v>2850.0</v>
      </c>
      <c r="F220" s="383"/>
      <c r="G220" s="383"/>
      <c r="H220" s="380"/>
      <c r="I220" s="382">
        <v>1000.0</v>
      </c>
      <c r="J220" s="383"/>
      <c r="K220" s="184">
        <f t="shared" ref="K220:K222" si="38">E220-I220-L220-M220-N220-J220+F220-P220</f>
        <v>0</v>
      </c>
      <c r="L220" s="383"/>
      <c r="M220" s="383"/>
      <c r="N220" s="385">
        <v>1850.0</v>
      </c>
      <c r="O220" s="385">
        <v>-500.0</v>
      </c>
      <c r="P220" s="189"/>
      <c r="Q220" s="189">
        <f t="shared" si="36"/>
        <v>21549</v>
      </c>
      <c r="R220" s="385"/>
      <c r="S220" s="93"/>
    </row>
    <row r="221" ht="14.25" customHeight="1">
      <c r="B221" s="380"/>
      <c r="C221" s="381" t="s">
        <v>49</v>
      </c>
      <c r="D221" s="381">
        <v>1.0</v>
      </c>
      <c r="E221" s="382">
        <v>4050.0</v>
      </c>
      <c r="F221" s="383"/>
      <c r="G221" s="383"/>
      <c r="H221" s="380"/>
      <c r="I221" s="382"/>
      <c r="J221" s="382">
        <v>1000.0</v>
      </c>
      <c r="K221" s="184">
        <f t="shared" si="38"/>
        <v>0</v>
      </c>
      <c r="L221" s="383"/>
      <c r="M221" s="383"/>
      <c r="N221" s="385">
        <v>3050.0</v>
      </c>
      <c r="O221" s="385">
        <v>-500.0</v>
      </c>
      <c r="P221" s="189"/>
      <c r="Q221" s="189">
        <f t="shared" si="36"/>
        <v>24099</v>
      </c>
      <c r="R221" s="385"/>
      <c r="S221" s="93"/>
    </row>
    <row r="222" ht="14.25" customHeight="1">
      <c r="B222" s="380"/>
      <c r="C222" s="381" t="s">
        <v>75</v>
      </c>
      <c r="D222" s="381">
        <v>1.0</v>
      </c>
      <c r="E222" s="382">
        <v>3300.0</v>
      </c>
      <c r="F222" s="383"/>
      <c r="G222" s="383"/>
      <c r="H222" s="380"/>
      <c r="I222" s="382">
        <v>1000.0</v>
      </c>
      <c r="J222" s="383"/>
      <c r="K222" s="184">
        <f t="shared" si="38"/>
        <v>0</v>
      </c>
      <c r="L222" s="383"/>
      <c r="M222" s="383"/>
      <c r="N222" s="385">
        <v>2300.0</v>
      </c>
      <c r="O222" s="385">
        <v>-500.0</v>
      </c>
      <c r="P222" s="189"/>
      <c r="Q222" s="189">
        <f t="shared" si="36"/>
        <v>25899</v>
      </c>
      <c r="R222" s="385"/>
      <c r="S222" s="93"/>
    </row>
    <row r="223" ht="14.25" customHeight="1">
      <c r="B223" s="380"/>
      <c r="C223" s="381"/>
      <c r="D223" s="381"/>
      <c r="E223" s="382"/>
      <c r="F223" s="383"/>
      <c r="G223" s="383"/>
      <c r="H223" s="380"/>
      <c r="I223" s="382"/>
      <c r="J223" s="383"/>
      <c r="K223" s="184"/>
      <c r="L223" s="383"/>
      <c r="M223" s="383"/>
      <c r="N223" s="385"/>
      <c r="O223" s="385"/>
      <c r="P223" s="207">
        <v>-200.0</v>
      </c>
      <c r="Q223" s="189">
        <f t="shared" si="36"/>
        <v>25699</v>
      </c>
      <c r="R223" s="385" t="s">
        <v>237</v>
      </c>
      <c r="S223" s="93"/>
    </row>
    <row r="224" ht="14.25" customHeight="1">
      <c r="B224" s="380"/>
      <c r="C224" s="381"/>
      <c r="D224" s="381"/>
      <c r="E224" s="382"/>
      <c r="F224" s="383"/>
      <c r="G224" s="383"/>
      <c r="H224" s="380"/>
      <c r="I224" s="382"/>
      <c r="J224" s="383"/>
      <c r="K224" s="184"/>
      <c r="L224" s="383"/>
      <c r="M224" s="383"/>
      <c r="N224" s="385"/>
      <c r="O224" s="385"/>
      <c r="P224" s="207">
        <v>-650.0</v>
      </c>
      <c r="Q224" s="189">
        <f t="shared" si="36"/>
        <v>25049</v>
      </c>
      <c r="R224" s="385" t="s">
        <v>239</v>
      </c>
      <c r="S224" s="93"/>
    </row>
    <row r="225" ht="14.25" customHeight="1">
      <c r="B225" s="380"/>
      <c r="C225" s="381"/>
      <c r="D225" s="381"/>
      <c r="E225" s="382"/>
      <c r="F225" s="383"/>
      <c r="G225" s="383"/>
      <c r="H225" s="380"/>
      <c r="I225" s="382"/>
      <c r="J225" s="383"/>
      <c r="K225" s="184"/>
      <c r="L225" s="383"/>
      <c r="M225" s="383"/>
      <c r="N225" s="385"/>
      <c r="O225" s="385"/>
      <c r="P225" s="207">
        <v>-1500.0</v>
      </c>
      <c r="Q225" s="189">
        <f t="shared" si="36"/>
        <v>23549</v>
      </c>
      <c r="R225" s="385" t="s">
        <v>240</v>
      </c>
      <c r="S225" s="93"/>
    </row>
    <row r="226" ht="14.25" customHeight="1">
      <c r="B226" s="380"/>
      <c r="C226" s="381"/>
      <c r="D226" s="381"/>
      <c r="E226" s="382"/>
      <c r="F226" s="383"/>
      <c r="G226" s="383"/>
      <c r="H226" s="380"/>
      <c r="I226" s="382"/>
      <c r="J226" s="383"/>
      <c r="K226" s="184"/>
      <c r="L226" s="383"/>
      <c r="M226" s="383"/>
      <c r="N226" s="385"/>
      <c r="O226" s="385"/>
      <c r="P226" s="207">
        <v>-23549.0</v>
      </c>
      <c r="Q226" s="189">
        <f t="shared" si="36"/>
        <v>0</v>
      </c>
      <c r="R226" s="385"/>
      <c r="S226" s="93"/>
    </row>
    <row r="227" ht="14.25" customHeight="1">
      <c r="B227" s="265" t="s">
        <v>197</v>
      </c>
      <c r="C227" s="266" t="s">
        <v>66</v>
      </c>
      <c r="D227" s="266">
        <f t="shared" ref="D227:P227" si="39">sum(D204:D225)</f>
        <v>17</v>
      </c>
      <c r="E227" s="268">
        <f t="shared" si="39"/>
        <v>47800</v>
      </c>
      <c r="F227" s="268">
        <f t="shared" si="39"/>
        <v>200</v>
      </c>
      <c r="G227" s="268">
        <f t="shared" si="39"/>
        <v>0</v>
      </c>
      <c r="H227" s="268">
        <f t="shared" si="39"/>
        <v>0</v>
      </c>
      <c r="I227" s="268">
        <f t="shared" si="39"/>
        <v>13001</v>
      </c>
      <c r="J227" s="268">
        <f t="shared" si="39"/>
        <v>2500</v>
      </c>
      <c r="K227" s="268">
        <f t="shared" si="39"/>
        <v>0</v>
      </c>
      <c r="L227" s="268">
        <f t="shared" si="39"/>
        <v>0</v>
      </c>
      <c r="M227" s="268">
        <f t="shared" si="39"/>
        <v>0</v>
      </c>
      <c r="N227" s="268">
        <f t="shared" si="39"/>
        <v>32299</v>
      </c>
      <c r="O227" s="268">
        <f t="shared" si="39"/>
        <v>-7000</v>
      </c>
      <c r="P227" s="268">
        <f t="shared" si="39"/>
        <v>-1750</v>
      </c>
      <c r="Q227" s="271">
        <f>Q226</f>
        <v>0</v>
      </c>
      <c r="R227" s="272"/>
      <c r="S227" s="93"/>
    </row>
    <row r="228" ht="14.25" customHeight="1">
      <c r="B228" s="336" t="s">
        <v>203</v>
      </c>
      <c r="C228" s="277">
        <v>45662.0</v>
      </c>
      <c r="D228" s="223"/>
      <c r="E228" s="279"/>
      <c r="F228" s="279"/>
      <c r="G228" s="226"/>
      <c r="H228" s="222"/>
      <c r="I228" s="279"/>
      <c r="J228" s="279"/>
      <c r="K228" s="230"/>
      <c r="L228" s="226"/>
      <c r="M228" s="226"/>
      <c r="N228" s="280">
        <v>350.0</v>
      </c>
      <c r="O228" s="279"/>
      <c r="P228" s="226"/>
      <c r="Q228" s="226">
        <f t="shared" ref="Q228:Q247" si="40">Q227+N228+O228+P228</f>
        <v>350</v>
      </c>
      <c r="R228" s="279" t="s">
        <v>242</v>
      </c>
      <c r="S228" s="93"/>
    </row>
    <row r="229" ht="14.25" customHeight="1">
      <c r="B229" s="179"/>
      <c r="C229" s="165">
        <v>45783.0</v>
      </c>
      <c r="D229" s="167">
        <v>1.0</v>
      </c>
      <c r="E229" s="175">
        <v>2500.0</v>
      </c>
      <c r="F229" s="175"/>
      <c r="G229" s="177"/>
      <c r="H229" s="179"/>
      <c r="I229" s="175">
        <v>1000.0</v>
      </c>
      <c r="J229" s="175"/>
      <c r="K229" s="184">
        <f t="shared" ref="K229:K234" si="41">E229-I229-L229-M229-N229-J229+F229</f>
        <v>0</v>
      </c>
      <c r="L229" s="177"/>
      <c r="M229" s="177"/>
      <c r="N229" s="187">
        <v>1500.0</v>
      </c>
      <c r="O229" s="207">
        <v>-500.0</v>
      </c>
      <c r="P229" s="189"/>
      <c r="Q229" s="189">
        <f t="shared" si="40"/>
        <v>1350</v>
      </c>
      <c r="R229" s="207"/>
      <c r="S229" s="93"/>
    </row>
    <row r="230" ht="14.25" customHeight="1">
      <c r="B230" s="179"/>
      <c r="C230" s="165">
        <v>45815.0</v>
      </c>
      <c r="D230" s="167">
        <v>1.0</v>
      </c>
      <c r="E230" s="175">
        <v>2800.0</v>
      </c>
      <c r="F230" s="175"/>
      <c r="G230" s="177"/>
      <c r="H230" s="179"/>
      <c r="I230" s="175">
        <v>600.0</v>
      </c>
      <c r="J230" s="175"/>
      <c r="K230" s="184">
        <f t="shared" si="41"/>
        <v>0</v>
      </c>
      <c r="L230" s="177"/>
      <c r="M230" s="177"/>
      <c r="N230" s="187">
        <v>2200.0</v>
      </c>
      <c r="O230" s="207">
        <v>-500.0</v>
      </c>
      <c r="P230" s="189"/>
      <c r="Q230" s="189">
        <f t="shared" si="40"/>
        <v>3050</v>
      </c>
      <c r="R230" s="207"/>
      <c r="S230" s="93"/>
    </row>
    <row r="231" ht="14.25" customHeight="1">
      <c r="B231" s="179"/>
      <c r="C231" s="165">
        <v>45846.0</v>
      </c>
      <c r="D231" s="167">
        <v>1.0</v>
      </c>
      <c r="E231" s="175">
        <v>2800.0</v>
      </c>
      <c r="F231" s="175">
        <v>450.0</v>
      </c>
      <c r="G231" s="175"/>
      <c r="H231" s="179"/>
      <c r="I231" s="175">
        <f>1000+225</f>
        <v>1225</v>
      </c>
      <c r="J231" s="175"/>
      <c r="K231" s="184">
        <f t="shared" si="41"/>
        <v>0</v>
      </c>
      <c r="L231" s="177"/>
      <c r="M231" s="177"/>
      <c r="N231" s="187">
        <v>2025.0</v>
      </c>
      <c r="O231" s="207">
        <v>-500.0</v>
      </c>
      <c r="P231" s="189"/>
      <c r="Q231" s="189">
        <f t="shared" si="40"/>
        <v>4575</v>
      </c>
      <c r="R231" s="207"/>
      <c r="S231" s="93"/>
    </row>
    <row r="232" ht="14.25" customHeight="1">
      <c r="B232" s="222"/>
      <c r="C232" s="277">
        <v>45882.0</v>
      </c>
      <c r="D232" s="223"/>
      <c r="E232" s="279"/>
      <c r="F232" s="279"/>
      <c r="G232" s="226"/>
      <c r="H232" s="222"/>
      <c r="I232" s="279"/>
      <c r="J232" s="279"/>
      <c r="K232" s="230">
        <f t="shared" si="41"/>
        <v>0</v>
      </c>
      <c r="L232" s="226"/>
      <c r="M232" s="226"/>
      <c r="N232" s="280"/>
      <c r="O232" s="279"/>
      <c r="P232" s="226"/>
      <c r="Q232" s="226">
        <f t="shared" si="40"/>
        <v>4575</v>
      </c>
      <c r="R232" s="279"/>
      <c r="S232" s="93"/>
    </row>
    <row r="233" ht="14.25" customHeight="1">
      <c r="B233" s="179"/>
      <c r="C233" s="167" t="s">
        <v>46</v>
      </c>
      <c r="D233" s="167">
        <v>1.0</v>
      </c>
      <c r="E233" s="175">
        <v>3850.0</v>
      </c>
      <c r="F233" s="175"/>
      <c r="G233" s="175"/>
      <c r="H233" s="179"/>
      <c r="I233" s="175">
        <v>1000.0</v>
      </c>
      <c r="J233" s="175"/>
      <c r="K233" s="184">
        <f t="shared" si="41"/>
        <v>0</v>
      </c>
      <c r="L233" s="177"/>
      <c r="M233" s="177"/>
      <c r="N233" s="187">
        <v>2850.0</v>
      </c>
      <c r="O233" s="207">
        <v>-500.0</v>
      </c>
      <c r="P233" s="189"/>
      <c r="Q233" s="189">
        <f t="shared" si="40"/>
        <v>6925</v>
      </c>
      <c r="R233" s="207"/>
      <c r="S233" s="93"/>
    </row>
    <row r="234" ht="14.25" customHeight="1">
      <c r="B234" s="222"/>
      <c r="C234" s="223" t="s">
        <v>245</v>
      </c>
      <c r="D234" s="223"/>
      <c r="E234" s="279"/>
      <c r="F234" s="279"/>
      <c r="G234" s="226"/>
      <c r="H234" s="222"/>
      <c r="I234" s="279"/>
      <c r="J234" s="279"/>
      <c r="K234" s="230">
        <f t="shared" si="41"/>
        <v>0</v>
      </c>
      <c r="L234" s="226"/>
      <c r="M234" s="226"/>
      <c r="N234" s="280"/>
      <c r="O234" s="279"/>
      <c r="P234" s="226"/>
      <c r="Q234" s="226">
        <f t="shared" si="40"/>
        <v>6925</v>
      </c>
      <c r="R234" s="279"/>
      <c r="S234" s="93"/>
    </row>
    <row r="235" ht="14.25" customHeight="1">
      <c r="B235" s="179"/>
      <c r="C235" s="167" t="s">
        <v>56</v>
      </c>
      <c r="D235" s="167">
        <v>2.0</v>
      </c>
      <c r="E235" s="175">
        <v>4500.0</v>
      </c>
      <c r="F235" s="175"/>
      <c r="G235" s="177"/>
      <c r="H235" s="179"/>
      <c r="I235" s="175">
        <v>1500.0</v>
      </c>
      <c r="J235" s="175"/>
      <c r="K235" s="184">
        <f>E235-I235-L235-M235-N235-J235+F235-P235</f>
        <v>0</v>
      </c>
      <c r="L235" s="177"/>
      <c r="M235" s="177"/>
      <c r="N235" s="187">
        <v>3000.0</v>
      </c>
      <c r="O235" s="207">
        <v>-500.0</v>
      </c>
      <c r="P235" s="189"/>
      <c r="Q235" s="189">
        <f t="shared" si="40"/>
        <v>9425</v>
      </c>
      <c r="R235" s="207"/>
      <c r="S235" s="93"/>
    </row>
    <row r="236" ht="14.25" customHeight="1">
      <c r="B236" s="222"/>
      <c r="C236" s="223" t="s">
        <v>34</v>
      </c>
      <c r="D236" s="223"/>
      <c r="E236" s="279"/>
      <c r="F236" s="279"/>
      <c r="G236" s="226"/>
      <c r="H236" s="222"/>
      <c r="I236" s="279"/>
      <c r="J236" s="279"/>
      <c r="K236" s="230">
        <f>E236-I236-L236-M236-N236-J236+F236</f>
        <v>0</v>
      </c>
      <c r="L236" s="226"/>
      <c r="M236" s="226"/>
      <c r="N236" s="280"/>
      <c r="O236" s="279"/>
      <c r="P236" s="226"/>
      <c r="Q236" s="226">
        <f t="shared" si="40"/>
        <v>9425</v>
      </c>
      <c r="R236" s="279"/>
      <c r="S236" s="93"/>
    </row>
    <row r="237" ht="14.25" customHeight="1">
      <c r="B237" s="179"/>
      <c r="C237" s="167" t="s">
        <v>69</v>
      </c>
      <c r="D237" s="167">
        <v>1.0</v>
      </c>
      <c r="E237" s="175">
        <v>2800.0</v>
      </c>
      <c r="F237" s="175"/>
      <c r="G237" s="177"/>
      <c r="H237" s="179"/>
      <c r="I237" s="175">
        <v>500.0</v>
      </c>
      <c r="J237" s="175">
        <v>500.0</v>
      </c>
      <c r="K237" s="184">
        <f t="shared" ref="K237:K240" si="42">E237-I237-L237-M237-N237-J237+F237-P237</f>
        <v>0</v>
      </c>
      <c r="L237" s="177"/>
      <c r="M237" s="177"/>
      <c r="N237" s="187">
        <v>1800.0</v>
      </c>
      <c r="O237" s="207">
        <v>-500.0</v>
      </c>
      <c r="P237" s="189"/>
      <c r="Q237" s="189">
        <f t="shared" si="40"/>
        <v>10725</v>
      </c>
      <c r="R237" s="207"/>
      <c r="S237" s="93"/>
    </row>
    <row r="238" ht="14.25" customHeight="1">
      <c r="B238" s="179"/>
      <c r="C238" s="167" t="s">
        <v>78</v>
      </c>
      <c r="D238" s="167">
        <v>2.0</v>
      </c>
      <c r="E238" s="175">
        <v>5700.0</v>
      </c>
      <c r="F238" s="175"/>
      <c r="G238" s="177"/>
      <c r="H238" s="179"/>
      <c r="I238" s="175">
        <v>1500.0</v>
      </c>
      <c r="J238" s="175"/>
      <c r="K238" s="184">
        <f t="shared" si="42"/>
        <v>0</v>
      </c>
      <c r="L238" s="177"/>
      <c r="M238" s="177"/>
      <c r="N238" s="187">
        <v>4200.0</v>
      </c>
      <c r="O238" s="207">
        <v>-500.0</v>
      </c>
      <c r="P238" s="189"/>
      <c r="Q238" s="189">
        <f t="shared" si="40"/>
        <v>14425</v>
      </c>
      <c r="R238" s="207"/>
      <c r="S238" s="93"/>
    </row>
    <row r="239" ht="14.25" customHeight="1">
      <c r="B239" s="179"/>
      <c r="C239" s="167" t="s">
        <v>41</v>
      </c>
      <c r="D239" s="167">
        <v>1.0</v>
      </c>
      <c r="E239" s="175">
        <v>3200.0</v>
      </c>
      <c r="F239" s="175"/>
      <c r="G239" s="177"/>
      <c r="H239" s="179"/>
      <c r="I239" s="175">
        <v>1000.0</v>
      </c>
      <c r="J239" s="175"/>
      <c r="K239" s="184">
        <f t="shared" si="42"/>
        <v>0</v>
      </c>
      <c r="L239" s="177"/>
      <c r="M239" s="177"/>
      <c r="N239" s="187">
        <v>2200.0</v>
      </c>
      <c r="O239" s="207">
        <v>-500.0</v>
      </c>
      <c r="P239" s="207"/>
      <c r="Q239" s="189">
        <f t="shared" si="40"/>
        <v>16125</v>
      </c>
      <c r="R239" s="207"/>
      <c r="S239" s="93"/>
    </row>
    <row r="240" ht="14.25" customHeight="1">
      <c r="B240" s="179"/>
      <c r="C240" s="167" t="s">
        <v>44</v>
      </c>
      <c r="D240" s="167">
        <v>1.0</v>
      </c>
      <c r="E240" s="175">
        <v>3500.0</v>
      </c>
      <c r="F240" s="175">
        <v>500.0</v>
      </c>
      <c r="G240" s="177"/>
      <c r="H240" s="179"/>
      <c r="I240" s="175">
        <v>1250.0</v>
      </c>
      <c r="J240" s="175"/>
      <c r="K240" s="184">
        <f t="shared" si="42"/>
        <v>0</v>
      </c>
      <c r="L240" s="177"/>
      <c r="M240" s="177"/>
      <c r="N240" s="187">
        <v>2750.0</v>
      </c>
      <c r="O240" s="207">
        <v>-500.0</v>
      </c>
      <c r="P240" s="207"/>
      <c r="Q240" s="189">
        <f t="shared" si="40"/>
        <v>18375</v>
      </c>
      <c r="R240" s="207"/>
      <c r="S240" s="93"/>
    </row>
    <row r="241" ht="14.25" customHeight="1">
      <c r="B241" s="179"/>
      <c r="C241" s="167" t="s">
        <v>99</v>
      </c>
      <c r="D241" s="167">
        <v>2.0</v>
      </c>
      <c r="E241" s="175">
        <v>8800.0</v>
      </c>
      <c r="F241" s="175"/>
      <c r="G241" s="177"/>
      <c r="H241" s="179"/>
      <c r="I241" s="175">
        <v>2000.0</v>
      </c>
      <c r="J241" s="175"/>
      <c r="K241" s="184"/>
      <c r="L241" s="177"/>
      <c r="M241" s="177"/>
      <c r="N241" s="187">
        <v>6800.0</v>
      </c>
      <c r="O241" s="207">
        <v>-500.0</v>
      </c>
      <c r="P241" s="189"/>
      <c r="Q241" s="189">
        <f t="shared" si="40"/>
        <v>24675</v>
      </c>
      <c r="R241" s="207"/>
      <c r="S241" s="93"/>
    </row>
    <row r="242" ht="14.25" customHeight="1">
      <c r="B242" s="179"/>
      <c r="C242" s="167" t="s">
        <v>72</v>
      </c>
      <c r="D242" s="167">
        <v>1.0</v>
      </c>
      <c r="E242" s="175">
        <v>4050.0</v>
      </c>
      <c r="F242" s="175"/>
      <c r="G242" s="177"/>
      <c r="H242" s="179"/>
      <c r="I242" s="175">
        <v>1000.0</v>
      </c>
      <c r="J242" s="175"/>
      <c r="K242" s="184">
        <f t="shared" ref="K242:K246" si="43">E242-I242-L242-M242-N242-J242+F242-P242</f>
        <v>0</v>
      </c>
      <c r="L242" s="177"/>
      <c r="M242" s="177"/>
      <c r="N242" s="187">
        <v>3050.0</v>
      </c>
      <c r="O242" s="207">
        <v>-500.0</v>
      </c>
      <c r="P242" s="189"/>
      <c r="Q242" s="189">
        <f t="shared" si="40"/>
        <v>27225</v>
      </c>
      <c r="R242" s="207"/>
      <c r="S242" s="93"/>
    </row>
    <row r="243" ht="14.25" customHeight="1">
      <c r="B243" s="179"/>
      <c r="C243" s="167" t="s">
        <v>73</v>
      </c>
      <c r="D243" s="167">
        <v>1.0</v>
      </c>
      <c r="E243" s="175">
        <v>2800.0</v>
      </c>
      <c r="F243" s="175"/>
      <c r="G243" s="177"/>
      <c r="H243" s="179"/>
      <c r="I243" s="175">
        <v>1000.0</v>
      </c>
      <c r="J243" s="175"/>
      <c r="K243" s="184">
        <f t="shared" si="43"/>
        <v>0</v>
      </c>
      <c r="L243" s="177"/>
      <c r="M243" s="177"/>
      <c r="N243" s="187">
        <v>1800.0</v>
      </c>
      <c r="O243" s="207">
        <v>-500.0</v>
      </c>
      <c r="P243" s="207"/>
      <c r="Q243" s="189">
        <f t="shared" si="40"/>
        <v>28525</v>
      </c>
      <c r="R243" s="207"/>
      <c r="S243" s="93"/>
    </row>
    <row r="244" ht="14.25" customHeight="1">
      <c r="B244" s="380"/>
      <c r="C244" s="381" t="s">
        <v>49</v>
      </c>
      <c r="D244" s="381">
        <v>1.0</v>
      </c>
      <c r="E244" s="382">
        <v>3000.0</v>
      </c>
      <c r="F244" s="383"/>
      <c r="G244" s="383"/>
      <c r="H244" s="380"/>
      <c r="I244" s="382">
        <v>1000.0</v>
      </c>
      <c r="J244" s="383"/>
      <c r="K244" s="184">
        <f t="shared" si="43"/>
        <v>0</v>
      </c>
      <c r="L244" s="383"/>
      <c r="M244" s="383"/>
      <c r="N244" s="385">
        <v>2000.0</v>
      </c>
      <c r="O244" s="385">
        <v>-500.0</v>
      </c>
      <c r="P244" s="189"/>
      <c r="Q244" s="189">
        <f t="shared" si="40"/>
        <v>30025</v>
      </c>
      <c r="R244" s="385"/>
      <c r="S244" s="93"/>
    </row>
    <row r="245" ht="14.25" customHeight="1">
      <c r="B245" s="457"/>
      <c r="C245" s="458" t="s">
        <v>50</v>
      </c>
      <c r="D245" s="458">
        <v>1.0</v>
      </c>
      <c r="E245" s="461">
        <v>1000.0</v>
      </c>
      <c r="F245" s="462"/>
      <c r="G245" s="462"/>
      <c r="H245" s="457"/>
      <c r="I245" s="461">
        <v>1000.0</v>
      </c>
      <c r="J245" s="461"/>
      <c r="K245" s="230">
        <f t="shared" si="43"/>
        <v>0</v>
      </c>
      <c r="L245" s="462"/>
      <c r="M245" s="462"/>
      <c r="N245" s="461"/>
      <c r="O245" s="461"/>
      <c r="P245" s="226"/>
      <c r="Q245" s="226">
        <f t="shared" si="40"/>
        <v>30025</v>
      </c>
      <c r="R245" s="461" t="s">
        <v>81</v>
      </c>
      <c r="S245" s="93"/>
    </row>
    <row r="246" ht="14.25" customHeight="1">
      <c r="B246" s="380"/>
      <c r="C246" s="381" t="s">
        <v>52</v>
      </c>
      <c r="D246" s="381">
        <v>1.0</v>
      </c>
      <c r="E246" s="382">
        <v>4500.0</v>
      </c>
      <c r="F246" s="383"/>
      <c r="G246" s="383"/>
      <c r="H246" s="380"/>
      <c r="I246" s="382">
        <v>1000.0</v>
      </c>
      <c r="J246" s="383"/>
      <c r="K246" s="184">
        <f t="shared" si="43"/>
        <v>0</v>
      </c>
      <c r="L246" s="383"/>
      <c r="M246" s="383"/>
      <c r="N246" s="385">
        <v>3500.0</v>
      </c>
      <c r="O246" s="385">
        <v>-500.0</v>
      </c>
      <c r="P246" s="189"/>
      <c r="Q246" s="189">
        <f t="shared" si="40"/>
        <v>33025</v>
      </c>
      <c r="R246" s="385"/>
      <c r="S246" s="93"/>
    </row>
    <row r="247" ht="14.25" customHeight="1">
      <c r="B247" s="380"/>
      <c r="C247" s="381"/>
      <c r="D247" s="381"/>
      <c r="E247" s="382"/>
      <c r="F247" s="383"/>
      <c r="G247" s="383"/>
      <c r="H247" s="380"/>
      <c r="I247" s="382"/>
      <c r="J247" s="383"/>
      <c r="K247" s="184"/>
      <c r="L247" s="383"/>
      <c r="M247" s="383"/>
      <c r="N247" s="385"/>
      <c r="O247" s="385"/>
      <c r="P247" s="207">
        <v>-33025.0</v>
      </c>
      <c r="Q247" s="189">
        <f t="shared" si="40"/>
        <v>0</v>
      </c>
      <c r="R247" s="385"/>
      <c r="S247" s="93"/>
    </row>
    <row r="248" ht="14.25" customHeight="1">
      <c r="B248" s="265" t="s">
        <v>40</v>
      </c>
      <c r="C248" s="266" t="s">
        <v>66</v>
      </c>
      <c r="D248" s="266">
        <f t="shared" ref="D248:P248" si="44">sum(D228:D247)</f>
        <v>18</v>
      </c>
      <c r="E248" s="268">
        <f t="shared" si="44"/>
        <v>55800</v>
      </c>
      <c r="F248" s="268">
        <f t="shared" si="44"/>
        <v>950</v>
      </c>
      <c r="G248" s="268">
        <f t="shared" si="44"/>
        <v>0</v>
      </c>
      <c r="H248" s="268">
        <f t="shared" si="44"/>
        <v>0</v>
      </c>
      <c r="I248" s="268">
        <f t="shared" si="44"/>
        <v>16575</v>
      </c>
      <c r="J248" s="268">
        <f t="shared" si="44"/>
        <v>500</v>
      </c>
      <c r="K248" s="268">
        <f t="shared" si="44"/>
        <v>0</v>
      </c>
      <c r="L248" s="268">
        <f t="shared" si="44"/>
        <v>0</v>
      </c>
      <c r="M248" s="268">
        <f t="shared" si="44"/>
        <v>0</v>
      </c>
      <c r="N248" s="268">
        <f t="shared" si="44"/>
        <v>40025</v>
      </c>
      <c r="O248" s="268">
        <f t="shared" si="44"/>
        <v>-7000</v>
      </c>
      <c r="P248" s="268">
        <f t="shared" si="44"/>
        <v>-33025</v>
      </c>
      <c r="Q248" s="271">
        <f>Q247</f>
        <v>0</v>
      </c>
      <c r="R248" s="272"/>
      <c r="S248" s="93"/>
    </row>
    <row r="249" ht="14.25" customHeight="1">
      <c r="B249" s="336" t="s">
        <v>96</v>
      </c>
      <c r="C249" s="277">
        <v>46024.0</v>
      </c>
      <c r="D249" s="223"/>
      <c r="E249" s="279"/>
      <c r="F249" s="279"/>
      <c r="G249" s="226"/>
      <c r="H249" s="222"/>
      <c r="I249" s="279"/>
      <c r="J249" s="279"/>
      <c r="K249" s="230"/>
      <c r="L249" s="226"/>
      <c r="M249" s="226"/>
      <c r="N249" s="280"/>
      <c r="O249" s="279"/>
      <c r="P249" s="226"/>
      <c r="Q249" s="226">
        <f t="shared" ref="Q249:Q265" si="45">Q248+N249+O249+P249</f>
        <v>0</v>
      </c>
      <c r="R249" s="279"/>
      <c r="S249" s="93"/>
    </row>
    <row r="250" ht="14.25" customHeight="1">
      <c r="B250" s="179"/>
      <c r="C250" s="165">
        <v>46056.0</v>
      </c>
      <c r="D250" s="167">
        <v>1.0</v>
      </c>
      <c r="E250" s="175">
        <v>2850.0</v>
      </c>
      <c r="F250" s="175"/>
      <c r="G250" s="177"/>
      <c r="H250" s="179"/>
      <c r="I250" s="175">
        <v>1000.0</v>
      </c>
      <c r="J250" s="175"/>
      <c r="K250" s="184">
        <f t="shared" ref="K250:K255" si="46">E250-I250-L250-M250-N250-J250+F250</f>
        <v>0</v>
      </c>
      <c r="L250" s="177"/>
      <c r="M250" s="177"/>
      <c r="N250" s="187">
        <v>1850.0</v>
      </c>
      <c r="O250" s="207">
        <v>-500.0</v>
      </c>
      <c r="P250" s="189"/>
      <c r="Q250" s="189">
        <f t="shared" si="45"/>
        <v>1350</v>
      </c>
      <c r="R250" s="207"/>
      <c r="S250" s="93"/>
    </row>
    <row r="251" ht="14.25" customHeight="1">
      <c r="B251" s="179"/>
      <c r="C251" s="165">
        <v>46085.0</v>
      </c>
      <c r="D251" s="167">
        <v>1.0</v>
      </c>
      <c r="E251" s="175">
        <v>2800.0</v>
      </c>
      <c r="F251" s="175"/>
      <c r="G251" s="177"/>
      <c r="H251" s="179"/>
      <c r="I251" s="175">
        <v>1000.0</v>
      </c>
      <c r="J251" s="175"/>
      <c r="K251" s="184">
        <f t="shared" si="46"/>
        <v>0</v>
      </c>
      <c r="L251" s="177"/>
      <c r="M251" s="177"/>
      <c r="N251" s="187">
        <v>1800.0</v>
      </c>
      <c r="O251" s="207">
        <v>-500.0</v>
      </c>
      <c r="P251" s="189"/>
      <c r="Q251" s="189">
        <f t="shared" si="45"/>
        <v>2650</v>
      </c>
      <c r="R251" s="207"/>
      <c r="S251" s="93"/>
    </row>
    <row r="252" ht="14.25" customHeight="1">
      <c r="B252" s="222"/>
      <c r="C252" s="277">
        <v>46118.0</v>
      </c>
      <c r="D252" s="223"/>
      <c r="E252" s="279"/>
      <c r="F252" s="279"/>
      <c r="G252" s="226"/>
      <c r="H252" s="222"/>
      <c r="I252" s="279"/>
      <c r="J252" s="279"/>
      <c r="K252" s="230">
        <f t="shared" si="46"/>
        <v>0</v>
      </c>
      <c r="L252" s="226"/>
      <c r="M252" s="226"/>
      <c r="N252" s="280"/>
      <c r="O252" s="279"/>
      <c r="P252" s="226"/>
      <c r="Q252" s="226">
        <f t="shared" si="45"/>
        <v>2650</v>
      </c>
      <c r="R252" s="279"/>
      <c r="S252" s="93"/>
    </row>
    <row r="253" ht="14.25" customHeight="1">
      <c r="B253" s="179"/>
      <c r="C253" s="165">
        <v>46183.0</v>
      </c>
      <c r="D253" s="167">
        <v>4.0</v>
      </c>
      <c r="E253" s="175">
        <f>9600+2500</f>
        <v>12100</v>
      </c>
      <c r="F253" s="175"/>
      <c r="G253" s="175"/>
      <c r="H253" s="179"/>
      <c r="I253" s="175"/>
      <c r="J253" s="175">
        <v>2500.0</v>
      </c>
      <c r="K253" s="184">
        <f t="shared" si="46"/>
        <v>0</v>
      </c>
      <c r="L253" s="177"/>
      <c r="M253" s="177"/>
      <c r="N253" s="187">
        <v>9600.0</v>
      </c>
      <c r="O253" s="207">
        <v>-500.0</v>
      </c>
      <c r="P253" s="189"/>
      <c r="Q253" s="189">
        <f t="shared" si="45"/>
        <v>11750</v>
      </c>
      <c r="R253" s="207"/>
      <c r="S253" s="93"/>
    </row>
    <row r="254" ht="14.25" customHeight="1">
      <c r="B254" s="179"/>
      <c r="C254" s="165">
        <v>46306.0</v>
      </c>
      <c r="D254" s="167">
        <v>1.0</v>
      </c>
      <c r="E254" s="175">
        <v>2800.0</v>
      </c>
      <c r="F254" s="175">
        <v>350.0</v>
      </c>
      <c r="G254" s="175"/>
      <c r="H254" s="179"/>
      <c r="I254" s="175">
        <v>1175.0</v>
      </c>
      <c r="J254" s="175"/>
      <c r="K254" s="184">
        <f t="shared" si="46"/>
        <v>0</v>
      </c>
      <c r="L254" s="177"/>
      <c r="M254" s="177"/>
      <c r="N254" s="187">
        <v>1975.0</v>
      </c>
      <c r="O254" s="207">
        <v>-500.0</v>
      </c>
      <c r="P254" s="189"/>
      <c r="Q254" s="189">
        <f t="shared" si="45"/>
        <v>13225</v>
      </c>
      <c r="R254" s="207"/>
      <c r="S254" s="93"/>
    </row>
    <row r="255" ht="14.25" customHeight="1">
      <c r="B255" s="222"/>
      <c r="C255" s="277">
        <v>46339.0</v>
      </c>
      <c r="D255" s="223"/>
      <c r="E255" s="279"/>
      <c r="F255" s="279"/>
      <c r="G255" s="226"/>
      <c r="H255" s="222"/>
      <c r="I255" s="279"/>
      <c r="J255" s="279"/>
      <c r="K255" s="230">
        <f t="shared" si="46"/>
        <v>0</v>
      </c>
      <c r="L255" s="226"/>
      <c r="M255" s="226"/>
      <c r="N255" s="280"/>
      <c r="O255" s="279"/>
      <c r="P255" s="226"/>
      <c r="Q255" s="226">
        <f t="shared" si="45"/>
        <v>13225</v>
      </c>
      <c r="R255" s="279"/>
      <c r="S255" s="93"/>
    </row>
    <row r="256" ht="14.25" customHeight="1">
      <c r="B256" s="179"/>
      <c r="C256" s="167" t="s">
        <v>246</v>
      </c>
      <c r="D256" s="167">
        <v>3.0</v>
      </c>
      <c r="E256" s="175">
        <v>5000.0</v>
      </c>
      <c r="F256" s="175"/>
      <c r="G256" s="177"/>
      <c r="H256" s="179"/>
      <c r="I256" s="175">
        <v>2000.0</v>
      </c>
      <c r="J256" s="175"/>
      <c r="K256" s="184">
        <f>E256-I256-L256-M256-N256-J256+F256-P256</f>
        <v>0</v>
      </c>
      <c r="L256" s="177"/>
      <c r="M256" s="177"/>
      <c r="N256" s="187">
        <v>3000.0</v>
      </c>
      <c r="O256" s="207">
        <v>-500.0</v>
      </c>
      <c r="P256" s="189"/>
      <c r="Q256" s="189">
        <f t="shared" si="45"/>
        <v>15725</v>
      </c>
      <c r="R256" s="207"/>
      <c r="S256" s="93"/>
    </row>
    <row r="257" ht="14.25" customHeight="1">
      <c r="B257" s="179"/>
      <c r="C257" s="167" t="s">
        <v>102</v>
      </c>
      <c r="D257" s="167">
        <v>2.0</v>
      </c>
      <c r="E257" s="175">
        <v>5000.0</v>
      </c>
      <c r="F257" s="175"/>
      <c r="G257" s="177"/>
      <c r="H257" s="179"/>
      <c r="I257" s="175">
        <v>1500.0</v>
      </c>
      <c r="J257" s="175"/>
      <c r="K257" s="184">
        <f>E257-I257-L257-M257-N257-J257+F257</f>
        <v>0</v>
      </c>
      <c r="L257" s="177"/>
      <c r="M257" s="177"/>
      <c r="N257" s="187">
        <v>3500.0</v>
      </c>
      <c r="O257" s="207">
        <v>-500.0</v>
      </c>
      <c r="P257" s="189"/>
      <c r="Q257" s="189">
        <f t="shared" si="45"/>
        <v>18725</v>
      </c>
      <c r="R257" s="207"/>
      <c r="S257" s="93"/>
    </row>
    <row r="258" ht="14.25" customHeight="1">
      <c r="B258" s="222"/>
      <c r="C258" s="277" t="s">
        <v>212</v>
      </c>
      <c r="D258" s="223"/>
      <c r="E258" s="279"/>
      <c r="F258" s="279"/>
      <c r="G258" s="226"/>
      <c r="H258" s="222"/>
      <c r="I258" s="279"/>
      <c r="J258" s="279"/>
      <c r="K258" s="230">
        <f t="shared" ref="K258:K261" si="47">E258-I258-L258-M258-N258-J258+F258-P258</f>
        <v>0</v>
      </c>
      <c r="L258" s="226"/>
      <c r="M258" s="226"/>
      <c r="N258" s="280"/>
      <c r="O258" s="279"/>
      <c r="P258" s="226"/>
      <c r="Q258" s="226">
        <f t="shared" si="45"/>
        <v>18725</v>
      </c>
      <c r="R258" s="279"/>
      <c r="S258" s="93"/>
    </row>
    <row r="259" ht="14.25" customHeight="1">
      <c r="B259" s="179"/>
      <c r="C259" s="167" t="s">
        <v>44</v>
      </c>
      <c r="D259" s="167">
        <v>1.0</v>
      </c>
      <c r="E259" s="175">
        <v>2800.0</v>
      </c>
      <c r="F259" s="175"/>
      <c r="G259" s="177"/>
      <c r="H259" s="179"/>
      <c r="I259" s="175">
        <v>1000.0</v>
      </c>
      <c r="J259" s="175"/>
      <c r="K259" s="184">
        <f t="shared" si="47"/>
        <v>0</v>
      </c>
      <c r="L259" s="177"/>
      <c r="M259" s="177"/>
      <c r="N259" s="187">
        <v>1800.0</v>
      </c>
      <c r="O259" s="207">
        <v>-500.0</v>
      </c>
      <c r="P259" s="189"/>
      <c r="Q259" s="189">
        <f t="shared" si="45"/>
        <v>20025</v>
      </c>
      <c r="R259" s="207"/>
      <c r="S259" s="93"/>
    </row>
    <row r="260" ht="14.25" customHeight="1">
      <c r="B260" s="222"/>
      <c r="C260" s="223" t="s">
        <v>45</v>
      </c>
      <c r="D260" s="223"/>
      <c r="E260" s="279"/>
      <c r="F260" s="279"/>
      <c r="G260" s="226"/>
      <c r="H260" s="222"/>
      <c r="I260" s="279"/>
      <c r="J260" s="279"/>
      <c r="K260" s="230">
        <f t="shared" si="47"/>
        <v>0</v>
      </c>
      <c r="L260" s="226"/>
      <c r="M260" s="226"/>
      <c r="N260" s="280"/>
      <c r="O260" s="279"/>
      <c r="P260" s="226"/>
      <c r="Q260" s="226">
        <f t="shared" si="45"/>
        <v>20025</v>
      </c>
      <c r="R260" s="279"/>
      <c r="S260" s="93"/>
    </row>
    <row r="261" ht="14.25" customHeight="1">
      <c r="B261" s="179"/>
      <c r="C261" s="167" t="s">
        <v>47</v>
      </c>
      <c r="D261" s="167">
        <v>1.0</v>
      </c>
      <c r="E261" s="175">
        <f>600+3350</f>
        <v>3950</v>
      </c>
      <c r="F261" s="175"/>
      <c r="G261" s="177"/>
      <c r="H261" s="179"/>
      <c r="I261" s="175">
        <v>1000.0</v>
      </c>
      <c r="J261" s="175"/>
      <c r="K261" s="184">
        <f t="shared" si="47"/>
        <v>0</v>
      </c>
      <c r="L261" s="177"/>
      <c r="M261" s="175">
        <v>600.0</v>
      </c>
      <c r="N261" s="187">
        <v>2350.0</v>
      </c>
      <c r="O261" s="207">
        <v>-500.0</v>
      </c>
      <c r="P261" s="207"/>
      <c r="Q261" s="189">
        <f t="shared" si="45"/>
        <v>21875</v>
      </c>
      <c r="R261" s="207"/>
      <c r="S261" s="93"/>
    </row>
    <row r="262" ht="14.25" customHeight="1">
      <c r="B262" s="222"/>
      <c r="C262" s="223" t="s">
        <v>72</v>
      </c>
      <c r="D262" s="223"/>
      <c r="E262" s="279"/>
      <c r="F262" s="279"/>
      <c r="G262" s="226"/>
      <c r="H262" s="222"/>
      <c r="I262" s="279"/>
      <c r="J262" s="279"/>
      <c r="K262" s="230"/>
      <c r="L262" s="226"/>
      <c r="M262" s="226"/>
      <c r="N262" s="280"/>
      <c r="O262" s="279"/>
      <c r="P262" s="226"/>
      <c r="Q262" s="226">
        <f t="shared" si="45"/>
        <v>21875</v>
      </c>
      <c r="R262" s="279"/>
      <c r="S262" s="93"/>
    </row>
    <row r="263" ht="14.25" customHeight="1">
      <c r="B263" s="179"/>
      <c r="C263" s="167" t="s">
        <v>88</v>
      </c>
      <c r="D263" s="167">
        <v>2.0</v>
      </c>
      <c r="E263" s="175">
        <v>5500.0</v>
      </c>
      <c r="F263" s="175"/>
      <c r="G263" s="177"/>
      <c r="H263" s="179"/>
      <c r="I263" s="175">
        <v>1500.0</v>
      </c>
      <c r="J263" s="175"/>
      <c r="K263" s="184">
        <f t="shared" ref="K263:K264" si="48">E263-I263-L263-M263-N263-J263+F263-P263</f>
        <v>0</v>
      </c>
      <c r="L263" s="177"/>
      <c r="M263" s="177"/>
      <c r="N263" s="187">
        <v>4000.0</v>
      </c>
      <c r="O263" s="207">
        <v>-500.0</v>
      </c>
      <c r="P263" s="189"/>
      <c r="Q263" s="189">
        <f t="shared" si="45"/>
        <v>25375</v>
      </c>
      <c r="R263" s="207"/>
      <c r="S263" s="93"/>
    </row>
    <row r="264" ht="14.25" customHeight="1">
      <c r="B264" s="179"/>
      <c r="C264" s="167" t="s">
        <v>75</v>
      </c>
      <c r="D264" s="167">
        <v>2.0</v>
      </c>
      <c r="E264" s="175">
        <v>6200.0</v>
      </c>
      <c r="F264" s="175"/>
      <c r="G264" s="177"/>
      <c r="H264" s="179"/>
      <c r="I264" s="175">
        <v>1500.0</v>
      </c>
      <c r="J264" s="175"/>
      <c r="K264" s="184">
        <f t="shared" si="48"/>
        <v>0</v>
      </c>
      <c r="L264" s="177"/>
      <c r="M264" s="177"/>
      <c r="N264" s="187">
        <v>4700.0</v>
      </c>
      <c r="O264" s="207">
        <v>-500.0</v>
      </c>
      <c r="P264" s="207"/>
      <c r="Q264" s="189">
        <f t="shared" si="45"/>
        <v>29575</v>
      </c>
      <c r="R264" s="207"/>
      <c r="S264" s="93"/>
    </row>
    <row r="265" ht="14.25" customHeight="1">
      <c r="B265" s="380"/>
      <c r="C265" s="381"/>
      <c r="D265" s="381"/>
      <c r="E265" s="382"/>
      <c r="F265" s="383"/>
      <c r="G265" s="383"/>
      <c r="H265" s="380"/>
      <c r="I265" s="382"/>
      <c r="J265" s="383"/>
      <c r="K265" s="184"/>
      <c r="L265" s="383"/>
      <c r="M265" s="383"/>
      <c r="N265" s="385"/>
      <c r="O265" s="385"/>
      <c r="P265" s="207">
        <v>-29575.0</v>
      </c>
      <c r="Q265" s="189">
        <f t="shared" si="45"/>
        <v>0</v>
      </c>
      <c r="R265" s="385"/>
      <c r="S265" s="93"/>
    </row>
    <row r="266" ht="14.25" customHeight="1">
      <c r="B266" s="265" t="s">
        <v>96</v>
      </c>
      <c r="C266" s="266" t="s">
        <v>66</v>
      </c>
      <c r="D266" s="266">
        <f t="shared" ref="D266:P266" si="49">sum(D249:D265)</f>
        <v>18</v>
      </c>
      <c r="E266" s="268">
        <f t="shared" si="49"/>
        <v>49000</v>
      </c>
      <c r="F266" s="268">
        <f t="shared" si="49"/>
        <v>350</v>
      </c>
      <c r="G266" s="268">
        <f t="shared" si="49"/>
        <v>0</v>
      </c>
      <c r="H266" s="268">
        <f t="shared" si="49"/>
        <v>0</v>
      </c>
      <c r="I266" s="268">
        <f t="shared" si="49"/>
        <v>11675</v>
      </c>
      <c r="J266" s="268">
        <f t="shared" si="49"/>
        <v>2500</v>
      </c>
      <c r="K266" s="268">
        <f t="shared" si="49"/>
        <v>0</v>
      </c>
      <c r="L266" s="268">
        <f t="shared" si="49"/>
        <v>0</v>
      </c>
      <c r="M266" s="268">
        <f t="shared" si="49"/>
        <v>600</v>
      </c>
      <c r="N266" s="268">
        <f t="shared" si="49"/>
        <v>34575</v>
      </c>
      <c r="O266" s="268">
        <f t="shared" si="49"/>
        <v>-5000</v>
      </c>
      <c r="P266" s="268">
        <f t="shared" si="49"/>
        <v>-29575</v>
      </c>
      <c r="Q266" s="271">
        <f>Q265</f>
        <v>0</v>
      </c>
      <c r="R266" s="272"/>
      <c r="S266" s="93"/>
    </row>
    <row r="267" ht="14.25" customHeight="1">
      <c r="B267" s="336" t="s">
        <v>105</v>
      </c>
      <c r="C267" s="277">
        <v>46024.0</v>
      </c>
      <c r="D267" s="223"/>
      <c r="E267" s="279"/>
      <c r="F267" s="279"/>
      <c r="G267" s="226"/>
      <c r="H267" s="222"/>
      <c r="I267" s="279"/>
      <c r="J267" s="279"/>
      <c r="K267" s="230"/>
      <c r="L267" s="226"/>
      <c r="M267" s="226"/>
      <c r="N267" s="280"/>
      <c r="O267" s="279"/>
      <c r="P267" s="226"/>
      <c r="Q267" s="226">
        <f t="shared" ref="Q267:Q284" si="50">Q266+N267+O267+P267</f>
        <v>0</v>
      </c>
      <c r="R267" s="279"/>
      <c r="S267" s="93"/>
    </row>
    <row r="268" ht="14.25" customHeight="1">
      <c r="B268" s="179"/>
      <c r="C268" s="165">
        <v>46056.0</v>
      </c>
      <c r="D268" s="167">
        <v>1.0</v>
      </c>
      <c r="E268" s="175">
        <v>2000.0</v>
      </c>
      <c r="F268" s="175"/>
      <c r="G268" s="177"/>
      <c r="H268" s="179"/>
      <c r="I268" s="175">
        <v>1000.0</v>
      </c>
      <c r="J268" s="175"/>
      <c r="K268" s="184">
        <f t="shared" ref="K268:K273" si="51">E268-I268-L268-M268-N268-J268+F268</f>
        <v>0</v>
      </c>
      <c r="L268" s="177"/>
      <c r="M268" s="177"/>
      <c r="N268" s="187">
        <v>1000.0</v>
      </c>
      <c r="O268" s="207">
        <v>-500.0</v>
      </c>
      <c r="P268" s="189"/>
      <c r="Q268" s="189">
        <f t="shared" si="50"/>
        <v>500</v>
      </c>
      <c r="R268" s="207"/>
      <c r="S268" s="93"/>
    </row>
    <row r="269" ht="14.25" customHeight="1">
      <c r="B269" s="222"/>
      <c r="C269" s="277">
        <v>46088.0</v>
      </c>
      <c r="D269" s="223"/>
      <c r="E269" s="279"/>
      <c r="F269" s="279"/>
      <c r="G269" s="226"/>
      <c r="H269" s="222"/>
      <c r="I269" s="279"/>
      <c r="J269" s="279"/>
      <c r="K269" s="230">
        <f t="shared" si="51"/>
        <v>0</v>
      </c>
      <c r="L269" s="226"/>
      <c r="M269" s="226"/>
      <c r="N269" s="280"/>
      <c r="O269" s="279">
        <v>-500.0</v>
      </c>
      <c r="P269" s="226"/>
      <c r="Q269" s="226">
        <f t="shared" si="50"/>
        <v>0</v>
      </c>
      <c r="R269" s="279" t="s">
        <v>272</v>
      </c>
      <c r="S269" s="93"/>
    </row>
    <row r="270" ht="14.25" customHeight="1">
      <c r="B270" s="179"/>
      <c r="C270" s="165">
        <v>46211.0</v>
      </c>
      <c r="D270" s="167">
        <v>1.0</v>
      </c>
      <c r="E270" s="175">
        <v>2800.0</v>
      </c>
      <c r="F270" s="175"/>
      <c r="G270" s="175"/>
      <c r="H270" s="179"/>
      <c r="I270" s="175">
        <v>1000.0</v>
      </c>
      <c r="J270" s="175"/>
      <c r="K270" s="184">
        <f t="shared" si="51"/>
        <v>0</v>
      </c>
      <c r="L270" s="177"/>
      <c r="M270" s="177"/>
      <c r="N270" s="187">
        <v>1800.0</v>
      </c>
      <c r="O270" s="207">
        <v>-500.0</v>
      </c>
      <c r="P270" s="189"/>
      <c r="Q270" s="189">
        <f t="shared" si="50"/>
        <v>1300</v>
      </c>
      <c r="R270" s="207"/>
      <c r="S270" s="93"/>
    </row>
    <row r="271" ht="14.25" customHeight="1">
      <c r="B271" s="222"/>
      <c r="C271" s="277">
        <v>46243.0</v>
      </c>
      <c r="D271" s="223"/>
      <c r="E271" s="279"/>
      <c r="F271" s="279"/>
      <c r="G271" s="226"/>
      <c r="H271" s="222"/>
      <c r="I271" s="279"/>
      <c r="J271" s="279"/>
      <c r="K271" s="230">
        <f t="shared" si="51"/>
        <v>0</v>
      </c>
      <c r="L271" s="226"/>
      <c r="M271" s="226"/>
      <c r="N271" s="280"/>
      <c r="O271" s="279"/>
      <c r="P271" s="226"/>
      <c r="Q271" s="226">
        <f t="shared" si="50"/>
        <v>1300</v>
      </c>
      <c r="R271" s="279"/>
      <c r="S271" s="93"/>
    </row>
    <row r="272" ht="14.25" customHeight="1">
      <c r="B272" s="179"/>
      <c r="C272" s="165">
        <v>46275.0</v>
      </c>
      <c r="D272" s="167">
        <v>1.0</v>
      </c>
      <c r="E272" s="175">
        <v>2300.0</v>
      </c>
      <c r="F272" s="175"/>
      <c r="G272" s="175"/>
      <c r="H272" s="289" t="s">
        <v>273</v>
      </c>
      <c r="I272" s="175"/>
      <c r="J272" s="175"/>
      <c r="K272" s="184">
        <f t="shared" si="51"/>
        <v>0</v>
      </c>
      <c r="L272" s="177"/>
      <c r="M272" s="175">
        <v>2300.0</v>
      </c>
      <c r="N272" s="187"/>
      <c r="O272" s="207">
        <v>-500.0</v>
      </c>
      <c r="P272" s="189"/>
      <c r="Q272" s="189">
        <f t="shared" si="50"/>
        <v>800</v>
      </c>
      <c r="R272" s="207"/>
      <c r="S272" s="93"/>
    </row>
    <row r="273" ht="14.25" customHeight="1">
      <c r="B273" s="179"/>
      <c r="C273" s="165">
        <v>46306.0</v>
      </c>
      <c r="D273" s="167">
        <v>1.0</v>
      </c>
      <c r="E273" s="175">
        <v>2300.0</v>
      </c>
      <c r="F273" s="175"/>
      <c r="G273" s="175"/>
      <c r="H273" s="179"/>
      <c r="I273" s="175">
        <v>1000.0</v>
      </c>
      <c r="J273" s="175"/>
      <c r="K273" s="184">
        <f t="shared" si="51"/>
        <v>0</v>
      </c>
      <c r="L273" s="177"/>
      <c r="M273" s="177"/>
      <c r="N273" s="187">
        <v>1300.0</v>
      </c>
      <c r="O273" s="207">
        <v>-500.0</v>
      </c>
      <c r="P273" s="189"/>
      <c r="Q273" s="189">
        <f t="shared" si="50"/>
        <v>1600</v>
      </c>
      <c r="R273" s="207"/>
      <c r="S273" s="93"/>
    </row>
    <row r="274" ht="14.25" customHeight="1">
      <c r="B274" s="222"/>
      <c r="C274" s="277">
        <v>46338.0</v>
      </c>
      <c r="D274" s="223"/>
      <c r="E274" s="279"/>
      <c r="F274" s="279"/>
      <c r="G274" s="226"/>
      <c r="H274" s="222"/>
      <c r="I274" s="279"/>
      <c r="J274" s="279"/>
      <c r="K274" s="230">
        <f>E274-I274-L274-M274-N274-J274+F274-P274</f>
        <v>0</v>
      </c>
      <c r="L274" s="226"/>
      <c r="M274" s="226"/>
      <c r="N274" s="280"/>
      <c r="O274" s="279"/>
      <c r="P274" s="226"/>
      <c r="Q274" s="226">
        <f t="shared" si="50"/>
        <v>1600</v>
      </c>
      <c r="R274" s="279"/>
      <c r="S274" s="93"/>
    </row>
    <row r="275" ht="14.25" customHeight="1">
      <c r="B275" s="179"/>
      <c r="C275" s="165">
        <v>46370.0</v>
      </c>
      <c r="D275" s="167">
        <v>2.0</v>
      </c>
      <c r="E275" s="175">
        <v>1500.0</v>
      </c>
      <c r="F275" s="175"/>
      <c r="G275" s="177"/>
      <c r="H275" s="289" t="s">
        <v>81</v>
      </c>
      <c r="I275" s="175">
        <v>1500.0</v>
      </c>
      <c r="J275" s="175"/>
      <c r="K275" s="184">
        <f>E275-I275-L275-M275-N275-J275+F275</f>
        <v>0</v>
      </c>
      <c r="L275" s="177"/>
      <c r="M275" s="177"/>
      <c r="N275" s="187"/>
      <c r="O275" s="207"/>
      <c r="P275" s="189"/>
      <c r="Q275" s="189">
        <f t="shared" si="50"/>
        <v>1600</v>
      </c>
      <c r="R275" s="207" t="s">
        <v>81</v>
      </c>
      <c r="S275" s="93"/>
    </row>
    <row r="276" ht="14.25" customHeight="1">
      <c r="B276" s="179"/>
      <c r="C276" s="167" t="s">
        <v>29</v>
      </c>
      <c r="D276" s="167">
        <v>1.0</v>
      </c>
      <c r="E276" s="175">
        <v>3300.0</v>
      </c>
      <c r="F276" s="175"/>
      <c r="G276" s="177"/>
      <c r="H276" s="289"/>
      <c r="I276" s="175">
        <v>1000.0</v>
      </c>
      <c r="J276" s="175"/>
      <c r="K276" s="184">
        <f t="shared" ref="K276:K285" si="52">E276-I276-L276-M276-N276-J276+F276-P276</f>
        <v>0</v>
      </c>
      <c r="L276" s="177"/>
      <c r="M276" s="177"/>
      <c r="N276" s="187">
        <v>2300.0</v>
      </c>
      <c r="O276" s="207">
        <v>-500.0</v>
      </c>
      <c r="P276" s="189"/>
      <c r="Q276" s="189">
        <f t="shared" si="50"/>
        <v>3400</v>
      </c>
      <c r="R276" s="207"/>
      <c r="S276" s="93"/>
    </row>
    <row r="277" ht="14.25" customHeight="1">
      <c r="B277" s="179"/>
      <c r="C277" s="167" t="s">
        <v>30</v>
      </c>
      <c r="D277" s="167">
        <v>1.0</v>
      </c>
      <c r="E277" s="175">
        <v>2500.0</v>
      </c>
      <c r="F277" s="175"/>
      <c r="G277" s="177"/>
      <c r="H277" s="179"/>
      <c r="I277" s="175">
        <v>1000.0</v>
      </c>
      <c r="J277" s="175"/>
      <c r="K277" s="184">
        <f t="shared" si="52"/>
        <v>0</v>
      </c>
      <c r="L277" s="177"/>
      <c r="M277" s="177"/>
      <c r="N277" s="187">
        <v>1500.0</v>
      </c>
      <c r="O277" s="207">
        <v>-500.0</v>
      </c>
      <c r="P277" s="189"/>
      <c r="Q277" s="189">
        <f t="shared" si="50"/>
        <v>4400</v>
      </c>
      <c r="R277" s="207"/>
      <c r="S277" s="93"/>
    </row>
    <row r="278" ht="14.25" customHeight="1">
      <c r="B278" s="179"/>
      <c r="C278" s="167" t="s">
        <v>102</v>
      </c>
      <c r="D278" s="167">
        <v>2.0</v>
      </c>
      <c r="E278" s="175">
        <v>3900.0</v>
      </c>
      <c r="F278" s="175"/>
      <c r="G278" s="177"/>
      <c r="H278" s="179"/>
      <c r="I278" s="175">
        <v>1500.0</v>
      </c>
      <c r="J278" s="175"/>
      <c r="K278" s="184">
        <f t="shared" si="52"/>
        <v>0</v>
      </c>
      <c r="L278" s="177"/>
      <c r="M278" s="177"/>
      <c r="N278" s="187">
        <v>2400.0</v>
      </c>
      <c r="O278" s="207">
        <v>-500.0</v>
      </c>
      <c r="P278" s="189"/>
      <c r="Q278" s="189">
        <f t="shared" si="50"/>
        <v>6300</v>
      </c>
      <c r="R278" s="207"/>
      <c r="S278" s="93"/>
    </row>
    <row r="279" ht="14.25" customHeight="1">
      <c r="B279" s="222"/>
      <c r="C279" s="223" t="s">
        <v>33</v>
      </c>
      <c r="D279" s="223"/>
      <c r="E279" s="279"/>
      <c r="F279" s="279"/>
      <c r="G279" s="226"/>
      <c r="H279" s="222"/>
      <c r="I279" s="279"/>
      <c r="J279" s="279"/>
      <c r="K279" s="230">
        <f t="shared" si="52"/>
        <v>0</v>
      </c>
      <c r="L279" s="226"/>
      <c r="M279" s="226"/>
      <c r="N279" s="280"/>
      <c r="O279" s="279"/>
      <c r="P279" s="226"/>
      <c r="Q279" s="226">
        <f t="shared" si="50"/>
        <v>6300</v>
      </c>
      <c r="R279" s="279"/>
      <c r="S279" s="93"/>
    </row>
    <row r="280" ht="14.25" customHeight="1">
      <c r="B280" s="179"/>
      <c r="C280" s="167" t="s">
        <v>34</v>
      </c>
      <c r="D280" s="167">
        <v>1.0</v>
      </c>
      <c r="E280" s="175">
        <v>2100.0</v>
      </c>
      <c r="F280" s="175"/>
      <c r="G280" s="177"/>
      <c r="H280" s="179"/>
      <c r="I280" s="175">
        <v>1000.0</v>
      </c>
      <c r="J280" s="175"/>
      <c r="K280" s="184">
        <f t="shared" si="52"/>
        <v>0</v>
      </c>
      <c r="L280" s="177"/>
      <c r="M280" s="177"/>
      <c r="N280" s="187">
        <v>1100.0</v>
      </c>
      <c r="O280" s="207">
        <v>-500.0</v>
      </c>
      <c r="P280" s="189"/>
      <c r="Q280" s="189">
        <f t="shared" si="50"/>
        <v>6900</v>
      </c>
      <c r="R280" s="207"/>
      <c r="S280" s="93"/>
    </row>
    <row r="281" ht="14.25" customHeight="1">
      <c r="B281" s="222"/>
      <c r="C281" s="223" t="s">
        <v>69</v>
      </c>
      <c r="D281" s="223"/>
      <c r="E281" s="279"/>
      <c r="F281" s="279"/>
      <c r="G281" s="226"/>
      <c r="H281" s="222"/>
      <c r="I281" s="279"/>
      <c r="J281" s="279"/>
      <c r="K281" s="230">
        <f t="shared" si="52"/>
        <v>0</v>
      </c>
      <c r="L281" s="226"/>
      <c r="M281" s="226"/>
      <c r="N281" s="280"/>
      <c r="O281" s="279">
        <v>500.0</v>
      </c>
      <c r="P281" s="226"/>
      <c r="Q281" s="226">
        <f t="shared" si="50"/>
        <v>7400</v>
      </c>
      <c r="R281" s="279" t="s">
        <v>142</v>
      </c>
      <c r="S281" s="93"/>
    </row>
    <row r="282" ht="14.25" customHeight="1">
      <c r="B282" s="179"/>
      <c r="C282" s="167" t="s">
        <v>68</v>
      </c>
      <c r="D282" s="167">
        <v>1.0</v>
      </c>
      <c r="E282" s="175">
        <v>2800.0</v>
      </c>
      <c r="F282" s="175"/>
      <c r="G282" s="177"/>
      <c r="H282" s="179"/>
      <c r="I282" s="175">
        <v>1000.0</v>
      </c>
      <c r="J282" s="175"/>
      <c r="K282" s="184">
        <f t="shared" si="52"/>
        <v>0</v>
      </c>
      <c r="L282" s="177"/>
      <c r="M282" s="177"/>
      <c r="N282" s="187">
        <v>1800.0</v>
      </c>
      <c r="O282" s="207">
        <v>-500.0</v>
      </c>
      <c r="P282" s="189"/>
      <c r="Q282" s="189">
        <f t="shared" si="50"/>
        <v>8700</v>
      </c>
      <c r="R282" s="207"/>
      <c r="S282" s="93"/>
    </row>
    <row r="283" ht="14.25" customHeight="1">
      <c r="B283" s="179"/>
      <c r="C283" s="167" t="s">
        <v>37</v>
      </c>
      <c r="D283" s="167">
        <v>1.0</v>
      </c>
      <c r="E283" s="175">
        <v>2000.0</v>
      </c>
      <c r="F283" s="175"/>
      <c r="G283" s="177"/>
      <c r="H283" s="179"/>
      <c r="I283" s="175">
        <v>500.0</v>
      </c>
      <c r="J283" s="175"/>
      <c r="K283" s="184">
        <f t="shared" si="52"/>
        <v>0</v>
      </c>
      <c r="L283" s="177"/>
      <c r="M283" s="177"/>
      <c r="N283" s="187">
        <v>1500.0</v>
      </c>
      <c r="O283" s="207">
        <v>-500.0</v>
      </c>
      <c r="P283" s="189"/>
      <c r="Q283" s="189">
        <f t="shared" si="50"/>
        <v>9700</v>
      </c>
      <c r="R283" s="207"/>
      <c r="S283" s="93"/>
    </row>
    <row r="284" ht="14.25" customHeight="1">
      <c r="B284" s="222"/>
      <c r="C284" s="223" t="s">
        <v>209</v>
      </c>
      <c r="D284" s="223"/>
      <c r="E284" s="279"/>
      <c r="F284" s="279"/>
      <c r="G284" s="226"/>
      <c r="H284" s="222"/>
      <c r="I284" s="279"/>
      <c r="J284" s="279"/>
      <c r="K284" s="230">
        <f t="shared" si="52"/>
        <v>0</v>
      </c>
      <c r="L284" s="226"/>
      <c r="M284" s="226"/>
      <c r="N284" s="280"/>
      <c r="O284" s="279"/>
      <c r="P284" s="226"/>
      <c r="Q284" s="226">
        <f t="shared" si="50"/>
        <v>9700</v>
      </c>
      <c r="R284" s="279"/>
      <c r="S284" s="93"/>
    </row>
    <row r="285" ht="14.25" customHeight="1">
      <c r="B285" s="179"/>
      <c r="C285" s="167" t="s">
        <v>74</v>
      </c>
      <c r="D285" s="167">
        <v>1.0</v>
      </c>
      <c r="E285" s="175">
        <v>2800.0</v>
      </c>
      <c r="F285" s="175"/>
      <c r="G285" s="177"/>
      <c r="H285" s="179"/>
      <c r="I285" s="175">
        <v>1000.0</v>
      </c>
      <c r="J285" s="175"/>
      <c r="K285" s="184">
        <f t="shared" si="52"/>
        <v>0</v>
      </c>
      <c r="L285" s="177"/>
      <c r="M285" s="175">
        <v>1800.0</v>
      </c>
      <c r="N285" s="187"/>
      <c r="O285" s="207">
        <v>-500.0</v>
      </c>
      <c r="P285" s="189"/>
      <c r="Q285" s="189">
        <f t="shared" ref="Q285:Q286" si="53">Q282+N285+O285+P285</f>
        <v>8200</v>
      </c>
      <c r="R285" s="207"/>
      <c r="S285" s="93"/>
    </row>
    <row r="286" ht="14.25" customHeight="1">
      <c r="B286" s="380"/>
      <c r="C286" s="381"/>
      <c r="D286" s="381"/>
      <c r="E286" s="382"/>
      <c r="F286" s="383"/>
      <c r="G286" s="383"/>
      <c r="H286" s="380"/>
      <c r="I286" s="382"/>
      <c r="J286" s="383"/>
      <c r="K286" s="184"/>
      <c r="L286" s="383"/>
      <c r="M286" s="383"/>
      <c r="N286" s="385"/>
      <c r="O286" s="385"/>
      <c r="P286" s="207">
        <v>-9700.0</v>
      </c>
      <c r="Q286" s="189">
        <f t="shared" si="53"/>
        <v>0</v>
      </c>
      <c r="R286" s="385"/>
      <c r="S286" s="93"/>
    </row>
    <row r="287" ht="14.25" customHeight="1">
      <c r="B287" s="265" t="s">
        <v>105</v>
      </c>
      <c r="C287" s="266" t="s">
        <v>66</v>
      </c>
      <c r="D287" s="266">
        <f t="shared" ref="D287:P287" si="54">sum(D267:D286)</f>
        <v>14</v>
      </c>
      <c r="E287" s="268">
        <f t="shared" si="54"/>
        <v>30300</v>
      </c>
      <c r="F287" s="268">
        <f t="shared" si="54"/>
        <v>0</v>
      </c>
      <c r="G287" s="268">
        <f t="shared" si="54"/>
        <v>0</v>
      </c>
      <c r="H287" s="268">
        <f t="shared" si="54"/>
        <v>0</v>
      </c>
      <c r="I287" s="268">
        <f t="shared" si="54"/>
        <v>11500</v>
      </c>
      <c r="J287" s="268">
        <f t="shared" si="54"/>
        <v>0</v>
      </c>
      <c r="K287" s="268">
        <f t="shared" si="54"/>
        <v>0</v>
      </c>
      <c r="L287" s="268">
        <f t="shared" si="54"/>
        <v>0</v>
      </c>
      <c r="M287" s="268">
        <f t="shared" si="54"/>
        <v>4100</v>
      </c>
      <c r="N287" s="268">
        <f t="shared" si="54"/>
        <v>14700</v>
      </c>
      <c r="O287" s="268">
        <f t="shared" si="54"/>
        <v>-5500</v>
      </c>
      <c r="P287" s="268">
        <f t="shared" si="54"/>
        <v>-9700</v>
      </c>
      <c r="Q287" s="271">
        <f>Q286</f>
        <v>0</v>
      </c>
      <c r="R287" s="272"/>
      <c r="S287" s="93"/>
    </row>
    <row r="288" ht="14.25" customHeight="1">
      <c r="B288" s="336" t="s">
        <v>121</v>
      </c>
      <c r="C288" s="277">
        <v>46024.0</v>
      </c>
      <c r="D288" s="223"/>
      <c r="E288" s="279">
        <v>500.0</v>
      </c>
      <c r="F288" s="279"/>
      <c r="G288" s="226"/>
      <c r="H288" s="222"/>
      <c r="I288" s="279">
        <v>500.0</v>
      </c>
      <c r="J288" s="279"/>
      <c r="K288" s="230"/>
      <c r="L288" s="226"/>
      <c r="M288" s="226"/>
      <c r="N288" s="280"/>
      <c r="O288" s="279"/>
      <c r="P288" s="226"/>
      <c r="Q288" s="226">
        <f t="shared" ref="Q288:Q306" si="55">Q287+N288+O288+P288</f>
        <v>0</v>
      </c>
      <c r="R288" s="279" t="s">
        <v>81</v>
      </c>
      <c r="S288" s="93"/>
    </row>
    <row r="289" ht="14.25" customHeight="1">
      <c r="B289" s="179"/>
      <c r="C289" s="165">
        <v>46057.0</v>
      </c>
      <c r="D289" s="167">
        <v>2.0</v>
      </c>
      <c r="E289" s="175">
        <v>4300.0</v>
      </c>
      <c r="F289" s="175"/>
      <c r="G289" s="177"/>
      <c r="H289" s="179"/>
      <c r="I289" s="175">
        <v>1500.0</v>
      </c>
      <c r="J289" s="175"/>
      <c r="K289" s="184">
        <f t="shared" ref="K289:K294" si="56">E289-I289-L289-M289-N289-J289+F289</f>
        <v>0</v>
      </c>
      <c r="L289" s="177"/>
      <c r="M289" s="177"/>
      <c r="N289" s="187">
        <v>2800.0</v>
      </c>
      <c r="O289" s="207">
        <v>-500.0</v>
      </c>
      <c r="P289" s="189"/>
      <c r="Q289" s="189">
        <f t="shared" si="55"/>
        <v>2300</v>
      </c>
      <c r="R289" s="207"/>
      <c r="S289" s="93"/>
    </row>
    <row r="290" ht="14.25" customHeight="1">
      <c r="B290" s="222"/>
      <c r="C290" s="277">
        <v>46119.0</v>
      </c>
      <c r="D290" s="223"/>
      <c r="E290" s="279"/>
      <c r="F290" s="279"/>
      <c r="G290" s="226"/>
      <c r="H290" s="222"/>
      <c r="I290" s="279"/>
      <c r="J290" s="279"/>
      <c r="K290" s="230">
        <f t="shared" si="56"/>
        <v>0</v>
      </c>
      <c r="L290" s="226"/>
      <c r="M290" s="226"/>
      <c r="N290" s="280"/>
      <c r="O290" s="279"/>
      <c r="P290" s="226"/>
      <c r="Q290" s="226">
        <f t="shared" si="55"/>
        <v>2300</v>
      </c>
      <c r="R290" s="279"/>
      <c r="S290" s="93"/>
    </row>
    <row r="291" ht="14.25" customHeight="1">
      <c r="B291" s="179"/>
      <c r="C291" s="165">
        <v>46211.0</v>
      </c>
      <c r="D291" s="167">
        <v>1.0</v>
      </c>
      <c r="E291" s="175">
        <f>3850+500</f>
        <v>4350</v>
      </c>
      <c r="F291" s="175"/>
      <c r="G291" s="175"/>
      <c r="H291" s="179"/>
      <c r="I291" s="175">
        <v>1000.0</v>
      </c>
      <c r="J291" s="175"/>
      <c r="K291" s="184">
        <f t="shared" si="56"/>
        <v>0</v>
      </c>
      <c r="L291" s="177"/>
      <c r="M291" s="177"/>
      <c r="N291" s="187">
        <v>3350.0</v>
      </c>
      <c r="O291" s="207">
        <v>-500.0</v>
      </c>
      <c r="P291" s="189"/>
      <c r="Q291" s="189">
        <f t="shared" si="55"/>
        <v>5150</v>
      </c>
      <c r="R291" s="207"/>
      <c r="S291" s="93"/>
    </row>
    <row r="292" ht="14.25" customHeight="1">
      <c r="B292" s="179"/>
      <c r="C292" s="165">
        <v>46243.0</v>
      </c>
      <c r="D292" s="167">
        <v>1.0</v>
      </c>
      <c r="E292" s="175">
        <v>2500.0</v>
      </c>
      <c r="F292" s="175"/>
      <c r="G292" s="175"/>
      <c r="H292" s="289"/>
      <c r="I292" s="175">
        <v>1000.0</v>
      </c>
      <c r="J292" s="175"/>
      <c r="K292" s="184">
        <f t="shared" si="56"/>
        <v>0</v>
      </c>
      <c r="L292" s="177"/>
      <c r="M292" s="175"/>
      <c r="N292" s="187">
        <v>1500.0</v>
      </c>
      <c r="O292" s="207">
        <v>-500.0</v>
      </c>
      <c r="P292" s="189"/>
      <c r="Q292" s="189">
        <f t="shared" si="55"/>
        <v>6150</v>
      </c>
      <c r="R292" s="207"/>
      <c r="S292" s="93"/>
    </row>
    <row r="293" ht="14.25" customHeight="1">
      <c r="B293" s="222"/>
      <c r="C293" s="277">
        <v>46275.0</v>
      </c>
      <c r="D293" s="223"/>
      <c r="E293" s="279"/>
      <c r="F293" s="279"/>
      <c r="G293" s="226"/>
      <c r="H293" s="222"/>
      <c r="I293" s="279"/>
      <c r="J293" s="279"/>
      <c r="K293" s="230">
        <f t="shared" si="56"/>
        <v>0</v>
      </c>
      <c r="L293" s="226"/>
      <c r="M293" s="226"/>
      <c r="N293" s="280"/>
      <c r="O293" s="279"/>
      <c r="P293" s="226"/>
      <c r="Q293" s="226">
        <f t="shared" si="55"/>
        <v>6150</v>
      </c>
      <c r="R293" s="279"/>
      <c r="S293" s="93"/>
    </row>
    <row r="294" ht="14.25" customHeight="1">
      <c r="B294" s="179"/>
      <c r="C294" s="165">
        <v>46306.0</v>
      </c>
      <c r="D294" s="167">
        <v>1.0</v>
      </c>
      <c r="E294" s="175">
        <v>2050.0</v>
      </c>
      <c r="F294" s="175"/>
      <c r="G294" s="175"/>
      <c r="H294" s="179"/>
      <c r="I294" s="175">
        <v>1000.0</v>
      </c>
      <c r="J294" s="175"/>
      <c r="K294" s="184">
        <f t="shared" si="56"/>
        <v>0</v>
      </c>
      <c r="L294" s="177"/>
      <c r="M294" s="177"/>
      <c r="N294" s="187">
        <v>1050.0</v>
      </c>
      <c r="O294" s="207">
        <v>-500.0</v>
      </c>
      <c r="P294" s="189"/>
      <c r="Q294" s="189">
        <f t="shared" si="55"/>
        <v>6700</v>
      </c>
      <c r="R294" s="207"/>
      <c r="S294" s="93"/>
    </row>
    <row r="295" ht="14.25" customHeight="1">
      <c r="B295" s="222"/>
      <c r="C295" s="277">
        <v>46339.0</v>
      </c>
      <c r="D295" s="223"/>
      <c r="E295" s="279"/>
      <c r="F295" s="279"/>
      <c r="G295" s="226"/>
      <c r="H295" s="222"/>
      <c r="I295" s="279"/>
      <c r="J295" s="279"/>
      <c r="K295" s="230">
        <f>E295-I295-L295-M295-N295-J295+F295-P295</f>
        <v>0</v>
      </c>
      <c r="L295" s="226"/>
      <c r="M295" s="226"/>
      <c r="N295" s="280"/>
      <c r="O295" s="279"/>
      <c r="P295" s="226"/>
      <c r="Q295" s="226">
        <f t="shared" si="55"/>
        <v>6700</v>
      </c>
      <c r="R295" s="279"/>
      <c r="S295" s="93"/>
    </row>
    <row r="296" ht="14.25" customHeight="1">
      <c r="B296" s="179"/>
      <c r="C296" s="167" t="s">
        <v>117</v>
      </c>
      <c r="D296" s="167">
        <v>2.0</v>
      </c>
      <c r="E296" s="175">
        <f>2000+5200</f>
        <v>7200</v>
      </c>
      <c r="F296" s="175"/>
      <c r="G296" s="177"/>
      <c r="H296" s="289" t="s">
        <v>293</v>
      </c>
      <c r="I296" s="175">
        <f>2000+1500</f>
        <v>3500</v>
      </c>
      <c r="J296" s="175"/>
      <c r="K296" s="184">
        <f>E296-I296-L296-M296-N296-J296+F296</f>
        <v>0</v>
      </c>
      <c r="L296" s="177"/>
      <c r="M296" s="177"/>
      <c r="N296" s="187">
        <v>3700.0</v>
      </c>
      <c r="O296" s="207">
        <v>-500.0</v>
      </c>
      <c r="P296" s="189"/>
      <c r="Q296" s="189">
        <f t="shared" si="55"/>
        <v>9900</v>
      </c>
      <c r="R296" s="207"/>
      <c r="S296" s="93"/>
    </row>
    <row r="297" ht="14.25" customHeight="1">
      <c r="B297" s="179"/>
      <c r="C297" s="167" t="s">
        <v>54</v>
      </c>
      <c r="D297" s="167">
        <v>2.0</v>
      </c>
      <c r="E297" s="175">
        <v>2954.43</v>
      </c>
      <c r="F297" s="175"/>
      <c r="G297" s="177"/>
      <c r="H297" s="289"/>
      <c r="I297" s="175"/>
      <c r="J297" s="175"/>
      <c r="K297" s="184">
        <f t="shared" ref="K297:K304" si="57">E297-I297-L297-M297-N297-J297+F297-P297</f>
        <v>0</v>
      </c>
      <c r="L297" s="175">
        <v>2954.43</v>
      </c>
      <c r="M297" s="177"/>
      <c r="N297" s="187"/>
      <c r="O297" s="207">
        <v>-500.0</v>
      </c>
      <c r="P297" s="189"/>
      <c r="Q297" s="189">
        <f t="shared" si="55"/>
        <v>9400</v>
      </c>
      <c r="R297" s="207"/>
      <c r="S297" s="93"/>
    </row>
    <row r="298" ht="14.25" customHeight="1">
      <c r="B298" s="222"/>
      <c r="C298" s="277" t="s">
        <v>171</v>
      </c>
      <c r="D298" s="223"/>
      <c r="E298" s="279"/>
      <c r="F298" s="279"/>
      <c r="G298" s="226"/>
      <c r="H298" s="222"/>
      <c r="I298" s="279"/>
      <c r="J298" s="279"/>
      <c r="K298" s="230">
        <f t="shared" si="57"/>
        <v>0</v>
      </c>
      <c r="L298" s="226"/>
      <c r="M298" s="226"/>
      <c r="N298" s="280"/>
      <c r="O298" s="279"/>
      <c r="P298" s="226"/>
      <c r="Q298" s="226">
        <f t="shared" si="55"/>
        <v>9400</v>
      </c>
      <c r="R298" s="279"/>
      <c r="S298" s="93"/>
    </row>
    <row r="299" ht="14.25" customHeight="1">
      <c r="B299" s="179"/>
      <c r="C299" s="167" t="s">
        <v>69</v>
      </c>
      <c r="D299" s="167">
        <v>1.0</v>
      </c>
      <c r="E299" s="175">
        <v>2000.0</v>
      </c>
      <c r="F299" s="175"/>
      <c r="G299" s="177"/>
      <c r="H299" s="179"/>
      <c r="I299" s="175">
        <v>1000.0</v>
      </c>
      <c r="J299" s="175"/>
      <c r="K299" s="184">
        <f t="shared" si="57"/>
        <v>0</v>
      </c>
      <c r="L299" s="177"/>
      <c r="M299" s="177"/>
      <c r="N299" s="187">
        <v>1000.0</v>
      </c>
      <c r="O299" s="207">
        <v>-500.0</v>
      </c>
      <c r="P299" s="189"/>
      <c r="Q299" s="189">
        <f t="shared" si="55"/>
        <v>9900</v>
      </c>
      <c r="R299" s="207"/>
      <c r="S299" s="93"/>
    </row>
    <row r="300" ht="14.25" customHeight="1">
      <c r="B300" s="179"/>
      <c r="C300" s="167" t="s">
        <v>68</v>
      </c>
      <c r="D300" s="167">
        <v>1.0</v>
      </c>
      <c r="E300" s="175">
        <v>3000.0</v>
      </c>
      <c r="F300" s="175"/>
      <c r="G300" s="177"/>
      <c r="H300" s="179"/>
      <c r="I300" s="175">
        <v>1000.0</v>
      </c>
      <c r="J300" s="175"/>
      <c r="K300" s="184">
        <f t="shared" si="57"/>
        <v>0</v>
      </c>
      <c r="L300" s="177"/>
      <c r="M300" s="177"/>
      <c r="N300" s="187">
        <v>2000.0</v>
      </c>
      <c r="O300" s="207">
        <v>-500.0</v>
      </c>
      <c r="P300" s="189"/>
      <c r="Q300" s="189">
        <f t="shared" si="55"/>
        <v>11400</v>
      </c>
      <c r="R300" s="207"/>
      <c r="S300" s="93"/>
    </row>
    <row r="301" ht="14.25" customHeight="1">
      <c r="B301" s="222"/>
      <c r="C301" s="223" t="s">
        <v>300</v>
      </c>
      <c r="D301" s="223"/>
      <c r="E301" s="279"/>
      <c r="F301" s="279"/>
      <c r="G301" s="226"/>
      <c r="H301" s="222"/>
      <c r="I301" s="279"/>
      <c r="J301" s="279"/>
      <c r="K301" s="230">
        <f t="shared" si="57"/>
        <v>0</v>
      </c>
      <c r="L301" s="226"/>
      <c r="M301" s="226"/>
      <c r="N301" s="280"/>
      <c r="O301" s="279"/>
      <c r="P301" s="226"/>
      <c r="Q301" s="226">
        <f t="shared" si="55"/>
        <v>11400</v>
      </c>
      <c r="R301" s="279"/>
      <c r="S301" s="93"/>
    </row>
    <row r="302" ht="14.25" customHeight="1">
      <c r="B302" s="179"/>
      <c r="C302" s="167" t="s">
        <v>72</v>
      </c>
      <c r="D302" s="167">
        <v>1.0</v>
      </c>
      <c r="E302" s="175">
        <v>2300.0</v>
      </c>
      <c r="F302" s="175">
        <v>350.0</v>
      </c>
      <c r="G302" s="177"/>
      <c r="H302" s="179"/>
      <c r="I302" s="175">
        <v>1000.0</v>
      </c>
      <c r="J302" s="175"/>
      <c r="K302" s="184">
        <f t="shared" si="57"/>
        <v>0</v>
      </c>
      <c r="L302" s="177"/>
      <c r="M302" s="177"/>
      <c r="N302" s="187">
        <v>1650.0</v>
      </c>
      <c r="O302" s="207">
        <v>-500.0</v>
      </c>
      <c r="P302" s="189"/>
      <c r="Q302" s="189">
        <f t="shared" si="55"/>
        <v>12550</v>
      </c>
      <c r="R302" s="207"/>
      <c r="S302" s="93"/>
    </row>
    <row r="303" ht="14.25" customHeight="1">
      <c r="B303" s="179"/>
      <c r="C303" s="167" t="s">
        <v>88</v>
      </c>
      <c r="D303" s="167">
        <v>2.0</v>
      </c>
      <c r="E303" s="175">
        <v>5000.0</v>
      </c>
      <c r="F303" s="175"/>
      <c r="G303" s="177"/>
      <c r="H303" s="179"/>
      <c r="I303" s="175">
        <v>1500.0</v>
      </c>
      <c r="J303" s="175"/>
      <c r="K303" s="184">
        <f t="shared" si="57"/>
        <v>0</v>
      </c>
      <c r="L303" s="177"/>
      <c r="M303" s="177"/>
      <c r="N303" s="187">
        <v>3500.0</v>
      </c>
      <c r="O303" s="207">
        <v>-500.0</v>
      </c>
      <c r="P303" s="189"/>
      <c r="Q303" s="189">
        <f t="shared" si="55"/>
        <v>15550</v>
      </c>
      <c r="R303" s="207"/>
      <c r="S303" s="93"/>
    </row>
    <row r="304" ht="14.25" customHeight="1">
      <c r="B304" s="179"/>
      <c r="C304" s="167" t="s">
        <v>75</v>
      </c>
      <c r="D304" s="167">
        <v>2.0</v>
      </c>
      <c r="E304" s="175">
        <v>4500.0</v>
      </c>
      <c r="F304" s="175"/>
      <c r="G304" s="177"/>
      <c r="H304" s="179"/>
      <c r="I304" s="175">
        <v>1500.0</v>
      </c>
      <c r="J304" s="175"/>
      <c r="K304" s="184">
        <f t="shared" si="57"/>
        <v>0</v>
      </c>
      <c r="L304" s="177"/>
      <c r="M304" s="177"/>
      <c r="N304" s="187">
        <v>3000.0</v>
      </c>
      <c r="O304" s="207">
        <v>-500.0</v>
      </c>
      <c r="P304" s="189"/>
      <c r="Q304" s="189">
        <f t="shared" si="55"/>
        <v>18050</v>
      </c>
      <c r="R304" s="207"/>
      <c r="S304" s="93"/>
    </row>
    <row r="305" ht="14.25" customHeight="1">
      <c r="B305" s="179"/>
      <c r="C305" s="167"/>
      <c r="D305" s="167"/>
      <c r="E305" s="175"/>
      <c r="F305" s="175"/>
      <c r="G305" s="177"/>
      <c r="H305" s="179"/>
      <c r="I305" s="175"/>
      <c r="J305" s="175"/>
      <c r="K305" s="184"/>
      <c r="L305" s="177"/>
      <c r="M305" s="175"/>
      <c r="N305" s="187"/>
      <c r="O305" s="207"/>
      <c r="P305" s="207">
        <v>-18050.0</v>
      </c>
      <c r="Q305" s="189">
        <f t="shared" si="55"/>
        <v>0</v>
      </c>
      <c r="R305" s="207"/>
      <c r="S305" s="93"/>
    </row>
    <row r="306" ht="14.25" customHeight="1">
      <c r="B306" s="380"/>
      <c r="C306" s="381"/>
      <c r="D306" s="381"/>
      <c r="E306" s="382"/>
      <c r="F306" s="383"/>
      <c r="G306" s="383"/>
      <c r="H306" s="380"/>
      <c r="I306" s="382"/>
      <c r="J306" s="383"/>
      <c r="K306" s="184"/>
      <c r="L306" s="383"/>
      <c r="M306" s="383"/>
      <c r="N306" s="385"/>
      <c r="O306" s="385"/>
      <c r="P306" s="207"/>
      <c r="Q306" s="189">
        <f t="shared" si="55"/>
        <v>0</v>
      </c>
      <c r="R306" s="385"/>
      <c r="S306" s="93"/>
    </row>
    <row r="307" ht="14.25" customHeight="1">
      <c r="B307" s="265" t="s">
        <v>121</v>
      </c>
      <c r="C307" s="266" t="s">
        <v>66</v>
      </c>
      <c r="D307" s="266">
        <f t="shared" ref="D307:P307" si="58">sum(D288:D306)</f>
        <v>16</v>
      </c>
      <c r="E307" s="268">
        <f t="shared" si="58"/>
        <v>40654.43</v>
      </c>
      <c r="F307" s="268">
        <f t="shared" si="58"/>
        <v>350</v>
      </c>
      <c r="G307" s="268">
        <f t="shared" si="58"/>
        <v>0</v>
      </c>
      <c r="H307" s="268">
        <f t="shared" si="58"/>
        <v>0</v>
      </c>
      <c r="I307" s="268">
        <f t="shared" si="58"/>
        <v>14500</v>
      </c>
      <c r="J307" s="268">
        <f t="shared" si="58"/>
        <v>0</v>
      </c>
      <c r="K307" s="268">
        <f t="shared" si="58"/>
        <v>0</v>
      </c>
      <c r="L307" s="268">
        <f t="shared" si="58"/>
        <v>2954.43</v>
      </c>
      <c r="M307" s="268">
        <f t="shared" si="58"/>
        <v>0</v>
      </c>
      <c r="N307" s="268">
        <f t="shared" si="58"/>
        <v>23550</v>
      </c>
      <c r="O307" s="268">
        <f t="shared" si="58"/>
        <v>-5500</v>
      </c>
      <c r="P307" s="268">
        <f t="shared" si="58"/>
        <v>-18050</v>
      </c>
      <c r="Q307" s="271">
        <f>Q306</f>
        <v>0</v>
      </c>
      <c r="R307" s="272"/>
      <c r="S307" s="93"/>
    </row>
    <row r="308" ht="14.25" customHeight="1">
      <c r="B308" s="179" t="s">
        <v>132</v>
      </c>
      <c r="C308" s="165">
        <v>46024.0</v>
      </c>
      <c r="D308" s="167">
        <v>1.0</v>
      </c>
      <c r="E308" s="175">
        <v>2500.0</v>
      </c>
      <c r="F308" s="175"/>
      <c r="G308" s="177"/>
      <c r="H308" s="179"/>
      <c r="I308" s="175">
        <v>1000.0</v>
      </c>
      <c r="J308" s="175"/>
      <c r="K308" s="184">
        <f t="shared" ref="K308:K314" si="59">E308-I308-L308-M308-N308-J308+F308</f>
        <v>0</v>
      </c>
      <c r="L308" s="177"/>
      <c r="M308" s="177"/>
      <c r="N308" s="187">
        <v>1500.0</v>
      </c>
      <c r="O308" s="207">
        <v>-500.0</v>
      </c>
      <c r="P308" s="189"/>
      <c r="Q308" s="189">
        <f t="shared" ref="Q308:Q327" si="60">Q307+N308+O308+P308</f>
        <v>1000</v>
      </c>
      <c r="R308" s="207"/>
      <c r="S308" s="93"/>
    </row>
    <row r="309" ht="14.25" customHeight="1">
      <c r="B309" s="179"/>
      <c r="C309" s="165">
        <v>46056.0</v>
      </c>
      <c r="D309" s="167">
        <v>1.0</v>
      </c>
      <c r="E309" s="175">
        <v>3000.0</v>
      </c>
      <c r="F309" s="175"/>
      <c r="G309" s="177"/>
      <c r="H309" s="179"/>
      <c r="I309" s="175">
        <v>1000.0</v>
      </c>
      <c r="J309" s="175"/>
      <c r="K309" s="184">
        <f t="shared" si="59"/>
        <v>0</v>
      </c>
      <c r="L309" s="177"/>
      <c r="M309" s="177"/>
      <c r="N309" s="187">
        <v>2000.0</v>
      </c>
      <c r="O309" s="207">
        <v>-500.0</v>
      </c>
      <c r="P309" s="189"/>
      <c r="Q309" s="189">
        <f t="shared" si="60"/>
        <v>2500</v>
      </c>
      <c r="R309" s="207"/>
      <c r="S309" s="93"/>
    </row>
    <row r="310" ht="14.25" customHeight="1">
      <c r="B310" s="179"/>
      <c r="C310" s="165">
        <v>46085.0</v>
      </c>
      <c r="D310" s="167">
        <v>1.0</v>
      </c>
      <c r="E310" s="175">
        <v>3000.0</v>
      </c>
      <c r="F310" s="175"/>
      <c r="G310" s="177"/>
      <c r="H310" s="179"/>
      <c r="I310" s="175">
        <v>1000.0</v>
      </c>
      <c r="J310" s="175"/>
      <c r="K310" s="184">
        <f t="shared" si="59"/>
        <v>0</v>
      </c>
      <c r="L310" s="177"/>
      <c r="M310" s="177"/>
      <c r="N310" s="187">
        <v>2000.0</v>
      </c>
      <c r="O310" s="207">
        <v>-500.0</v>
      </c>
      <c r="P310" s="189"/>
      <c r="Q310" s="189">
        <f t="shared" si="60"/>
        <v>4000</v>
      </c>
      <c r="R310" s="207"/>
      <c r="S310" s="93"/>
    </row>
    <row r="311" ht="14.25" customHeight="1">
      <c r="B311" s="179"/>
      <c r="C311" s="165">
        <v>46118.0</v>
      </c>
      <c r="D311" s="167">
        <v>2.0</v>
      </c>
      <c r="E311" s="175">
        <v>4500.0</v>
      </c>
      <c r="F311" s="175"/>
      <c r="G311" s="175"/>
      <c r="H311" s="179"/>
      <c r="I311" s="175">
        <v>1000.0</v>
      </c>
      <c r="J311" s="175"/>
      <c r="K311" s="184">
        <f t="shared" si="59"/>
        <v>0</v>
      </c>
      <c r="L311" s="177"/>
      <c r="M311" s="175">
        <v>1500.0</v>
      </c>
      <c r="N311" s="187">
        <v>2000.0</v>
      </c>
      <c r="O311" s="207">
        <v>-500.0</v>
      </c>
      <c r="P311" s="189"/>
      <c r="Q311" s="189">
        <f t="shared" si="60"/>
        <v>5500</v>
      </c>
      <c r="R311" s="207"/>
      <c r="S311" s="93"/>
    </row>
    <row r="312" ht="14.25" customHeight="1">
      <c r="B312" s="222"/>
      <c r="C312" s="277">
        <v>46184.0</v>
      </c>
      <c r="D312" s="223"/>
      <c r="E312" s="279"/>
      <c r="F312" s="279"/>
      <c r="G312" s="226"/>
      <c r="H312" s="222"/>
      <c r="I312" s="279"/>
      <c r="J312" s="279"/>
      <c r="K312" s="230">
        <f t="shared" si="59"/>
        <v>0</v>
      </c>
      <c r="L312" s="226"/>
      <c r="M312" s="226"/>
      <c r="N312" s="280"/>
      <c r="O312" s="279"/>
      <c r="P312" s="226"/>
      <c r="Q312" s="226">
        <f t="shared" si="60"/>
        <v>5500</v>
      </c>
      <c r="R312" s="279"/>
      <c r="S312" s="93"/>
    </row>
    <row r="313" ht="14.25" customHeight="1">
      <c r="B313" s="179"/>
      <c r="C313" s="165">
        <v>46338.0</v>
      </c>
      <c r="D313" s="167">
        <v>1.0</v>
      </c>
      <c r="E313" s="175">
        <v>3300.0</v>
      </c>
      <c r="F313" s="175"/>
      <c r="G313" s="175"/>
      <c r="H313" s="179"/>
      <c r="I313" s="175">
        <v>1000.0</v>
      </c>
      <c r="J313" s="175"/>
      <c r="K313" s="184">
        <f t="shared" si="59"/>
        <v>0</v>
      </c>
      <c r="L313" s="177"/>
      <c r="M313" s="175">
        <v>2300.0</v>
      </c>
      <c r="N313" s="187"/>
      <c r="O313" s="207">
        <v>-500.0</v>
      </c>
      <c r="P313" s="189"/>
      <c r="Q313" s="189">
        <f t="shared" si="60"/>
        <v>5000</v>
      </c>
      <c r="R313" s="207"/>
      <c r="S313" s="93"/>
    </row>
    <row r="314" ht="14.25" customHeight="1">
      <c r="B314" s="222"/>
      <c r="C314" s="277">
        <v>46374.0</v>
      </c>
      <c r="D314" s="223"/>
      <c r="E314" s="279"/>
      <c r="F314" s="279"/>
      <c r="G314" s="226"/>
      <c r="H314" s="222"/>
      <c r="I314" s="279"/>
      <c r="J314" s="279"/>
      <c r="K314" s="230">
        <f t="shared" si="59"/>
        <v>0</v>
      </c>
      <c r="L314" s="226"/>
      <c r="M314" s="226"/>
      <c r="N314" s="280"/>
      <c r="O314" s="279"/>
      <c r="P314" s="226"/>
      <c r="Q314" s="226">
        <f t="shared" si="60"/>
        <v>5000</v>
      </c>
      <c r="R314" s="279"/>
      <c r="S314" s="93"/>
    </row>
    <row r="315" ht="14.25" customHeight="1">
      <c r="B315" s="179"/>
      <c r="C315" s="167" t="s">
        <v>33</v>
      </c>
      <c r="D315" s="167">
        <v>1.0</v>
      </c>
      <c r="E315" s="175">
        <v>2800.0</v>
      </c>
      <c r="F315" s="175">
        <v>350.0</v>
      </c>
      <c r="G315" s="177"/>
      <c r="H315" s="289"/>
      <c r="I315" s="175">
        <v>1000.0</v>
      </c>
      <c r="J315" s="175"/>
      <c r="K315" s="184">
        <f>E315-I315-L315-M315-N315-J315+F315-P315</f>
        <v>0</v>
      </c>
      <c r="L315" s="177"/>
      <c r="M315" s="177"/>
      <c r="N315" s="187">
        <v>2150.0</v>
      </c>
      <c r="O315" s="207">
        <v>-500.0</v>
      </c>
      <c r="P315" s="189"/>
      <c r="Q315" s="189">
        <f t="shared" si="60"/>
        <v>6650</v>
      </c>
      <c r="R315" s="207"/>
      <c r="S315" s="93"/>
    </row>
    <row r="316" ht="14.25" customHeight="1">
      <c r="B316" s="222"/>
      <c r="C316" s="223" t="s">
        <v>34</v>
      </c>
      <c r="D316" s="223"/>
      <c r="E316" s="279"/>
      <c r="F316" s="279"/>
      <c r="G316" s="226"/>
      <c r="H316" s="222"/>
      <c r="I316" s="279"/>
      <c r="J316" s="279"/>
      <c r="K316" s="230">
        <f>E316-I316-L316-M316-N316-J316+F316</f>
        <v>0</v>
      </c>
      <c r="L316" s="226"/>
      <c r="M316" s="226"/>
      <c r="N316" s="280"/>
      <c r="O316" s="279"/>
      <c r="P316" s="226"/>
      <c r="Q316" s="226">
        <f t="shared" si="60"/>
        <v>6650</v>
      </c>
      <c r="R316" s="279"/>
      <c r="S316" s="93"/>
    </row>
    <row r="317" ht="14.25" customHeight="1">
      <c r="B317" s="179"/>
      <c r="C317" s="167" t="s">
        <v>69</v>
      </c>
      <c r="D317" s="167">
        <v>1.0</v>
      </c>
      <c r="E317" s="175">
        <v>2500.0</v>
      </c>
      <c r="F317" s="175"/>
      <c r="G317" s="177"/>
      <c r="H317" s="179"/>
      <c r="I317" s="175">
        <v>2000.0</v>
      </c>
      <c r="J317" s="175"/>
      <c r="K317" s="184"/>
      <c r="L317" s="177"/>
      <c r="M317" s="177"/>
      <c r="N317" s="187">
        <v>500.0</v>
      </c>
      <c r="O317" s="207">
        <v>-500.0</v>
      </c>
      <c r="P317" s="189"/>
      <c r="Q317" s="189">
        <f t="shared" si="60"/>
        <v>6650</v>
      </c>
      <c r="R317" s="207"/>
      <c r="S317" s="93"/>
    </row>
    <row r="318" ht="14.25" customHeight="1">
      <c r="B318" s="179"/>
      <c r="C318" s="167" t="s">
        <v>68</v>
      </c>
      <c r="D318" s="167">
        <v>1.0</v>
      </c>
      <c r="E318" s="175">
        <v>2500.0</v>
      </c>
      <c r="F318" s="175"/>
      <c r="G318" s="177"/>
      <c r="H318" s="179"/>
      <c r="I318" s="175">
        <v>1000.0</v>
      </c>
      <c r="J318" s="175"/>
      <c r="K318" s="184">
        <f t="shared" ref="K318:K324" si="61">E318-I318-L318-M318-N318-J318+F318-P318</f>
        <v>0</v>
      </c>
      <c r="L318" s="177"/>
      <c r="M318" s="177"/>
      <c r="N318" s="187">
        <v>1500.0</v>
      </c>
      <c r="O318" s="207">
        <v>-500.0</v>
      </c>
      <c r="P318" s="189"/>
      <c r="Q318" s="189">
        <f t="shared" si="60"/>
        <v>7650</v>
      </c>
      <c r="R318" s="207"/>
      <c r="S318" s="93"/>
    </row>
    <row r="319" ht="14.25" customHeight="1">
      <c r="B319" s="179"/>
      <c r="C319" s="167" t="s">
        <v>37</v>
      </c>
      <c r="D319" s="167">
        <v>1.0</v>
      </c>
      <c r="E319" s="175">
        <v>2000.0</v>
      </c>
      <c r="F319" s="175"/>
      <c r="G319" s="177"/>
      <c r="H319" s="179"/>
      <c r="I319" s="175">
        <v>1000.0</v>
      </c>
      <c r="J319" s="175"/>
      <c r="K319" s="184">
        <f t="shared" si="61"/>
        <v>0</v>
      </c>
      <c r="L319" s="177"/>
      <c r="M319" s="175">
        <v>500.0</v>
      </c>
      <c r="N319" s="187">
        <v>500.0</v>
      </c>
      <c r="O319" s="207">
        <v>-500.0</v>
      </c>
      <c r="P319" s="189"/>
      <c r="Q319" s="189">
        <f t="shared" si="60"/>
        <v>7650</v>
      </c>
      <c r="R319" s="207"/>
      <c r="S319" s="93"/>
    </row>
    <row r="320" ht="14.25" customHeight="1">
      <c r="B320" s="222"/>
      <c r="C320" s="223" t="s">
        <v>41</v>
      </c>
      <c r="D320" s="223"/>
      <c r="E320" s="279"/>
      <c r="F320" s="279"/>
      <c r="G320" s="226"/>
      <c r="H320" s="222"/>
      <c r="I320" s="279"/>
      <c r="J320" s="279"/>
      <c r="K320" s="230">
        <f t="shared" si="61"/>
        <v>0</v>
      </c>
      <c r="L320" s="226"/>
      <c r="M320" s="226"/>
      <c r="N320" s="280"/>
      <c r="O320" s="279"/>
      <c r="P320" s="226"/>
      <c r="Q320" s="226">
        <f t="shared" si="60"/>
        <v>7650</v>
      </c>
      <c r="R320" s="279"/>
      <c r="S320" s="93"/>
    </row>
    <row r="321" ht="14.25" customHeight="1">
      <c r="B321" s="179"/>
      <c r="C321" s="167" t="s">
        <v>71</v>
      </c>
      <c r="D321" s="167">
        <v>2.0</v>
      </c>
      <c r="E321" s="175">
        <v>4300.0</v>
      </c>
      <c r="F321" s="175"/>
      <c r="G321" s="177"/>
      <c r="H321" s="179"/>
      <c r="I321" s="175">
        <v>1500.0</v>
      </c>
      <c r="J321" s="175"/>
      <c r="K321" s="184">
        <f t="shared" si="61"/>
        <v>0</v>
      </c>
      <c r="L321" s="177"/>
      <c r="M321" s="177"/>
      <c r="N321" s="187">
        <v>2800.0</v>
      </c>
      <c r="O321" s="207">
        <v>-500.0</v>
      </c>
      <c r="P321" s="189"/>
      <c r="Q321" s="189">
        <f t="shared" si="60"/>
        <v>9950</v>
      </c>
      <c r="R321" s="207"/>
      <c r="S321" s="93"/>
    </row>
    <row r="322" ht="14.25" customHeight="1">
      <c r="B322" s="179"/>
      <c r="C322" s="167" t="s">
        <v>86</v>
      </c>
      <c r="D322" s="167">
        <v>2.0</v>
      </c>
      <c r="E322" s="175">
        <f>3250+2500</f>
        <v>5750</v>
      </c>
      <c r="F322" s="175"/>
      <c r="G322" s="177"/>
      <c r="H322" s="289"/>
      <c r="I322" s="175">
        <v>1000.0</v>
      </c>
      <c r="J322" s="175"/>
      <c r="K322" s="184">
        <f t="shared" si="61"/>
        <v>0</v>
      </c>
      <c r="L322" s="177"/>
      <c r="M322" s="177"/>
      <c r="N322" s="187">
        <f>2500+2250</f>
        <v>4750</v>
      </c>
      <c r="O322" s="207">
        <v>-500.0</v>
      </c>
      <c r="P322" s="189"/>
      <c r="Q322" s="189">
        <f t="shared" si="60"/>
        <v>14200</v>
      </c>
      <c r="R322" s="207"/>
      <c r="S322" s="93"/>
    </row>
    <row r="323" ht="14.25" customHeight="1">
      <c r="B323" s="222"/>
      <c r="C323" s="223" t="s">
        <v>88</v>
      </c>
      <c r="D323" s="223"/>
      <c r="E323" s="279"/>
      <c r="F323" s="279"/>
      <c r="G323" s="226"/>
      <c r="H323" s="222"/>
      <c r="I323" s="279"/>
      <c r="J323" s="279"/>
      <c r="K323" s="230">
        <f t="shared" si="61"/>
        <v>0</v>
      </c>
      <c r="L323" s="226"/>
      <c r="M323" s="226"/>
      <c r="N323" s="280"/>
      <c r="O323" s="279"/>
      <c r="P323" s="226"/>
      <c r="Q323" s="226">
        <f t="shared" si="60"/>
        <v>14200</v>
      </c>
      <c r="R323" s="279"/>
      <c r="S323" s="93"/>
    </row>
    <row r="324" ht="14.25" customHeight="1">
      <c r="B324" s="179"/>
      <c r="C324" s="167" t="s">
        <v>130</v>
      </c>
      <c r="D324" s="167">
        <v>2.0</v>
      </c>
      <c r="E324" s="175">
        <v>5000.0</v>
      </c>
      <c r="F324" s="175"/>
      <c r="G324" s="177"/>
      <c r="H324" s="179"/>
      <c r="I324" s="175">
        <v>1500.0</v>
      </c>
      <c r="J324" s="175"/>
      <c r="K324" s="184">
        <f t="shared" si="61"/>
        <v>0</v>
      </c>
      <c r="L324" s="177"/>
      <c r="M324" s="177"/>
      <c r="N324" s="187">
        <v>3500.0</v>
      </c>
      <c r="O324" s="207">
        <v>-500.0</v>
      </c>
      <c r="P324" s="189"/>
      <c r="Q324" s="189">
        <f t="shared" si="60"/>
        <v>17200</v>
      </c>
      <c r="R324" s="207" t="s">
        <v>313</v>
      </c>
      <c r="S324" s="93"/>
    </row>
    <row r="325" ht="14.25" customHeight="1">
      <c r="B325" s="179"/>
      <c r="C325" s="167"/>
      <c r="D325" s="167"/>
      <c r="E325" s="175"/>
      <c r="F325" s="175"/>
      <c r="G325" s="177"/>
      <c r="H325" s="179"/>
      <c r="I325" s="175"/>
      <c r="J325" s="175"/>
      <c r="K325" s="184"/>
      <c r="L325" s="177"/>
      <c r="M325" s="177"/>
      <c r="N325" s="187"/>
      <c r="O325" s="207"/>
      <c r="P325" s="207">
        <v>-475.0</v>
      </c>
      <c r="Q325" s="189">
        <f t="shared" si="60"/>
        <v>16725</v>
      </c>
      <c r="R325" s="207" t="s">
        <v>314</v>
      </c>
      <c r="S325" s="93"/>
    </row>
    <row r="326" ht="14.25" customHeight="1">
      <c r="B326" s="179"/>
      <c r="C326" s="167"/>
      <c r="D326" s="167"/>
      <c r="E326" s="175"/>
      <c r="F326" s="175"/>
      <c r="G326" s="177"/>
      <c r="H326" s="179"/>
      <c r="I326" s="175"/>
      <c r="J326" s="175"/>
      <c r="K326" s="184"/>
      <c r="L326" s="177"/>
      <c r="M326" s="175"/>
      <c r="N326" s="187"/>
      <c r="O326" s="207"/>
      <c r="P326" s="207">
        <v>-416.12</v>
      </c>
      <c r="Q326" s="189">
        <f t="shared" si="60"/>
        <v>16308.88</v>
      </c>
      <c r="R326" s="207" t="s">
        <v>84</v>
      </c>
      <c r="S326" s="93"/>
    </row>
    <row r="327" ht="14.25" customHeight="1">
      <c r="B327" s="380"/>
      <c r="C327" s="381"/>
      <c r="D327" s="381"/>
      <c r="E327" s="382"/>
      <c r="F327" s="383"/>
      <c r="G327" s="383"/>
      <c r="H327" s="380"/>
      <c r="I327" s="382"/>
      <c r="J327" s="383"/>
      <c r="K327" s="184"/>
      <c r="L327" s="383"/>
      <c r="M327" s="383"/>
      <c r="N327" s="385"/>
      <c r="O327" s="385"/>
      <c r="P327" s="207">
        <v>-16308.88</v>
      </c>
      <c r="Q327" s="189">
        <f t="shared" si="60"/>
        <v>0</v>
      </c>
      <c r="R327" s="385"/>
      <c r="S327" s="93"/>
    </row>
    <row r="328" ht="14.25" customHeight="1">
      <c r="B328" s="265" t="s">
        <v>132</v>
      </c>
      <c r="C328" s="266" t="s">
        <v>66</v>
      </c>
      <c r="D328" s="266">
        <f t="shared" ref="D328:P328" si="62">sum(D308:D327)</f>
        <v>16</v>
      </c>
      <c r="E328" s="268">
        <f t="shared" si="62"/>
        <v>41150</v>
      </c>
      <c r="F328" s="268">
        <f t="shared" si="62"/>
        <v>350</v>
      </c>
      <c r="G328" s="268">
        <f t="shared" si="62"/>
        <v>0</v>
      </c>
      <c r="H328" s="268">
        <f t="shared" si="62"/>
        <v>0</v>
      </c>
      <c r="I328" s="268">
        <f t="shared" si="62"/>
        <v>14000</v>
      </c>
      <c r="J328" s="268">
        <f t="shared" si="62"/>
        <v>0</v>
      </c>
      <c r="K328" s="268">
        <f t="shared" si="62"/>
        <v>0</v>
      </c>
      <c r="L328" s="268">
        <f t="shared" si="62"/>
        <v>0</v>
      </c>
      <c r="M328" s="268">
        <f t="shared" si="62"/>
        <v>4300</v>
      </c>
      <c r="N328" s="268">
        <f t="shared" si="62"/>
        <v>23200</v>
      </c>
      <c r="O328" s="268">
        <f t="shared" si="62"/>
        <v>-6000</v>
      </c>
      <c r="P328" s="268">
        <f t="shared" si="62"/>
        <v>-17200</v>
      </c>
      <c r="Q328" s="271">
        <f>Q327</f>
        <v>0</v>
      </c>
      <c r="R328" s="272"/>
      <c r="S328" s="93"/>
    </row>
    <row r="329" ht="14.25" customHeight="1">
      <c r="B329" s="289" t="s">
        <v>141</v>
      </c>
      <c r="C329" s="165">
        <v>46056.0</v>
      </c>
      <c r="D329" s="167">
        <v>1.0</v>
      </c>
      <c r="E329" s="389">
        <v>2800.0</v>
      </c>
      <c r="F329" s="175"/>
      <c r="G329" s="177"/>
      <c r="H329" s="179"/>
      <c r="I329" s="175">
        <v>500.0</v>
      </c>
      <c r="J329" s="175"/>
      <c r="K329" s="184">
        <f t="shared" ref="K329:K334" si="63">E329-I329-L329-M329-N329-J329+F329</f>
        <v>0</v>
      </c>
      <c r="L329" s="177"/>
      <c r="M329" s="177"/>
      <c r="N329" s="187">
        <v>2300.0</v>
      </c>
      <c r="O329" s="207">
        <v>-500.0</v>
      </c>
      <c r="P329" s="189"/>
      <c r="Q329" s="189">
        <f t="shared" ref="Q329:Q348" si="64">Q328+N329+O329+P329</f>
        <v>1800</v>
      </c>
      <c r="R329" s="207"/>
      <c r="S329" s="93"/>
    </row>
    <row r="330" ht="14.25" customHeight="1">
      <c r="B330" s="179"/>
      <c r="C330" s="165">
        <v>46085.0</v>
      </c>
      <c r="D330" s="167">
        <v>1.0</v>
      </c>
      <c r="E330" s="175">
        <v>3500.0</v>
      </c>
      <c r="F330" s="175"/>
      <c r="G330" s="177"/>
      <c r="H330" s="179"/>
      <c r="I330" s="175">
        <v>1000.0</v>
      </c>
      <c r="J330" s="175"/>
      <c r="K330" s="184">
        <f t="shared" si="63"/>
        <v>0</v>
      </c>
      <c r="L330" s="177"/>
      <c r="M330" s="177"/>
      <c r="N330" s="187">
        <v>2500.0</v>
      </c>
      <c r="O330" s="207">
        <v>-500.0</v>
      </c>
      <c r="P330" s="189"/>
      <c r="Q330" s="189">
        <f t="shared" si="64"/>
        <v>3800</v>
      </c>
      <c r="R330" s="207"/>
      <c r="S330" s="93"/>
    </row>
    <row r="331" ht="14.25" customHeight="1">
      <c r="B331" s="179"/>
      <c r="C331" s="165">
        <v>46118.0</v>
      </c>
      <c r="D331" s="167">
        <v>2.0</v>
      </c>
      <c r="E331" s="175">
        <v>4100.0</v>
      </c>
      <c r="F331" s="175"/>
      <c r="G331" s="177"/>
      <c r="H331" s="179"/>
      <c r="I331" s="175">
        <v>1500.0</v>
      </c>
      <c r="J331" s="175"/>
      <c r="K331" s="184">
        <f t="shared" si="63"/>
        <v>0</v>
      </c>
      <c r="L331" s="177"/>
      <c r="M331" s="177"/>
      <c r="N331" s="187">
        <v>2600.0</v>
      </c>
      <c r="O331" s="207">
        <v>-500.0</v>
      </c>
      <c r="P331" s="189"/>
      <c r="Q331" s="189">
        <f t="shared" si="64"/>
        <v>5900</v>
      </c>
      <c r="R331" s="207"/>
      <c r="S331" s="93"/>
    </row>
    <row r="332" ht="14.25" customHeight="1">
      <c r="B332" s="222"/>
      <c r="C332" s="277">
        <v>46180.0</v>
      </c>
      <c r="D332" s="223"/>
      <c r="E332" s="279"/>
      <c r="F332" s="279"/>
      <c r="G332" s="226"/>
      <c r="H332" s="222"/>
      <c r="I332" s="279"/>
      <c r="J332" s="279"/>
      <c r="K332" s="230">
        <f t="shared" si="63"/>
        <v>0</v>
      </c>
      <c r="L332" s="226"/>
      <c r="M332" s="226"/>
      <c r="N332" s="280"/>
      <c r="O332" s="279"/>
      <c r="P332" s="226"/>
      <c r="Q332" s="226">
        <f t="shared" si="64"/>
        <v>5900</v>
      </c>
      <c r="R332" s="279"/>
      <c r="S332" s="93"/>
    </row>
    <row r="333" ht="14.25" customHeight="1">
      <c r="B333" s="179"/>
      <c r="C333" s="165">
        <v>46211.0</v>
      </c>
      <c r="D333" s="167">
        <v>1.0</v>
      </c>
      <c r="E333" s="175">
        <v>2750.0</v>
      </c>
      <c r="F333" s="175"/>
      <c r="G333" s="175"/>
      <c r="H333" s="179"/>
      <c r="I333" s="175">
        <v>1000.0</v>
      </c>
      <c r="J333" s="175"/>
      <c r="K333" s="184">
        <f t="shared" si="63"/>
        <v>0</v>
      </c>
      <c r="L333" s="177"/>
      <c r="M333" s="175">
        <v>1750.0</v>
      </c>
      <c r="N333" s="187"/>
      <c r="O333" s="207">
        <v>-500.0</v>
      </c>
      <c r="P333" s="189"/>
      <c r="Q333" s="189">
        <f t="shared" si="64"/>
        <v>5400</v>
      </c>
      <c r="R333" s="207" t="s">
        <v>317</v>
      </c>
      <c r="S333" s="93"/>
    </row>
    <row r="334" ht="14.25" customHeight="1">
      <c r="B334" s="179"/>
      <c r="C334" s="165">
        <v>46243.0</v>
      </c>
      <c r="D334" s="167">
        <v>1.0</v>
      </c>
      <c r="E334" s="175">
        <v>3500.0</v>
      </c>
      <c r="F334" s="175"/>
      <c r="G334" s="175"/>
      <c r="H334" s="179"/>
      <c r="I334" s="175">
        <v>1000.0</v>
      </c>
      <c r="J334" s="175"/>
      <c r="K334" s="184">
        <f t="shared" si="63"/>
        <v>0</v>
      </c>
      <c r="L334" s="177"/>
      <c r="M334" s="175">
        <v>2500.0</v>
      </c>
      <c r="N334" s="187"/>
      <c r="O334" s="207">
        <v>-500.0</v>
      </c>
      <c r="P334" s="189"/>
      <c r="Q334" s="189">
        <f t="shared" si="64"/>
        <v>4900</v>
      </c>
      <c r="R334" s="207"/>
      <c r="S334" s="93"/>
    </row>
    <row r="335" ht="14.25" customHeight="1">
      <c r="B335" s="179"/>
      <c r="C335" s="165">
        <v>46275.0</v>
      </c>
      <c r="D335" s="167">
        <v>1.0</v>
      </c>
      <c r="E335" s="175">
        <v>1000.0</v>
      </c>
      <c r="F335" s="175"/>
      <c r="G335" s="177"/>
      <c r="H335" s="289"/>
      <c r="I335" s="175">
        <v>1000.0</v>
      </c>
      <c r="J335" s="175"/>
      <c r="K335" s="184">
        <f t="shared" ref="K335:K346" si="65">E335-I335-L335-M335-N335-J335+F335-P335</f>
        <v>0</v>
      </c>
      <c r="L335" s="177"/>
      <c r="M335" s="177"/>
      <c r="N335" s="187">
        <v>0.0</v>
      </c>
      <c r="O335" s="207">
        <v>0.0</v>
      </c>
      <c r="P335" s="189"/>
      <c r="Q335" s="189">
        <f t="shared" si="64"/>
        <v>4900</v>
      </c>
      <c r="R335" s="207" t="s">
        <v>81</v>
      </c>
      <c r="S335" s="93"/>
    </row>
    <row r="336" ht="14.25" customHeight="1">
      <c r="B336" s="179"/>
      <c r="C336" s="165">
        <v>46306.0</v>
      </c>
      <c r="D336" s="167">
        <v>1.0</v>
      </c>
      <c r="E336" s="175">
        <v>3300.0</v>
      </c>
      <c r="F336" s="175"/>
      <c r="G336" s="177"/>
      <c r="H336" s="289"/>
      <c r="I336" s="175">
        <v>1000.0</v>
      </c>
      <c r="J336" s="175"/>
      <c r="K336" s="184">
        <f t="shared" si="65"/>
        <v>0</v>
      </c>
      <c r="L336" s="177"/>
      <c r="M336" s="177"/>
      <c r="N336" s="187">
        <v>2300.0</v>
      </c>
      <c r="O336" s="207">
        <v>-500.0</v>
      </c>
      <c r="P336" s="189"/>
      <c r="Q336" s="189">
        <f t="shared" si="64"/>
        <v>6700</v>
      </c>
      <c r="R336" s="207"/>
      <c r="S336" s="93"/>
    </row>
    <row r="337" ht="14.25" customHeight="1">
      <c r="B337" s="179"/>
      <c r="C337" s="165">
        <v>46338.0</v>
      </c>
      <c r="D337" s="167">
        <v>1.0</v>
      </c>
      <c r="E337" s="175">
        <v>2000.0</v>
      </c>
      <c r="F337" s="175"/>
      <c r="G337" s="177"/>
      <c r="H337" s="179"/>
      <c r="I337" s="175">
        <v>1000.0</v>
      </c>
      <c r="J337" s="175"/>
      <c r="K337" s="184">
        <f t="shared" si="65"/>
        <v>0</v>
      </c>
      <c r="L337" s="177"/>
      <c r="M337" s="177"/>
      <c r="N337" s="187">
        <v>1000.0</v>
      </c>
      <c r="O337" s="207">
        <v>-500.0</v>
      </c>
      <c r="P337" s="189"/>
      <c r="Q337" s="189">
        <f t="shared" si="64"/>
        <v>7200</v>
      </c>
      <c r="R337" s="207"/>
      <c r="S337" s="93"/>
    </row>
    <row r="338" ht="14.25" customHeight="1">
      <c r="B338" s="179"/>
      <c r="C338" s="165">
        <v>46374.0</v>
      </c>
      <c r="D338" s="167">
        <v>6.0</v>
      </c>
      <c r="E338" s="175">
        <f>11700+1050+450+1400</f>
        <v>14600</v>
      </c>
      <c r="F338" s="175"/>
      <c r="G338" s="177"/>
      <c r="H338" s="179"/>
      <c r="I338" s="175">
        <v>3225.0</v>
      </c>
      <c r="J338" s="175"/>
      <c r="K338" s="184">
        <f t="shared" si="65"/>
        <v>0</v>
      </c>
      <c r="L338" s="177"/>
      <c r="M338" s="177"/>
      <c r="N338" s="187">
        <f>1400+9975</f>
        <v>11375</v>
      </c>
      <c r="O338" s="207">
        <v>-500.0</v>
      </c>
      <c r="P338" s="189"/>
      <c r="Q338" s="189">
        <f t="shared" si="64"/>
        <v>18075</v>
      </c>
      <c r="R338" s="207"/>
      <c r="S338" s="93"/>
    </row>
    <row r="339" ht="14.25" customHeight="1">
      <c r="B339" s="222"/>
      <c r="C339" s="223" t="s">
        <v>200</v>
      </c>
      <c r="D339" s="223"/>
      <c r="E339" s="279"/>
      <c r="F339" s="279"/>
      <c r="G339" s="226"/>
      <c r="H339" s="222"/>
      <c r="I339" s="279"/>
      <c r="J339" s="279"/>
      <c r="K339" s="230">
        <f t="shared" si="65"/>
        <v>0</v>
      </c>
      <c r="L339" s="226"/>
      <c r="M339" s="226"/>
      <c r="N339" s="280"/>
      <c r="O339" s="279"/>
      <c r="P339" s="226"/>
      <c r="Q339" s="226">
        <f t="shared" si="64"/>
        <v>18075</v>
      </c>
      <c r="R339" s="279"/>
      <c r="S339" s="93"/>
    </row>
    <row r="340" ht="14.25" customHeight="1">
      <c r="B340" s="179"/>
      <c r="C340" s="167" t="s">
        <v>78</v>
      </c>
      <c r="D340" s="167">
        <v>2.0</v>
      </c>
      <c r="E340" s="175">
        <v>4000.0</v>
      </c>
      <c r="F340" s="175"/>
      <c r="G340" s="177"/>
      <c r="H340" s="179"/>
      <c r="I340" s="175">
        <v>1500.0</v>
      </c>
      <c r="J340" s="175"/>
      <c r="K340" s="184">
        <f t="shared" si="65"/>
        <v>0</v>
      </c>
      <c r="L340" s="177"/>
      <c r="M340" s="175">
        <v>2500.0</v>
      </c>
      <c r="N340" s="187">
        <v>0.0</v>
      </c>
      <c r="O340" s="207">
        <v>-500.0</v>
      </c>
      <c r="P340" s="189"/>
      <c r="Q340" s="189">
        <f t="shared" si="64"/>
        <v>17575</v>
      </c>
      <c r="R340" s="207"/>
      <c r="S340" s="93"/>
    </row>
    <row r="341" ht="14.25" customHeight="1">
      <c r="B341" s="179"/>
      <c r="C341" s="167" t="s">
        <v>41</v>
      </c>
      <c r="D341" s="167">
        <v>1.0</v>
      </c>
      <c r="E341" s="175">
        <v>2800.0</v>
      </c>
      <c r="F341" s="175"/>
      <c r="G341" s="177"/>
      <c r="H341" s="179"/>
      <c r="I341" s="175">
        <v>1000.0</v>
      </c>
      <c r="J341" s="175"/>
      <c r="K341" s="184">
        <f t="shared" si="65"/>
        <v>0</v>
      </c>
      <c r="L341" s="177"/>
      <c r="M341" s="177"/>
      <c r="N341" s="187">
        <v>1800.0</v>
      </c>
      <c r="O341" s="207">
        <v>-500.0</v>
      </c>
      <c r="P341" s="189"/>
      <c r="Q341" s="189">
        <f t="shared" si="64"/>
        <v>18875</v>
      </c>
      <c r="R341" s="207"/>
      <c r="S341" s="93"/>
    </row>
    <row r="342" ht="14.25" customHeight="1">
      <c r="B342" s="222"/>
      <c r="C342" s="223" t="s">
        <v>44</v>
      </c>
      <c r="D342" s="223"/>
      <c r="E342" s="279"/>
      <c r="F342" s="279"/>
      <c r="G342" s="226"/>
      <c r="H342" s="222"/>
      <c r="I342" s="279"/>
      <c r="J342" s="279"/>
      <c r="K342" s="230">
        <f t="shared" si="65"/>
        <v>0</v>
      </c>
      <c r="L342" s="226"/>
      <c r="M342" s="226"/>
      <c r="N342" s="280"/>
      <c r="O342" s="279"/>
      <c r="P342" s="226"/>
      <c r="Q342" s="226">
        <f t="shared" si="64"/>
        <v>18875</v>
      </c>
      <c r="R342" s="279"/>
      <c r="S342" s="93"/>
    </row>
    <row r="343" ht="14.25" customHeight="1">
      <c r="B343" s="179"/>
      <c r="C343" s="167" t="s">
        <v>45</v>
      </c>
      <c r="D343" s="167">
        <v>1.0</v>
      </c>
      <c r="E343" s="175">
        <v>2450.0</v>
      </c>
      <c r="F343" s="175"/>
      <c r="G343" s="177"/>
      <c r="H343" s="289"/>
      <c r="I343" s="175">
        <v>1225.0</v>
      </c>
      <c r="J343" s="175"/>
      <c r="K343" s="184">
        <f t="shared" si="65"/>
        <v>0</v>
      </c>
      <c r="L343" s="177"/>
      <c r="M343" s="177"/>
      <c r="N343" s="187">
        <v>1225.0</v>
      </c>
      <c r="O343" s="207">
        <v>-500.0</v>
      </c>
      <c r="P343" s="189"/>
      <c r="Q343" s="189">
        <f t="shared" si="64"/>
        <v>19600</v>
      </c>
      <c r="R343" s="207"/>
      <c r="S343" s="93"/>
    </row>
    <row r="344" ht="14.25" customHeight="1">
      <c r="B344" s="179"/>
      <c r="C344" s="167" t="s">
        <v>86</v>
      </c>
      <c r="D344" s="167">
        <v>2.0</v>
      </c>
      <c r="E344" s="175">
        <v>5000.0</v>
      </c>
      <c r="F344" s="175"/>
      <c r="G344" s="177"/>
      <c r="H344" s="179"/>
      <c r="I344" s="175">
        <v>1500.0</v>
      </c>
      <c r="J344" s="175"/>
      <c r="K344" s="184">
        <f t="shared" si="65"/>
        <v>0</v>
      </c>
      <c r="L344" s="177"/>
      <c r="M344" s="175">
        <v>3500.0</v>
      </c>
      <c r="N344" s="187">
        <v>0.0</v>
      </c>
      <c r="O344" s="207">
        <v>-500.0</v>
      </c>
      <c r="P344" s="189"/>
      <c r="Q344" s="189">
        <f t="shared" si="64"/>
        <v>19100</v>
      </c>
      <c r="R344" s="207"/>
      <c r="S344" s="93"/>
    </row>
    <row r="345" ht="14.25" customHeight="1">
      <c r="B345" s="179"/>
      <c r="C345" s="167" t="s">
        <v>88</v>
      </c>
      <c r="D345" s="167">
        <v>2.0</v>
      </c>
      <c r="E345" s="175">
        <v>4200.0</v>
      </c>
      <c r="F345" s="175"/>
      <c r="G345" s="177"/>
      <c r="H345" s="179"/>
      <c r="I345" s="175">
        <v>1500.0</v>
      </c>
      <c r="J345" s="175"/>
      <c r="K345" s="184">
        <f t="shared" si="65"/>
        <v>0</v>
      </c>
      <c r="L345" s="177"/>
      <c r="M345" s="177"/>
      <c r="N345" s="187">
        <v>2700.0</v>
      </c>
      <c r="O345" s="207">
        <v>-500.0</v>
      </c>
      <c r="P345" s="189"/>
      <c r="Q345" s="189">
        <f t="shared" si="64"/>
        <v>21300</v>
      </c>
      <c r="R345" s="207"/>
      <c r="S345" s="93"/>
    </row>
    <row r="346" ht="14.25" customHeight="1">
      <c r="B346" s="179"/>
      <c r="C346" s="167" t="s">
        <v>50</v>
      </c>
      <c r="D346" s="167">
        <v>1.0</v>
      </c>
      <c r="E346" s="175">
        <v>2800.0</v>
      </c>
      <c r="F346" s="175">
        <v>450.0</v>
      </c>
      <c r="G346" s="177"/>
      <c r="H346" s="179"/>
      <c r="I346" s="175">
        <v>1200.0</v>
      </c>
      <c r="J346" s="175"/>
      <c r="K346" s="184">
        <f t="shared" si="65"/>
        <v>0</v>
      </c>
      <c r="L346" s="177"/>
      <c r="M346" s="177"/>
      <c r="N346" s="187">
        <v>2050.0</v>
      </c>
      <c r="O346" s="207">
        <v>-500.0</v>
      </c>
      <c r="P346" s="207"/>
      <c r="Q346" s="189">
        <f t="shared" si="64"/>
        <v>22850</v>
      </c>
      <c r="R346" s="207"/>
      <c r="S346" s="93"/>
    </row>
    <row r="347" ht="14.25" customHeight="1">
      <c r="B347" s="179"/>
      <c r="C347" s="167" t="s">
        <v>52</v>
      </c>
      <c r="D347" s="167">
        <v>1.0</v>
      </c>
      <c r="E347" s="175">
        <v>3000.0</v>
      </c>
      <c r="F347" s="175"/>
      <c r="G347" s="177"/>
      <c r="H347" s="179"/>
      <c r="I347" s="175">
        <v>1000.0</v>
      </c>
      <c r="J347" s="175"/>
      <c r="K347" s="184"/>
      <c r="L347" s="177"/>
      <c r="M347" s="175"/>
      <c r="N347" s="187">
        <v>2000.0</v>
      </c>
      <c r="O347" s="207">
        <v>-500.0</v>
      </c>
      <c r="P347" s="207"/>
      <c r="Q347" s="189">
        <f t="shared" si="64"/>
        <v>24350</v>
      </c>
      <c r="R347" s="207"/>
      <c r="S347" s="93"/>
    </row>
    <row r="348" ht="14.25" customHeight="1">
      <c r="B348" s="380"/>
      <c r="C348" s="381"/>
      <c r="D348" s="381"/>
      <c r="E348" s="382"/>
      <c r="F348" s="383"/>
      <c r="G348" s="383"/>
      <c r="H348" s="380"/>
      <c r="I348" s="382"/>
      <c r="J348" s="383"/>
      <c r="K348" s="184"/>
      <c r="L348" s="383"/>
      <c r="M348" s="383"/>
      <c r="N348" s="385"/>
      <c r="O348" s="385"/>
      <c r="P348" s="207">
        <v>-1500.0</v>
      </c>
      <c r="Q348" s="189">
        <f t="shared" si="64"/>
        <v>22850</v>
      </c>
      <c r="R348" s="385" t="s">
        <v>183</v>
      </c>
      <c r="S348" s="93"/>
    </row>
    <row r="349" ht="14.25" customHeight="1">
      <c r="B349" s="265" t="str">
        <f>B329</f>
        <v>MAY</v>
      </c>
      <c r="C349" s="266" t="s">
        <v>66</v>
      </c>
      <c r="D349" s="266">
        <f t="shared" ref="D349:P349" si="66">sum(D329:D348)</f>
        <v>25</v>
      </c>
      <c r="E349" s="268">
        <f t="shared" si="66"/>
        <v>61800</v>
      </c>
      <c r="F349" s="268">
        <f t="shared" si="66"/>
        <v>450</v>
      </c>
      <c r="G349" s="268">
        <f t="shared" si="66"/>
        <v>0</v>
      </c>
      <c r="H349" s="268">
        <f t="shared" si="66"/>
        <v>0</v>
      </c>
      <c r="I349" s="268">
        <f t="shared" si="66"/>
        <v>20150</v>
      </c>
      <c r="J349" s="268">
        <f t="shared" si="66"/>
        <v>0</v>
      </c>
      <c r="K349" s="268">
        <f t="shared" si="66"/>
        <v>0</v>
      </c>
      <c r="L349" s="268">
        <f t="shared" si="66"/>
        <v>0</v>
      </c>
      <c r="M349" s="268">
        <f t="shared" si="66"/>
        <v>10250</v>
      </c>
      <c r="N349" s="268">
        <f t="shared" si="66"/>
        <v>31850</v>
      </c>
      <c r="O349" s="268">
        <f t="shared" si="66"/>
        <v>-7500</v>
      </c>
      <c r="P349" s="268">
        <f t="shared" si="66"/>
        <v>-1500</v>
      </c>
      <c r="Q349" s="271">
        <f>Q348</f>
        <v>22850</v>
      </c>
      <c r="R349" s="272"/>
      <c r="S349" s="93"/>
    </row>
    <row r="350" ht="14.25" customHeight="1">
      <c r="B350" s="289" t="s">
        <v>154</v>
      </c>
      <c r="C350" s="165">
        <v>46024.0</v>
      </c>
      <c r="D350" s="167">
        <v>1.0</v>
      </c>
      <c r="E350" s="389">
        <v>2400.0</v>
      </c>
      <c r="F350" s="175"/>
      <c r="G350" s="177"/>
      <c r="H350" s="179"/>
      <c r="I350" s="175">
        <v>1000.0</v>
      </c>
      <c r="J350" s="175"/>
      <c r="K350" s="184">
        <f t="shared" ref="K350:K355" si="67">E350-I350-L350-M350-N350-J350+F350</f>
        <v>0</v>
      </c>
      <c r="L350" s="177"/>
      <c r="M350" s="177"/>
      <c r="N350" s="187">
        <v>1400.0</v>
      </c>
      <c r="O350" s="207">
        <v>-500.0</v>
      </c>
      <c r="P350" s="189"/>
      <c r="Q350" s="189">
        <f t="shared" ref="Q350:Q369" si="68">Q349+N350+O350+P350</f>
        <v>23750</v>
      </c>
      <c r="R350" s="207"/>
      <c r="S350" s="93"/>
    </row>
    <row r="351" ht="14.25" customHeight="1">
      <c r="B351" s="222"/>
      <c r="C351" s="277">
        <v>46056.0</v>
      </c>
      <c r="D351" s="223"/>
      <c r="E351" s="279"/>
      <c r="F351" s="279"/>
      <c r="G351" s="226"/>
      <c r="H351" s="222"/>
      <c r="I351" s="279"/>
      <c r="J351" s="279"/>
      <c r="K351" s="230">
        <f t="shared" si="67"/>
        <v>0</v>
      </c>
      <c r="L351" s="226"/>
      <c r="M351" s="226"/>
      <c r="N351" s="280"/>
      <c r="O351" s="279"/>
      <c r="P351" s="226"/>
      <c r="Q351" s="226">
        <f t="shared" si="68"/>
        <v>23750</v>
      </c>
      <c r="R351" s="279"/>
      <c r="S351" s="93"/>
    </row>
    <row r="352" ht="14.25" customHeight="1">
      <c r="B352" s="179"/>
      <c r="C352" s="165">
        <v>46085.0</v>
      </c>
      <c r="D352" s="167">
        <v>1.0</v>
      </c>
      <c r="E352" s="175">
        <v>3300.0</v>
      </c>
      <c r="F352" s="175"/>
      <c r="G352" s="177"/>
      <c r="H352" s="179"/>
      <c r="I352" s="175">
        <v>1000.0</v>
      </c>
      <c r="J352" s="175"/>
      <c r="K352" s="184">
        <f t="shared" si="67"/>
        <v>0</v>
      </c>
      <c r="L352" s="177"/>
      <c r="M352" s="177"/>
      <c r="N352" s="187">
        <v>2300.0</v>
      </c>
      <c r="O352" s="207">
        <v>-500.0</v>
      </c>
      <c r="P352" s="189"/>
      <c r="Q352" s="189">
        <f t="shared" si="68"/>
        <v>25550</v>
      </c>
      <c r="R352" s="207"/>
      <c r="S352" s="93"/>
    </row>
    <row r="353" ht="14.25" customHeight="1">
      <c r="B353" s="222"/>
      <c r="C353" s="277">
        <v>46118.0</v>
      </c>
      <c r="D353" s="223"/>
      <c r="E353" s="279"/>
      <c r="F353" s="279"/>
      <c r="G353" s="226"/>
      <c r="H353" s="222"/>
      <c r="I353" s="279"/>
      <c r="J353" s="279"/>
      <c r="K353" s="230">
        <f t="shared" si="67"/>
        <v>0</v>
      </c>
      <c r="L353" s="226"/>
      <c r="M353" s="226"/>
      <c r="N353" s="280"/>
      <c r="O353" s="279"/>
      <c r="P353" s="226"/>
      <c r="Q353" s="226">
        <f t="shared" si="68"/>
        <v>25550</v>
      </c>
      <c r="R353" s="279"/>
      <c r="S353" s="93"/>
    </row>
    <row r="354" ht="14.25" customHeight="1">
      <c r="B354" s="179"/>
      <c r="C354" s="165">
        <v>46180.0</v>
      </c>
      <c r="D354" s="167">
        <v>1.0</v>
      </c>
      <c r="E354" s="175">
        <v>2800.0</v>
      </c>
      <c r="F354" s="175"/>
      <c r="G354" s="175"/>
      <c r="H354" s="179"/>
      <c r="I354" s="175">
        <v>1000.0</v>
      </c>
      <c r="J354" s="175"/>
      <c r="K354" s="184">
        <f t="shared" si="67"/>
        <v>0</v>
      </c>
      <c r="L354" s="177"/>
      <c r="M354" s="175"/>
      <c r="N354" s="187">
        <v>1800.0</v>
      </c>
      <c r="O354" s="207">
        <v>-500.0</v>
      </c>
      <c r="P354" s="189"/>
      <c r="Q354" s="189">
        <f t="shared" si="68"/>
        <v>26850</v>
      </c>
      <c r="R354" s="207"/>
      <c r="S354" s="93"/>
    </row>
    <row r="355" ht="14.25" customHeight="1">
      <c r="B355" s="222"/>
      <c r="C355" s="277">
        <v>46214.0</v>
      </c>
      <c r="D355" s="223"/>
      <c r="E355" s="279"/>
      <c r="F355" s="279"/>
      <c r="G355" s="226"/>
      <c r="H355" s="222"/>
      <c r="I355" s="279"/>
      <c r="J355" s="279"/>
      <c r="K355" s="230">
        <f t="shared" si="67"/>
        <v>0</v>
      </c>
      <c r="L355" s="226"/>
      <c r="M355" s="226"/>
      <c r="N355" s="280"/>
      <c r="O355" s="279"/>
      <c r="P355" s="226"/>
      <c r="Q355" s="226">
        <f t="shared" si="68"/>
        <v>26850</v>
      </c>
      <c r="R355" s="279"/>
      <c r="S355" s="93"/>
    </row>
    <row r="356" ht="14.25" customHeight="1">
      <c r="B356" s="179"/>
      <c r="C356" s="165">
        <v>46338.0</v>
      </c>
      <c r="D356" s="167">
        <v>1.0</v>
      </c>
      <c r="E356" s="175">
        <v>2000.0</v>
      </c>
      <c r="F356" s="175"/>
      <c r="G356" s="177"/>
      <c r="H356" s="289"/>
      <c r="I356" s="175">
        <v>1000.0</v>
      </c>
      <c r="J356" s="175"/>
      <c r="K356" s="184">
        <f t="shared" ref="K356:K367" si="69">E356-I356-L356-M356-N356-J356+F356-P356</f>
        <v>0</v>
      </c>
      <c r="L356" s="177"/>
      <c r="M356" s="177"/>
      <c r="N356" s="187">
        <v>1000.0</v>
      </c>
      <c r="O356" s="207">
        <v>-500.0</v>
      </c>
      <c r="P356" s="189"/>
      <c r="Q356" s="189">
        <f t="shared" si="68"/>
        <v>27350</v>
      </c>
      <c r="R356" s="207"/>
      <c r="S356" s="93"/>
    </row>
    <row r="357" ht="14.25" customHeight="1">
      <c r="B357" s="179"/>
      <c r="C357" s="165">
        <v>46371.0</v>
      </c>
      <c r="D357" s="167">
        <v>3.0</v>
      </c>
      <c r="E357" s="175">
        <v>7300.0</v>
      </c>
      <c r="F357" s="175"/>
      <c r="G357" s="177"/>
      <c r="H357" s="289"/>
      <c r="I357" s="175">
        <v>2000.0</v>
      </c>
      <c r="J357" s="175"/>
      <c r="K357" s="184">
        <f t="shared" si="69"/>
        <v>0</v>
      </c>
      <c r="L357" s="177"/>
      <c r="M357" s="177"/>
      <c r="N357" s="187">
        <v>5300.0</v>
      </c>
      <c r="O357" s="207">
        <v>-500.0</v>
      </c>
      <c r="P357" s="189"/>
      <c r="Q357" s="189">
        <f t="shared" si="68"/>
        <v>32150</v>
      </c>
      <c r="R357" s="207"/>
      <c r="S357" s="93"/>
    </row>
    <row r="358" ht="14.25" customHeight="1">
      <c r="B358" s="222"/>
      <c r="C358" s="223" t="s">
        <v>30</v>
      </c>
      <c r="D358" s="223"/>
      <c r="E358" s="279"/>
      <c r="F358" s="279"/>
      <c r="G358" s="226"/>
      <c r="H358" s="222"/>
      <c r="I358" s="279"/>
      <c r="J358" s="279"/>
      <c r="K358" s="230">
        <f t="shared" si="69"/>
        <v>0</v>
      </c>
      <c r="L358" s="226"/>
      <c r="M358" s="226"/>
      <c r="N358" s="280"/>
      <c r="O358" s="279"/>
      <c r="P358" s="226"/>
      <c r="Q358" s="226">
        <f t="shared" si="68"/>
        <v>32150</v>
      </c>
      <c r="R358" s="279"/>
      <c r="S358" s="93"/>
    </row>
    <row r="359" ht="14.25" customHeight="1">
      <c r="B359" s="179"/>
      <c r="C359" s="167" t="s">
        <v>31</v>
      </c>
      <c r="D359" s="167">
        <v>1.0</v>
      </c>
      <c r="E359" s="175">
        <v>2000.0</v>
      </c>
      <c r="F359" s="175"/>
      <c r="G359" s="177"/>
      <c r="H359" s="179"/>
      <c r="I359" s="175">
        <v>1000.0</v>
      </c>
      <c r="J359" s="175"/>
      <c r="K359" s="184">
        <f t="shared" si="69"/>
        <v>0</v>
      </c>
      <c r="L359" s="177"/>
      <c r="M359" s="177"/>
      <c r="N359" s="187">
        <v>1000.0</v>
      </c>
      <c r="O359" s="207">
        <v>-500.0</v>
      </c>
      <c r="P359" s="189"/>
      <c r="Q359" s="189">
        <f t="shared" si="68"/>
        <v>32650</v>
      </c>
      <c r="R359" s="207"/>
      <c r="S359" s="93"/>
    </row>
    <row r="360" ht="14.25" customHeight="1">
      <c r="B360" s="222"/>
      <c r="C360" s="223" t="s">
        <v>32</v>
      </c>
      <c r="D360" s="223"/>
      <c r="E360" s="279"/>
      <c r="F360" s="279"/>
      <c r="G360" s="226"/>
      <c r="H360" s="222"/>
      <c r="I360" s="279"/>
      <c r="J360" s="279"/>
      <c r="K360" s="230">
        <f t="shared" si="69"/>
        <v>0</v>
      </c>
      <c r="L360" s="226"/>
      <c r="M360" s="226"/>
      <c r="N360" s="280"/>
      <c r="O360" s="279"/>
      <c r="P360" s="226"/>
      <c r="Q360" s="226">
        <f t="shared" si="68"/>
        <v>32650</v>
      </c>
      <c r="R360" s="279"/>
      <c r="S360" s="93"/>
    </row>
    <row r="361" ht="14.25" customHeight="1">
      <c r="B361" s="179"/>
      <c r="C361" s="167" t="s">
        <v>33</v>
      </c>
      <c r="D361" s="167">
        <v>1.0</v>
      </c>
      <c r="E361" s="175">
        <v>2300.0</v>
      </c>
      <c r="F361" s="175"/>
      <c r="G361" s="177"/>
      <c r="H361" s="179"/>
      <c r="I361" s="175">
        <v>1000.0</v>
      </c>
      <c r="J361" s="175"/>
      <c r="K361" s="184">
        <f t="shared" si="69"/>
        <v>0</v>
      </c>
      <c r="L361" s="177"/>
      <c r="M361" s="175"/>
      <c r="N361" s="187">
        <v>1300.0</v>
      </c>
      <c r="O361" s="207">
        <v>-500.0</v>
      </c>
      <c r="P361" s="189"/>
      <c r="Q361" s="189">
        <f t="shared" si="68"/>
        <v>33450</v>
      </c>
      <c r="R361" s="207"/>
      <c r="S361" s="93"/>
    </row>
    <row r="362" ht="14.25" customHeight="1">
      <c r="B362" s="179"/>
      <c r="C362" s="167" t="s">
        <v>34</v>
      </c>
      <c r="D362" s="167">
        <v>1.0</v>
      </c>
      <c r="E362" s="175">
        <v>3250.0</v>
      </c>
      <c r="F362" s="175"/>
      <c r="G362" s="177"/>
      <c r="H362" s="179"/>
      <c r="I362" s="175">
        <v>1000.0</v>
      </c>
      <c r="J362" s="175"/>
      <c r="K362" s="184">
        <f t="shared" si="69"/>
        <v>0</v>
      </c>
      <c r="L362" s="177"/>
      <c r="M362" s="177"/>
      <c r="N362" s="187">
        <v>2250.0</v>
      </c>
      <c r="O362" s="207">
        <v>-500.0</v>
      </c>
      <c r="P362" s="189"/>
      <c r="Q362" s="189">
        <f t="shared" si="68"/>
        <v>35200</v>
      </c>
      <c r="R362" s="207"/>
      <c r="S362" s="93"/>
    </row>
    <row r="363" ht="14.25" customHeight="1">
      <c r="B363" s="179"/>
      <c r="C363" s="167" t="s">
        <v>69</v>
      </c>
      <c r="D363" s="167">
        <v>1.0</v>
      </c>
      <c r="E363" s="175">
        <v>2800.0</v>
      </c>
      <c r="F363" s="175"/>
      <c r="G363" s="177"/>
      <c r="H363" s="289"/>
      <c r="I363" s="175">
        <v>1000.0</v>
      </c>
      <c r="J363" s="175"/>
      <c r="K363" s="184">
        <f t="shared" si="69"/>
        <v>0</v>
      </c>
      <c r="L363" s="177"/>
      <c r="M363" s="177"/>
      <c r="N363" s="187">
        <v>1800.0</v>
      </c>
      <c r="O363" s="207">
        <v>-500.0</v>
      </c>
      <c r="P363" s="189"/>
      <c r="Q363" s="189">
        <f t="shared" si="68"/>
        <v>36500</v>
      </c>
      <c r="R363" s="207"/>
      <c r="S363" s="93"/>
    </row>
    <row r="364" ht="14.25" customHeight="1">
      <c r="B364" s="179"/>
      <c r="C364" s="167" t="s">
        <v>68</v>
      </c>
      <c r="D364" s="167">
        <v>1.0</v>
      </c>
      <c r="E364" s="175">
        <v>3308.86</v>
      </c>
      <c r="F364" s="175"/>
      <c r="G364" s="177"/>
      <c r="H364" s="289"/>
      <c r="I364" s="175"/>
      <c r="J364" s="175">
        <v>3308.86</v>
      </c>
      <c r="K364" s="184">
        <f t="shared" si="69"/>
        <v>0</v>
      </c>
      <c r="L364" s="177"/>
      <c r="M364" s="177"/>
      <c r="N364" s="187"/>
      <c r="O364" s="207">
        <v>-500.0</v>
      </c>
      <c r="P364" s="189"/>
      <c r="Q364" s="189">
        <f t="shared" si="68"/>
        <v>36000</v>
      </c>
      <c r="R364" s="207" t="s">
        <v>42</v>
      </c>
      <c r="S364" s="93"/>
    </row>
    <row r="365" ht="14.25" customHeight="1">
      <c r="B365" s="222"/>
      <c r="C365" s="223" t="s">
        <v>164</v>
      </c>
      <c r="D365" s="223"/>
      <c r="E365" s="279"/>
      <c r="F365" s="279"/>
      <c r="G365" s="226"/>
      <c r="H365" s="222"/>
      <c r="I365" s="279"/>
      <c r="J365" s="279"/>
      <c r="K365" s="230">
        <f t="shared" si="69"/>
        <v>0</v>
      </c>
      <c r="L365" s="226"/>
      <c r="M365" s="226"/>
      <c r="N365" s="280"/>
      <c r="O365" s="279"/>
      <c r="P365" s="226"/>
      <c r="Q365" s="226">
        <f t="shared" si="68"/>
        <v>36000</v>
      </c>
      <c r="R365" s="279"/>
      <c r="S365" s="93"/>
    </row>
    <row r="366" ht="14.25" customHeight="1">
      <c r="B366" s="179"/>
      <c r="C366" s="167" t="s">
        <v>201</v>
      </c>
      <c r="D366" s="167">
        <v>3.0</v>
      </c>
      <c r="E366" s="175">
        <v>6500.0</v>
      </c>
      <c r="F366" s="175"/>
      <c r="G366" s="177"/>
      <c r="H366" s="179"/>
      <c r="I366" s="175">
        <v>2000.0</v>
      </c>
      <c r="J366" s="175"/>
      <c r="K366" s="184">
        <f t="shared" si="69"/>
        <v>0</v>
      </c>
      <c r="L366" s="177"/>
      <c r="M366" s="177"/>
      <c r="N366" s="187">
        <v>4500.0</v>
      </c>
      <c r="O366" s="207">
        <v>-500.0</v>
      </c>
      <c r="P366" s="189"/>
      <c r="Q366" s="189">
        <f t="shared" si="68"/>
        <v>40000</v>
      </c>
      <c r="R366" s="207"/>
      <c r="S366" s="93"/>
    </row>
    <row r="367" ht="14.25" customHeight="1">
      <c r="B367" s="179"/>
      <c r="C367" s="167" t="s">
        <v>73</v>
      </c>
      <c r="D367" s="167">
        <v>1.0</v>
      </c>
      <c r="E367" s="175">
        <v>4000.0</v>
      </c>
      <c r="F367" s="175"/>
      <c r="G367" s="177"/>
      <c r="H367" s="179"/>
      <c r="I367" s="175">
        <v>1000.0</v>
      </c>
      <c r="J367" s="175"/>
      <c r="K367" s="184">
        <f t="shared" si="69"/>
        <v>0</v>
      </c>
      <c r="L367" s="177"/>
      <c r="M367" s="177"/>
      <c r="N367" s="187">
        <v>3000.0</v>
      </c>
      <c r="O367" s="207">
        <v>-500.0</v>
      </c>
      <c r="P367" s="207"/>
      <c r="Q367" s="189">
        <f t="shared" si="68"/>
        <v>42500</v>
      </c>
      <c r="R367" s="207"/>
      <c r="S367" s="93"/>
    </row>
    <row r="368" ht="14.25" customHeight="1">
      <c r="B368" s="179"/>
      <c r="C368" s="167" t="s">
        <v>167</v>
      </c>
      <c r="D368" s="167">
        <v>2.0</v>
      </c>
      <c r="E368" s="175">
        <v>4100.0</v>
      </c>
      <c r="F368" s="175"/>
      <c r="G368" s="177"/>
      <c r="H368" s="179"/>
      <c r="I368" s="175">
        <v>1500.0</v>
      </c>
      <c r="J368" s="175"/>
      <c r="K368" s="184"/>
      <c r="L368" s="177"/>
      <c r="M368" s="175"/>
      <c r="N368" s="187">
        <v>2600.0</v>
      </c>
      <c r="O368" s="207">
        <v>-500.0</v>
      </c>
      <c r="P368" s="207"/>
      <c r="Q368" s="189">
        <f t="shared" si="68"/>
        <v>44600</v>
      </c>
      <c r="R368" s="207"/>
      <c r="S368" s="93"/>
    </row>
    <row r="369" ht="14.25" customHeight="1">
      <c r="B369" s="380"/>
      <c r="C369" s="381"/>
      <c r="D369" s="381"/>
      <c r="E369" s="382"/>
      <c r="F369" s="383"/>
      <c r="G369" s="383"/>
      <c r="H369" s="380"/>
      <c r="I369" s="382"/>
      <c r="J369" s="383"/>
      <c r="K369" s="184"/>
      <c r="L369" s="383"/>
      <c r="M369" s="383"/>
      <c r="N369" s="385"/>
      <c r="O369" s="385"/>
      <c r="P369" s="207">
        <v>-44600.0</v>
      </c>
      <c r="Q369" s="189">
        <f t="shared" si="68"/>
        <v>0</v>
      </c>
      <c r="R369" s="385"/>
      <c r="S369" s="93"/>
    </row>
    <row r="370" ht="14.25" customHeight="1">
      <c r="B370" s="265" t="str">
        <f>B350</f>
        <v>JUN</v>
      </c>
      <c r="C370" s="266" t="s">
        <v>66</v>
      </c>
      <c r="D370" s="266">
        <f t="shared" ref="D370:P370" si="70">sum(D350:D369)</f>
        <v>18</v>
      </c>
      <c r="E370" s="268">
        <f t="shared" si="70"/>
        <v>46058.86</v>
      </c>
      <c r="F370" s="268">
        <f t="shared" si="70"/>
        <v>0</v>
      </c>
      <c r="G370" s="268">
        <f t="shared" si="70"/>
        <v>0</v>
      </c>
      <c r="H370" s="268">
        <f t="shared" si="70"/>
        <v>0</v>
      </c>
      <c r="I370" s="268">
        <f t="shared" si="70"/>
        <v>14500</v>
      </c>
      <c r="J370" s="268">
        <f t="shared" si="70"/>
        <v>3308.86</v>
      </c>
      <c r="K370" s="268">
        <f t="shared" si="70"/>
        <v>0</v>
      </c>
      <c r="L370" s="268">
        <f t="shared" si="70"/>
        <v>0</v>
      </c>
      <c r="M370" s="268">
        <f t="shared" si="70"/>
        <v>0</v>
      </c>
      <c r="N370" s="268">
        <f t="shared" si="70"/>
        <v>28250</v>
      </c>
      <c r="O370" s="268">
        <f t="shared" si="70"/>
        <v>-6500</v>
      </c>
      <c r="P370" s="268">
        <f t="shared" si="70"/>
        <v>-44600</v>
      </c>
      <c r="Q370" s="271">
        <f>Q369</f>
        <v>0</v>
      </c>
      <c r="R370" s="272"/>
      <c r="S370" s="93"/>
    </row>
    <row r="371" ht="14.25" customHeight="1">
      <c r="B371" s="289" t="s">
        <v>172</v>
      </c>
      <c r="C371" s="165">
        <v>46056.0</v>
      </c>
      <c r="D371" s="167">
        <v>1.0</v>
      </c>
      <c r="E371" s="389">
        <v>2750.0</v>
      </c>
      <c r="F371" s="175">
        <v>450.0</v>
      </c>
      <c r="G371" s="177"/>
      <c r="H371" s="179"/>
      <c r="I371" s="175">
        <v>1200.0</v>
      </c>
      <c r="J371" s="175"/>
      <c r="K371" s="184">
        <f t="shared" ref="K371:K376" si="71">E371-I371-L371-M371-N371-J371+F371</f>
        <v>0</v>
      </c>
      <c r="L371" s="177"/>
      <c r="M371" s="177"/>
      <c r="N371" s="187">
        <v>2000.0</v>
      </c>
      <c r="O371" s="207">
        <v>-500.0</v>
      </c>
      <c r="P371" s="189"/>
      <c r="Q371" s="189">
        <f t="shared" ref="Q371:Q394" si="72">Q370+N371+O371+P371</f>
        <v>1500</v>
      </c>
      <c r="R371" s="207"/>
      <c r="S371" s="93"/>
    </row>
    <row r="372" ht="14.25" customHeight="1">
      <c r="B372" s="179"/>
      <c r="C372" s="165">
        <v>46085.0</v>
      </c>
      <c r="D372" s="167">
        <v>1.0</v>
      </c>
      <c r="E372" s="175">
        <v>3000.0</v>
      </c>
      <c r="F372" s="175"/>
      <c r="G372" s="177"/>
      <c r="H372" s="179"/>
      <c r="I372" s="175">
        <v>1000.0</v>
      </c>
      <c r="J372" s="175"/>
      <c r="K372" s="184">
        <f t="shared" si="71"/>
        <v>0</v>
      </c>
      <c r="L372" s="177"/>
      <c r="M372" s="177"/>
      <c r="N372" s="187">
        <v>2000.0</v>
      </c>
      <c r="O372" s="207">
        <v>-500.0</v>
      </c>
      <c r="P372" s="189"/>
      <c r="Q372" s="189">
        <f t="shared" si="72"/>
        <v>3000</v>
      </c>
      <c r="R372" s="207"/>
      <c r="S372" s="93"/>
    </row>
    <row r="373" ht="14.25" customHeight="1">
      <c r="B373" s="179"/>
      <c r="C373" s="165">
        <v>46117.0</v>
      </c>
      <c r="D373" s="167">
        <v>1.0</v>
      </c>
      <c r="E373" s="175">
        <v>2500.0</v>
      </c>
      <c r="F373" s="175"/>
      <c r="G373" s="177"/>
      <c r="H373" s="179"/>
      <c r="I373" s="175">
        <v>1000.0</v>
      </c>
      <c r="J373" s="175"/>
      <c r="K373" s="184">
        <f t="shared" si="71"/>
        <v>0</v>
      </c>
      <c r="L373" s="177"/>
      <c r="M373" s="175">
        <v>1500.0</v>
      </c>
      <c r="N373" s="187"/>
      <c r="O373" s="207">
        <v>-500.0</v>
      </c>
      <c r="P373" s="189"/>
      <c r="Q373" s="189">
        <f t="shared" si="72"/>
        <v>2500</v>
      </c>
      <c r="R373" s="207"/>
      <c r="S373" s="93"/>
    </row>
    <row r="374" ht="14.25" customHeight="1">
      <c r="B374" s="222"/>
      <c r="C374" s="277">
        <v>46149.0</v>
      </c>
      <c r="D374" s="223"/>
      <c r="E374" s="279"/>
      <c r="F374" s="279"/>
      <c r="G374" s="226"/>
      <c r="H374" s="222"/>
      <c r="I374" s="279"/>
      <c r="J374" s="279"/>
      <c r="K374" s="230">
        <f t="shared" si="71"/>
        <v>0</v>
      </c>
      <c r="L374" s="226"/>
      <c r="M374" s="226"/>
      <c r="N374" s="280"/>
      <c r="O374" s="279"/>
      <c r="P374" s="226"/>
      <c r="Q374" s="226">
        <f t="shared" si="72"/>
        <v>2500</v>
      </c>
      <c r="R374" s="279"/>
      <c r="S374" s="93"/>
    </row>
    <row r="375" ht="14.25" customHeight="1">
      <c r="B375" s="179"/>
      <c r="C375" s="165">
        <v>46211.0</v>
      </c>
      <c r="D375" s="167">
        <v>1.0</v>
      </c>
      <c r="E375" s="175">
        <v>1800.0</v>
      </c>
      <c r="F375" s="175"/>
      <c r="G375" s="175"/>
      <c r="H375" s="179"/>
      <c r="I375" s="175">
        <v>800.0</v>
      </c>
      <c r="J375" s="175"/>
      <c r="K375" s="184">
        <f t="shared" si="71"/>
        <v>0</v>
      </c>
      <c r="L375" s="177"/>
      <c r="M375" s="175">
        <v>1000.0</v>
      </c>
      <c r="N375" s="187"/>
      <c r="O375" s="207">
        <v>-500.0</v>
      </c>
      <c r="P375" s="189"/>
      <c r="Q375" s="189">
        <f t="shared" si="72"/>
        <v>2000</v>
      </c>
      <c r="R375" s="207"/>
      <c r="S375" s="93"/>
    </row>
    <row r="376" ht="14.25" customHeight="1">
      <c r="B376" s="222"/>
      <c r="C376" s="277">
        <v>46243.0</v>
      </c>
      <c r="D376" s="223"/>
      <c r="E376" s="279"/>
      <c r="F376" s="279"/>
      <c r="G376" s="226"/>
      <c r="H376" s="222"/>
      <c r="I376" s="279"/>
      <c r="J376" s="279"/>
      <c r="K376" s="230">
        <f t="shared" si="71"/>
        <v>0</v>
      </c>
      <c r="L376" s="226"/>
      <c r="M376" s="226"/>
      <c r="N376" s="280"/>
      <c r="O376" s="279"/>
      <c r="P376" s="226"/>
      <c r="Q376" s="226">
        <f t="shared" si="72"/>
        <v>2000</v>
      </c>
      <c r="R376" s="279"/>
      <c r="S376" s="93"/>
    </row>
    <row r="377" ht="14.25" customHeight="1">
      <c r="B377" s="179"/>
      <c r="C377" s="165">
        <v>46275.0</v>
      </c>
      <c r="D377" s="167">
        <v>1.0</v>
      </c>
      <c r="E377" s="175">
        <v>2000.0</v>
      </c>
      <c r="F377" s="175">
        <v>300.0</v>
      </c>
      <c r="G377" s="177"/>
      <c r="H377" s="289"/>
      <c r="I377" s="175">
        <v>1000.0</v>
      </c>
      <c r="J377" s="175"/>
      <c r="K377" s="184">
        <f t="shared" ref="K377:K390" si="73">E377-I377-L377-M377-N377-J377+F377-P377</f>
        <v>0</v>
      </c>
      <c r="L377" s="177"/>
      <c r="M377" s="175">
        <v>1300.0</v>
      </c>
      <c r="N377" s="187"/>
      <c r="O377" s="207">
        <v>-500.0</v>
      </c>
      <c r="P377" s="189"/>
      <c r="Q377" s="189">
        <f t="shared" si="72"/>
        <v>1500</v>
      </c>
      <c r="R377" s="207"/>
      <c r="S377" s="93"/>
    </row>
    <row r="378" ht="14.25" customHeight="1">
      <c r="B378" s="222"/>
      <c r="C378" s="277">
        <v>46306.0</v>
      </c>
      <c r="D378" s="223"/>
      <c r="E378" s="279"/>
      <c r="F378" s="279"/>
      <c r="G378" s="226"/>
      <c r="H378" s="222"/>
      <c r="I378" s="279"/>
      <c r="J378" s="279"/>
      <c r="K378" s="230">
        <f t="shared" si="73"/>
        <v>0</v>
      </c>
      <c r="L378" s="226"/>
      <c r="M378" s="226"/>
      <c r="N378" s="280"/>
      <c r="O378" s="279"/>
      <c r="P378" s="226"/>
      <c r="Q378" s="226">
        <f t="shared" si="72"/>
        <v>1500</v>
      </c>
      <c r="R378" s="279"/>
      <c r="S378" s="93"/>
    </row>
    <row r="379" ht="14.25" customHeight="1">
      <c r="B379" s="179"/>
      <c r="C379" s="165">
        <v>46338.0</v>
      </c>
      <c r="D379" s="167">
        <v>1.0</v>
      </c>
      <c r="E379" s="175">
        <v>2800.0</v>
      </c>
      <c r="F379" s="175"/>
      <c r="G379" s="177"/>
      <c r="H379" s="179"/>
      <c r="I379" s="175">
        <v>1000.0</v>
      </c>
      <c r="J379" s="175"/>
      <c r="K379" s="184">
        <f t="shared" si="73"/>
        <v>0</v>
      </c>
      <c r="L379" s="177"/>
      <c r="M379" s="175">
        <v>1800.0</v>
      </c>
      <c r="N379" s="187"/>
      <c r="O379" s="207">
        <v>-500.0</v>
      </c>
      <c r="P379" s="189"/>
      <c r="Q379" s="189">
        <f t="shared" si="72"/>
        <v>1000</v>
      </c>
      <c r="R379" s="207"/>
      <c r="S379" s="93"/>
    </row>
    <row r="380" ht="14.25" customHeight="1">
      <c r="B380" s="179"/>
      <c r="C380" s="165">
        <v>46370.0</v>
      </c>
      <c r="D380" s="167">
        <v>2.0</v>
      </c>
      <c r="E380" s="175">
        <v>4300.0</v>
      </c>
      <c r="F380" s="175"/>
      <c r="G380" s="177"/>
      <c r="H380" s="179"/>
      <c r="I380" s="175">
        <v>1500.0</v>
      </c>
      <c r="J380" s="175"/>
      <c r="K380" s="184">
        <f t="shared" si="73"/>
        <v>0</v>
      </c>
      <c r="L380" s="177"/>
      <c r="M380" s="177"/>
      <c r="N380" s="187">
        <v>2800.0</v>
      </c>
      <c r="O380" s="207">
        <v>-500.0</v>
      </c>
      <c r="P380" s="189"/>
      <c r="Q380" s="189">
        <f t="shared" si="72"/>
        <v>3300</v>
      </c>
      <c r="R380" s="207"/>
      <c r="S380" s="93"/>
    </row>
    <row r="381" ht="14.25" customHeight="1">
      <c r="B381" s="179"/>
      <c r="C381" s="167" t="s">
        <v>101</v>
      </c>
      <c r="D381" s="167">
        <v>2.0</v>
      </c>
      <c r="E381" s="175">
        <v>4100.0</v>
      </c>
      <c r="F381" s="175"/>
      <c r="G381" s="177"/>
      <c r="H381" s="179"/>
      <c r="I381" s="175">
        <v>1500.0</v>
      </c>
      <c r="J381" s="175"/>
      <c r="K381" s="184">
        <f t="shared" si="73"/>
        <v>0</v>
      </c>
      <c r="L381" s="177"/>
      <c r="M381" s="175"/>
      <c r="N381" s="187">
        <v>2600.0</v>
      </c>
      <c r="O381" s="207">
        <v>-500.0</v>
      </c>
      <c r="P381" s="189"/>
      <c r="Q381" s="189">
        <f t="shared" si="72"/>
        <v>5400</v>
      </c>
      <c r="R381" s="207"/>
      <c r="S381" s="93"/>
    </row>
    <row r="382" ht="14.25" customHeight="1">
      <c r="B382" s="222"/>
      <c r="C382" s="223" t="s">
        <v>31</v>
      </c>
      <c r="D382" s="223"/>
      <c r="E382" s="279"/>
      <c r="F382" s="279"/>
      <c r="G382" s="226"/>
      <c r="H382" s="222"/>
      <c r="I382" s="279"/>
      <c r="J382" s="279"/>
      <c r="K382" s="230">
        <f t="shared" si="73"/>
        <v>0</v>
      </c>
      <c r="L382" s="226"/>
      <c r="M382" s="226"/>
      <c r="N382" s="280"/>
      <c r="O382" s="279"/>
      <c r="P382" s="226"/>
      <c r="Q382" s="226">
        <f t="shared" si="72"/>
        <v>5400</v>
      </c>
      <c r="R382" s="279"/>
      <c r="S382" s="93"/>
    </row>
    <row r="383" ht="14.25" customHeight="1">
      <c r="B383" s="179"/>
      <c r="C383" s="167" t="s">
        <v>32</v>
      </c>
      <c r="D383" s="167">
        <v>1.0</v>
      </c>
      <c r="E383" s="175"/>
      <c r="F383" s="175"/>
      <c r="G383" s="177"/>
      <c r="H383" s="289" t="s">
        <v>329</v>
      </c>
      <c r="I383" s="175"/>
      <c r="J383" s="175"/>
      <c r="K383" s="184">
        <f t="shared" si="73"/>
        <v>0</v>
      </c>
      <c r="L383" s="177"/>
      <c r="M383" s="177"/>
      <c r="N383" s="187"/>
      <c r="O383" s="207">
        <v>-500.0</v>
      </c>
      <c r="P383" s="189"/>
      <c r="Q383" s="189">
        <f t="shared" si="72"/>
        <v>4900</v>
      </c>
      <c r="R383" s="207"/>
      <c r="S383" s="93"/>
    </row>
    <row r="384" ht="14.25" customHeight="1">
      <c r="B384" s="179"/>
      <c r="C384" s="167" t="s">
        <v>33</v>
      </c>
      <c r="D384" s="167">
        <v>1.0</v>
      </c>
      <c r="E384" s="175">
        <v>3750.0</v>
      </c>
      <c r="F384" s="175">
        <v>500.0</v>
      </c>
      <c r="G384" s="177"/>
      <c r="H384" s="289"/>
      <c r="I384" s="175">
        <v>1250.0</v>
      </c>
      <c r="J384" s="175"/>
      <c r="K384" s="184">
        <f t="shared" si="73"/>
        <v>0</v>
      </c>
      <c r="L384" s="177"/>
      <c r="M384" s="175">
        <v>3000.0</v>
      </c>
      <c r="N384" s="187"/>
      <c r="O384" s="207">
        <v>-500.0</v>
      </c>
      <c r="P384" s="189"/>
      <c r="Q384" s="189">
        <f t="shared" si="72"/>
        <v>4400</v>
      </c>
      <c r="R384" s="207"/>
      <c r="S384" s="93"/>
    </row>
    <row r="385" ht="14.25" customHeight="1">
      <c r="B385" s="222"/>
      <c r="C385" s="223" t="s">
        <v>64</v>
      </c>
      <c r="D385" s="223"/>
      <c r="E385" s="279"/>
      <c r="F385" s="279"/>
      <c r="G385" s="226"/>
      <c r="H385" s="222"/>
      <c r="I385" s="279"/>
      <c r="J385" s="279"/>
      <c r="K385" s="230">
        <f t="shared" si="73"/>
        <v>0</v>
      </c>
      <c r="L385" s="226"/>
      <c r="M385" s="226"/>
      <c r="N385" s="280"/>
      <c r="O385" s="279"/>
      <c r="P385" s="226"/>
      <c r="Q385" s="226">
        <f t="shared" si="72"/>
        <v>4400</v>
      </c>
      <c r="R385" s="279"/>
      <c r="S385" s="93"/>
    </row>
    <row r="386" ht="14.25" customHeight="1">
      <c r="B386" s="179"/>
      <c r="C386" s="167" t="s">
        <v>68</v>
      </c>
      <c r="D386" s="167">
        <v>1.0</v>
      </c>
      <c r="E386" s="175">
        <v>2300.0</v>
      </c>
      <c r="F386" s="175"/>
      <c r="G386" s="177"/>
      <c r="H386" s="179"/>
      <c r="I386" s="175">
        <v>1000.0</v>
      </c>
      <c r="J386" s="175"/>
      <c r="K386" s="184">
        <f t="shared" si="73"/>
        <v>0</v>
      </c>
      <c r="L386" s="177"/>
      <c r="M386" s="177"/>
      <c r="N386" s="187">
        <v>1300.0</v>
      </c>
      <c r="O386" s="207">
        <v>-500.0</v>
      </c>
      <c r="P386" s="189"/>
      <c r="Q386" s="189">
        <f t="shared" si="72"/>
        <v>5200</v>
      </c>
      <c r="R386" s="207"/>
      <c r="S386" s="93"/>
    </row>
    <row r="387" ht="14.25" customHeight="1">
      <c r="B387" s="222"/>
      <c r="C387" s="223" t="s">
        <v>164</v>
      </c>
      <c r="D387" s="223"/>
      <c r="E387" s="279"/>
      <c r="F387" s="279"/>
      <c r="G387" s="226"/>
      <c r="H387" s="222"/>
      <c r="I387" s="279"/>
      <c r="J387" s="279"/>
      <c r="K387" s="230">
        <f t="shared" si="73"/>
        <v>0</v>
      </c>
      <c r="L387" s="226"/>
      <c r="M387" s="226"/>
      <c r="N387" s="280"/>
      <c r="O387" s="279"/>
      <c r="P387" s="226"/>
      <c r="Q387" s="226">
        <f t="shared" si="72"/>
        <v>5200</v>
      </c>
      <c r="R387" s="279"/>
      <c r="S387" s="93"/>
    </row>
    <row r="388" ht="14.25" customHeight="1">
      <c r="B388" s="179"/>
      <c r="C388" s="167" t="s">
        <v>45</v>
      </c>
      <c r="D388" s="167">
        <v>1.0</v>
      </c>
      <c r="E388" s="175">
        <v>2800.0</v>
      </c>
      <c r="F388" s="175"/>
      <c r="G388" s="177"/>
      <c r="H388" s="179"/>
      <c r="I388" s="175">
        <v>1000.0</v>
      </c>
      <c r="J388" s="175"/>
      <c r="K388" s="184">
        <f t="shared" si="73"/>
        <v>0</v>
      </c>
      <c r="L388" s="177"/>
      <c r="M388" s="177"/>
      <c r="N388" s="187">
        <v>1800.0</v>
      </c>
      <c r="O388" s="207">
        <v>-500.0</v>
      </c>
      <c r="P388" s="207"/>
      <c r="Q388" s="189">
        <f t="shared" si="72"/>
        <v>6500</v>
      </c>
      <c r="R388" s="207"/>
      <c r="S388" s="93"/>
    </row>
    <row r="389" ht="14.25" customHeight="1">
      <c r="B389" s="179"/>
      <c r="C389" s="167" t="s">
        <v>47</v>
      </c>
      <c r="D389" s="167">
        <v>1.0</v>
      </c>
      <c r="E389" s="175">
        <v>2900.0</v>
      </c>
      <c r="F389" s="175"/>
      <c r="G389" s="177"/>
      <c r="H389" s="179"/>
      <c r="I389" s="175">
        <v>1000.0</v>
      </c>
      <c r="J389" s="175"/>
      <c r="K389" s="184">
        <f t="shared" si="73"/>
        <v>0</v>
      </c>
      <c r="L389" s="177"/>
      <c r="M389" s="175">
        <v>1500.0</v>
      </c>
      <c r="N389" s="187">
        <f>400</f>
        <v>400</v>
      </c>
      <c r="O389" s="207">
        <v>-500.0</v>
      </c>
      <c r="P389" s="207"/>
      <c r="Q389" s="189">
        <f t="shared" si="72"/>
        <v>6400</v>
      </c>
      <c r="R389" s="207" t="s">
        <v>125</v>
      </c>
      <c r="S389" s="93"/>
    </row>
    <row r="390" ht="14.25" customHeight="1">
      <c r="B390" s="222"/>
      <c r="C390" s="223" t="s">
        <v>72</v>
      </c>
      <c r="D390" s="223"/>
      <c r="E390" s="279"/>
      <c r="F390" s="279"/>
      <c r="G390" s="226"/>
      <c r="H390" s="222"/>
      <c r="I390" s="279"/>
      <c r="J390" s="279"/>
      <c r="K390" s="230">
        <f t="shared" si="73"/>
        <v>0</v>
      </c>
      <c r="L390" s="226"/>
      <c r="M390" s="226"/>
      <c r="N390" s="280"/>
      <c r="O390" s="279"/>
      <c r="P390" s="226"/>
      <c r="Q390" s="226">
        <f t="shared" si="72"/>
        <v>6400</v>
      </c>
      <c r="R390" s="279"/>
      <c r="S390" s="93"/>
    </row>
    <row r="391" ht="14.25" customHeight="1">
      <c r="B391" s="179"/>
      <c r="C391" s="167" t="s">
        <v>73</v>
      </c>
      <c r="D391" s="167">
        <v>1.0</v>
      </c>
      <c r="E391" s="175">
        <v>2300.0</v>
      </c>
      <c r="F391" s="175"/>
      <c r="G391" s="177"/>
      <c r="H391" s="179"/>
      <c r="I391" s="175">
        <v>1000.0</v>
      </c>
      <c r="J391" s="175"/>
      <c r="K391" s="184"/>
      <c r="L391" s="177"/>
      <c r="M391" s="175"/>
      <c r="N391" s="187">
        <v>1300.0</v>
      </c>
      <c r="O391" s="207">
        <v>-500.0</v>
      </c>
      <c r="P391" s="207"/>
      <c r="Q391" s="189">
        <f t="shared" si="72"/>
        <v>7200</v>
      </c>
      <c r="R391" s="207"/>
      <c r="S391" s="93"/>
    </row>
    <row r="392" ht="14.25" customHeight="1">
      <c r="B392" s="179"/>
      <c r="C392" s="167" t="s">
        <v>137</v>
      </c>
      <c r="D392" s="167"/>
      <c r="E392" s="175"/>
      <c r="F392" s="175"/>
      <c r="G392" s="177"/>
      <c r="H392" s="179"/>
      <c r="I392" s="175"/>
      <c r="J392" s="175"/>
      <c r="K392" s="184"/>
      <c r="L392" s="177"/>
      <c r="M392" s="175"/>
      <c r="N392" s="187"/>
      <c r="O392" s="207">
        <v>-500.0</v>
      </c>
      <c r="P392" s="207">
        <v>-1200.0</v>
      </c>
      <c r="Q392" s="189">
        <f t="shared" si="72"/>
        <v>5500</v>
      </c>
      <c r="R392" s="207" t="s">
        <v>332</v>
      </c>
      <c r="S392" s="93"/>
    </row>
    <row r="393" ht="14.25" customHeight="1">
      <c r="B393" s="179"/>
      <c r="C393" s="167" t="s">
        <v>52</v>
      </c>
      <c r="D393" s="167">
        <v>1.0</v>
      </c>
      <c r="E393" s="175">
        <v>3250.0</v>
      </c>
      <c r="F393" s="175"/>
      <c r="G393" s="177"/>
      <c r="H393" s="179"/>
      <c r="I393" s="175">
        <v>1000.0</v>
      </c>
      <c r="J393" s="175"/>
      <c r="K393" s="184">
        <f t="shared" ref="K393:K394" si="74">E393-I393-L393-M393-N393-J393+F393-P393</f>
        <v>0</v>
      </c>
      <c r="L393" s="177"/>
      <c r="M393" s="175"/>
      <c r="N393" s="187">
        <v>2250.0</v>
      </c>
      <c r="O393" s="207">
        <v>-500.0</v>
      </c>
      <c r="P393" s="207"/>
      <c r="Q393" s="189">
        <f t="shared" si="72"/>
        <v>7250</v>
      </c>
      <c r="R393" s="207"/>
      <c r="S393" s="93"/>
    </row>
    <row r="394" ht="14.25" customHeight="1">
      <c r="B394" s="380"/>
      <c r="C394" s="381"/>
      <c r="D394" s="381"/>
      <c r="E394" s="382"/>
      <c r="F394" s="383"/>
      <c r="G394" s="383"/>
      <c r="H394" s="380"/>
      <c r="I394" s="382"/>
      <c r="J394" s="383"/>
      <c r="K394" s="184">
        <f t="shared" si="74"/>
        <v>7250</v>
      </c>
      <c r="L394" s="383"/>
      <c r="M394" s="383"/>
      <c r="N394" s="385"/>
      <c r="O394" s="385"/>
      <c r="P394" s="207">
        <v>-7250.0</v>
      </c>
      <c r="Q394" s="189">
        <f t="shared" si="72"/>
        <v>0</v>
      </c>
      <c r="R394" s="385"/>
      <c r="S394" s="93"/>
    </row>
    <row r="395" ht="14.25" customHeight="1">
      <c r="B395" s="265" t="str">
        <f>B371</f>
        <v>JUL</v>
      </c>
      <c r="C395" s="266" t="s">
        <v>66</v>
      </c>
      <c r="D395" s="266">
        <f t="shared" ref="D395:P395" si="75">sum(D371:D394)</f>
        <v>17</v>
      </c>
      <c r="E395" s="268">
        <f t="shared" si="75"/>
        <v>40550</v>
      </c>
      <c r="F395" s="268">
        <f t="shared" si="75"/>
        <v>1250</v>
      </c>
      <c r="G395" s="268">
        <f t="shared" si="75"/>
        <v>0</v>
      </c>
      <c r="H395" s="268">
        <f t="shared" si="75"/>
        <v>0</v>
      </c>
      <c r="I395" s="268">
        <f t="shared" si="75"/>
        <v>15250</v>
      </c>
      <c r="J395" s="268">
        <f t="shared" si="75"/>
        <v>0</v>
      </c>
      <c r="K395" s="268">
        <f t="shared" si="75"/>
        <v>7250</v>
      </c>
      <c r="L395" s="268">
        <f t="shared" si="75"/>
        <v>0</v>
      </c>
      <c r="M395" s="268">
        <f t="shared" si="75"/>
        <v>10100</v>
      </c>
      <c r="N395" s="268">
        <f t="shared" si="75"/>
        <v>16450</v>
      </c>
      <c r="O395" s="268">
        <f t="shared" si="75"/>
        <v>-8000</v>
      </c>
      <c r="P395" s="268">
        <f t="shared" si="75"/>
        <v>-8450</v>
      </c>
      <c r="Q395" s="271">
        <f>Q394</f>
        <v>0</v>
      </c>
      <c r="R395" s="272"/>
      <c r="S395" s="93"/>
    </row>
    <row r="396" ht="14.25" customHeight="1">
      <c r="B396" s="289" t="s">
        <v>260</v>
      </c>
      <c r="C396" s="165">
        <v>46024.0</v>
      </c>
      <c r="D396" s="167">
        <v>1.0</v>
      </c>
      <c r="E396" s="389">
        <v>3850.0</v>
      </c>
      <c r="F396" s="175"/>
      <c r="G396" s="177"/>
      <c r="H396" s="179"/>
      <c r="I396" s="175">
        <v>1000.0</v>
      </c>
      <c r="J396" s="175"/>
      <c r="K396" s="184">
        <f t="shared" ref="K396:K419" si="76">E396-I396-L396-M396-N396-J396+F396-P396</f>
        <v>0</v>
      </c>
      <c r="L396" s="177"/>
      <c r="M396" s="177"/>
      <c r="N396" s="187">
        <v>2850.0</v>
      </c>
      <c r="O396" s="207">
        <v>-500.0</v>
      </c>
      <c r="P396" s="189"/>
      <c r="Q396" s="189">
        <f t="shared" ref="Q396:Q419" si="77">Q395+N396+O396+P396</f>
        <v>2350</v>
      </c>
      <c r="R396" s="207"/>
      <c r="S396" s="93"/>
    </row>
    <row r="397" ht="14.25" customHeight="1">
      <c r="B397" s="222"/>
      <c r="C397" s="277">
        <v>46056.0</v>
      </c>
      <c r="D397" s="223"/>
      <c r="E397" s="279"/>
      <c r="F397" s="279"/>
      <c r="G397" s="226"/>
      <c r="H397" s="222"/>
      <c r="I397" s="279"/>
      <c r="J397" s="279"/>
      <c r="K397" s="230">
        <f t="shared" si="76"/>
        <v>0</v>
      </c>
      <c r="L397" s="226"/>
      <c r="M397" s="226"/>
      <c r="N397" s="280"/>
      <c r="O397" s="279"/>
      <c r="P397" s="226"/>
      <c r="Q397" s="226">
        <f t="shared" si="77"/>
        <v>2350</v>
      </c>
      <c r="R397" s="279"/>
      <c r="S397" s="93"/>
    </row>
    <row r="398" ht="14.25" customHeight="1">
      <c r="B398" s="179"/>
      <c r="C398" s="165">
        <v>46085.0</v>
      </c>
      <c r="D398" s="167">
        <v>1.0</v>
      </c>
      <c r="E398" s="175">
        <v>2300.0</v>
      </c>
      <c r="F398" s="175"/>
      <c r="G398" s="177"/>
      <c r="H398" s="179"/>
      <c r="I398" s="175">
        <v>1000.0</v>
      </c>
      <c r="J398" s="175"/>
      <c r="K398" s="184">
        <f t="shared" si="76"/>
        <v>0</v>
      </c>
      <c r="L398" s="177"/>
      <c r="M398" s="175"/>
      <c r="N398" s="187">
        <v>1300.0</v>
      </c>
      <c r="O398" s="207">
        <v>-500.0</v>
      </c>
      <c r="P398" s="189"/>
      <c r="Q398" s="189">
        <f t="shared" si="77"/>
        <v>3150</v>
      </c>
      <c r="R398" s="207"/>
      <c r="S398" s="93"/>
    </row>
    <row r="399" ht="14.25" customHeight="1">
      <c r="B399" s="222"/>
      <c r="C399" s="277">
        <v>46117.0</v>
      </c>
      <c r="D399" s="223"/>
      <c r="E399" s="279"/>
      <c r="F399" s="279"/>
      <c r="G399" s="226"/>
      <c r="H399" s="222"/>
      <c r="I399" s="279"/>
      <c r="J399" s="279"/>
      <c r="K399" s="230">
        <f t="shared" si="76"/>
        <v>0</v>
      </c>
      <c r="L399" s="226"/>
      <c r="M399" s="226"/>
      <c r="N399" s="280"/>
      <c r="O399" s="279"/>
      <c r="P399" s="226"/>
      <c r="Q399" s="226">
        <f t="shared" si="77"/>
        <v>3150</v>
      </c>
      <c r="R399" s="279"/>
      <c r="S399" s="93"/>
    </row>
    <row r="400" ht="14.25" customHeight="1">
      <c r="B400" s="179"/>
      <c r="C400" s="165">
        <v>46148.0</v>
      </c>
      <c r="D400" s="167">
        <v>1.0</v>
      </c>
      <c r="E400" s="175">
        <v>2000.0</v>
      </c>
      <c r="F400" s="175">
        <v>450.0</v>
      </c>
      <c r="G400" s="175"/>
      <c r="H400" s="179"/>
      <c r="I400" s="175">
        <v>1225.0</v>
      </c>
      <c r="J400" s="175"/>
      <c r="K400" s="184">
        <f t="shared" si="76"/>
        <v>0</v>
      </c>
      <c r="L400" s="177"/>
      <c r="M400" s="175"/>
      <c r="N400" s="187">
        <v>1225.0</v>
      </c>
      <c r="O400" s="207">
        <v>-500.0</v>
      </c>
      <c r="P400" s="189"/>
      <c r="Q400" s="189">
        <f t="shared" si="77"/>
        <v>3875</v>
      </c>
      <c r="R400" s="207"/>
      <c r="S400" s="93"/>
    </row>
    <row r="401" ht="14.25" customHeight="1">
      <c r="B401" s="222"/>
      <c r="C401" s="277">
        <v>46180.0</v>
      </c>
      <c r="D401" s="223"/>
      <c r="E401" s="279"/>
      <c r="F401" s="279"/>
      <c r="G401" s="226"/>
      <c r="H401" s="222"/>
      <c r="I401" s="279"/>
      <c r="J401" s="279"/>
      <c r="K401" s="230">
        <f t="shared" si="76"/>
        <v>0</v>
      </c>
      <c r="L401" s="226"/>
      <c r="M401" s="226"/>
      <c r="N401" s="280"/>
      <c r="O401" s="279"/>
      <c r="P401" s="226"/>
      <c r="Q401" s="226">
        <f t="shared" si="77"/>
        <v>3875</v>
      </c>
      <c r="R401" s="279"/>
      <c r="S401" s="93"/>
    </row>
    <row r="402" ht="14.25" customHeight="1">
      <c r="B402" s="179"/>
      <c r="C402" s="165">
        <v>46211.0</v>
      </c>
      <c r="D402" s="167">
        <v>1.0</v>
      </c>
      <c r="E402" s="175">
        <v>2000.0</v>
      </c>
      <c r="F402" s="175"/>
      <c r="G402" s="177"/>
      <c r="H402" s="289"/>
      <c r="I402" s="175">
        <v>1000.0</v>
      </c>
      <c r="J402" s="175"/>
      <c r="K402" s="184">
        <f t="shared" si="76"/>
        <v>0</v>
      </c>
      <c r="L402" s="177"/>
      <c r="M402" s="175"/>
      <c r="N402" s="187">
        <v>1000.0</v>
      </c>
      <c r="O402" s="207">
        <v>-500.0</v>
      </c>
      <c r="P402" s="189"/>
      <c r="Q402" s="189">
        <f t="shared" si="77"/>
        <v>4375</v>
      </c>
      <c r="R402" s="207"/>
      <c r="S402" s="93"/>
    </row>
    <row r="403" ht="14.25" customHeight="1">
      <c r="B403" s="179"/>
      <c r="C403" s="165">
        <v>46243.0</v>
      </c>
      <c r="D403" s="167">
        <v>1.0</v>
      </c>
      <c r="E403" s="175">
        <v>3850.0</v>
      </c>
      <c r="F403" s="175"/>
      <c r="G403" s="177"/>
      <c r="H403" s="179"/>
      <c r="I403" s="175">
        <v>1000.0</v>
      </c>
      <c r="J403" s="175"/>
      <c r="K403" s="184">
        <f t="shared" si="76"/>
        <v>0</v>
      </c>
      <c r="L403" s="177"/>
      <c r="M403" s="175"/>
      <c r="N403" s="187">
        <v>2850.0</v>
      </c>
      <c r="O403" s="207">
        <v>-500.0</v>
      </c>
      <c r="P403" s="189"/>
      <c r="Q403" s="189">
        <f t="shared" si="77"/>
        <v>6725</v>
      </c>
      <c r="R403" s="207"/>
      <c r="S403" s="93"/>
    </row>
    <row r="404" ht="14.25" customHeight="1">
      <c r="B404" s="222"/>
      <c r="C404" s="277">
        <v>46276.0</v>
      </c>
      <c r="D404" s="223"/>
      <c r="E404" s="279"/>
      <c r="F404" s="279"/>
      <c r="G404" s="226"/>
      <c r="H404" s="222"/>
      <c r="I404" s="279"/>
      <c r="J404" s="279"/>
      <c r="K404" s="230">
        <f t="shared" si="76"/>
        <v>0</v>
      </c>
      <c r="L404" s="226"/>
      <c r="M404" s="226"/>
      <c r="N404" s="280"/>
      <c r="O404" s="279"/>
      <c r="P404" s="226"/>
      <c r="Q404" s="226">
        <f t="shared" si="77"/>
        <v>6725</v>
      </c>
      <c r="R404" s="279"/>
      <c r="S404" s="93"/>
    </row>
    <row r="405" ht="14.25" customHeight="1">
      <c r="B405" s="179"/>
      <c r="C405" s="165">
        <v>46338.0</v>
      </c>
      <c r="D405" s="167">
        <v>1.0</v>
      </c>
      <c r="E405" s="175">
        <v>2000.0</v>
      </c>
      <c r="F405" s="175">
        <v>350.0</v>
      </c>
      <c r="G405" s="177"/>
      <c r="H405" s="179"/>
      <c r="I405" s="175">
        <v>1350.0</v>
      </c>
      <c r="J405" s="175"/>
      <c r="K405" s="184">
        <f t="shared" si="76"/>
        <v>0</v>
      </c>
      <c r="L405" s="177"/>
      <c r="M405" s="177"/>
      <c r="N405" s="187">
        <v>1000.0</v>
      </c>
      <c r="O405" s="207">
        <v>-500.0</v>
      </c>
      <c r="P405" s="189"/>
      <c r="Q405" s="189">
        <f t="shared" si="77"/>
        <v>7225</v>
      </c>
      <c r="R405" s="207"/>
      <c r="S405" s="93"/>
    </row>
    <row r="406" ht="14.25" customHeight="1">
      <c r="B406" s="179"/>
      <c r="C406" s="165">
        <v>46369.0</v>
      </c>
      <c r="D406" s="167">
        <v>1.0</v>
      </c>
      <c r="E406" s="175">
        <v>2000.0</v>
      </c>
      <c r="F406" s="175"/>
      <c r="G406" s="177"/>
      <c r="H406" s="179"/>
      <c r="I406" s="175">
        <v>1000.0</v>
      </c>
      <c r="J406" s="175"/>
      <c r="K406" s="184">
        <f t="shared" si="76"/>
        <v>0</v>
      </c>
      <c r="L406" s="177"/>
      <c r="M406" s="175"/>
      <c r="N406" s="187">
        <v>1000.0</v>
      </c>
      <c r="O406" s="207">
        <v>-500.0</v>
      </c>
      <c r="P406" s="189"/>
      <c r="Q406" s="189">
        <f t="shared" si="77"/>
        <v>7725</v>
      </c>
      <c r="R406" s="207"/>
      <c r="S406" s="93"/>
    </row>
    <row r="407" ht="14.25" customHeight="1">
      <c r="B407" s="222"/>
      <c r="C407" s="223" t="s">
        <v>117</v>
      </c>
      <c r="D407" s="223"/>
      <c r="E407" s="279"/>
      <c r="F407" s="279"/>
      <c r="G407" s="226"/>
      <c r="H407" s="222"/>
      <c r="I407" s="279"/>
      <c r="J407" s="279"/>
      <c r="K407" s="230">
        <f t="shared" si="76"/>
        <v>0</v>
      </c>
      <c r="L407" s="226"/>
      <c r="M407" s="226"/>
      <c r="N407" s="280"/>
      <c r="O407" s="279"/>
      <c r="P407" s="226"/>
      <c r="Q407" s="226">
        <f t="shared" si="77"/>
        <v>7725</v>
      </c>
      <c r="R407" s="279"/>
      <c r="S407" s="93"/>
    </row>
    <row r="408" ht="14.25" customHeight="1">
      <c r="B408" s="179"/>
      <c r="C408" s="167" t="s">
        <v>54</v>
      </c>
      <c r="D408" s="167">
        <v>2.0</v>
      </c>
      <c r="E408" s="175">
        <v>5000.0</v>
      </c>
      <c r="F408" s="175"/>
      <c r="G408" s="177"/>
      <c r="H408" s="289"/>
      <c r="I408" s="175">
        <v>1500.0</v>
      </c>
      <c r="J408" s="175"/>
      <c r="K408" s="184">
        <f t="shared" si="76"/>
        <v>0</v>
      </c>
      <c r="L408" s="177"/>
      <c r="M408" s="175">
        <v>3500.0</v>
      </c>
      <c r="N408" s="187"/>
      <c r="O408" s="207">
        <v>-500.0</v>
      </c>
      <c r="P408" s="189"/>
      <c r="Q408" s="189">
        <f t="shared" si="77"/>
        <v>7225</v>
      </c>
      <c r="R408" s="207"/>
      <c r="S408" s="93"/>
    </row>
    <row r="409" ht="14.25" customHeight="1">
      <c r="B409" s="222"/>
      <c r="C409" s="223" t="s">
        <v>56</v>
      </c>
      <c r="D409" s="223"/>
      <c r="E409" s="279"/>
      <c r="F409" s="279"/>
      <c r="G409" s="226"/>
      <c r="H409" s="222"/>
      <c r="I409" s="279"/>
      <c r="J409" s="279"/>
      <c r="K409" s="230">
        <f t="shared" si="76"/>
        <v>0</v>
      </c>
      <c r="L409" s="226"/>
      <c r="M409" s="226"/>
      <c r="N409" s="280"/>
      <c r="O409" s="279"/>
      <c r="P409" s="226"/>
      <c r="Q409" s="226">
        <f t="shared" si="77"/>
        <v>7225</v>
      </c>
      <c r="R409" s="279"/>
      <c r="S409" s="93"/>
    </row>
    <row r="410" ht="14.25" customHeight="1">
      <c r="B410" s="179"/>
      <c r="C410" s="167" t="s">
        <v>34</v>
      </c>
      <c r="D410" s="167">
        <v>1.0</v>
      </c>
      <c r="E410" s="175">
        <v>1800.0</v>
      </c>
      <c r="F410" s="175"/>
      <c r="G410" s="177"/>
      <c r="H410" s="289"/>
      <c r="I410" s="175"/>
      <c r="J410" s="175"/>
      <c r="K410" s="184">
        <f t="shared" si="76"/>
        <v>0</v>
      </c>
      <c r="L410" s="177"/>
      <c r="M410" s="175"/>
      <c r="N410" s="187">
        <v>1800.0</v>
      </c>
      <c r="O410" s="207">
        <v>-500.0</v>
      </c>
      <c r="P410" s="189"/>
      <c r="Q410" s="189">
        <f t="shared" si="77"/>
        <v>8525</v>
      </c>
      <c r="R410" s="207"/>
      <c r="S410" s="93"/>
    </row>
    <row r="411" ht="14.25" customHeight="1">
      <c r="B411" s="222"/>
      <c r="C411" s="223" t="s">
        <v>69</v>
      </c>
      <c r="D411" s="223"/>
      <c r="E411" s="279"/>
      <c r="F411" s="279"/>
      <c r="G411" s="226"/>
      <c r="H411" s="222"/>
      <c r="I411" s="279"/>
      <c r="J411" s="279"/>
      <c r="K411" s="230">
        <f t="shared" si="76"/>
        <v>0</v>
      </c>
      <c r="L411" s="226"/>
      <c r="M411" s="226"/>
      <c r="N411" s="280"/>
      <c r="O411" s="279"/>
      <c r="P411" s="226"/>
      <c r="Q411" s="226">
        <f t="shared" si="77"/>
        <v>8525</v>
      </c>
      <c r="R411" s="279"/>
      <c r="S411" s="93"/>
    </row>
    <row r="412" ht="14.25" customHeight="1">
      <c r="B412" s="179"/>
      <c r="C412" s="167" t="s">
        <v>68</v>
      </c>
      <c r="D412" s="167">
        <v>1.0</v>
      </c>
      <c r="E412" s="175">
        <v>2800.0</v>
      </c>
      <c r="F412" s="175"/>
      <c r="G412" s="177"/>
      <c r="H412" s="179"/>
      <c r="I412" s="175">
        <v>1000.0</v>
      </c>
      <c r="J412" s="175"/>
      <c r="K412" s="184">
        <f t="shared" si="76"/>
        <v>0</v>
      </c>
      <c r="L412" s="177"/>
      <c r="M412" s="177"/>
      <c r="N412" s="187">
        <v>1800.0</v>
      </c>
      <c r="O412" s="207">
        <v>-500.0</v>
      </c>
      <c r="P412" s="207"/>
      <c r="Q412" s="189">
        <f t="shared" si="77"/>
        <v>9825</v>
      </c>
      <c r="R412" s="207"/>
      <c r="S412" s="93"/>
    </row>
    <row r="413" ht="14.25" customHeight="1">
      <c r="B413" s="179"/>
      <c r="C413" s="167" t="s">
        <v>37</v>
      </c>
      <c r="D413" s="167">
        <v>1.0</v>
      </c>
      <c r="E413" s="175">
        <v>2800.0</v>
      </c>
      <c r="F413" s="175"/>
      <c r="G413" s="177"/>
      <c r="H413" s="179"/>
      <c r="I413" s="175">
        <v>1000.0</v>
      </c>
      <c r="J413" s="175"/>
      <c r="K413" s="184">
        <f t="shared" si="76"/>
        <v>0</v>
      </c>
      <c r="L413" s="177"/>
      <c r="M413" s="177"/>
      <c r="N413" s="187">
        <v>1800.0</v>
      </c>
      <c r="O413" s="207">
        <v>-500.0</v>
      </c>
      <c r="P413" s="207"/>
      <c r="Q413" s="189">
        <f t="shared" si="77"/>
        <v>11125</v>
      </c>
      <c r="R413" s="207"/>
      <c r="S413" s="93"/>
    </row>
    <row r="414" ht="14.25" customHeight="1">
      <c r="B414" s="222"/>
      <c r="C414" s="223" t="s">
        <v>185</v>
      </c>
      <c r="D414" s="223"/>
      <c r="E414" s="279"/>
      <c r="F414" s="279"/>
      <c r="G414" s="226"/>
      <c r="H414" s="222"/>
      <c r="I414" s="279"/>
      <c r="J414" s="279"/>
      <c r="K414" s="230">
        <f t="shared" si="76"/>
        <v>0</v>
      </c>
      <c r="L414" s="226"/>
      <c r="M414" s="226"/>
      <c r="N414" s="280"/>
      <c r="O414" s="279"/>
      <c r="P414" s="226"/>
      <c r="Q414" s="226">
        <f t="shared" si="77"/>
        <v>11125</v>
      </c>
      <c r="R414" s="279"/>
      <c r="S414" s="93"/>
    </row>
    <row r="415" ht="14.25" customHeight="1">
      <c r="B415" s="179"/>
      <c r="C415" s="167" t="s">
        <v>48</v>
      </c>
      <c r="D415" s="167">
        <v>2.0</v>
      </c>
      <c r="E415" s="175">
        <v>4750.0</v>
      </c>
      <c r="F415" s="175"/>
      <c r="G415" s="177"/>
      <c r="H415" s="179"/>
      <c r="I415" s="175">
        <v>1000.0</v>
      </c>
      <c r="J415" s="175"/>
      <c r="K415" s="184">
        <f t="shared" si="76"/>
        <v>0</v>
      </c>
      <c r="L415" s="177"/>
      <c r="M415" s="177"/>
      <c r="N415" s="187">
        <v>3750.0</v>
      </c>
      <c r="O415" s="207">
        <v>-500.0</v>
      </c>
      <c r="P415" s="207"/>
      <c r="Q415" s="189">
        <f t="shared" si="77"/>
        <v>14375</v>
      </c>
      <c r="R415" s="207"/>
      <c r="S415" s="93"/>
    </row>
    <row r="416" ht="14.25" customHeight="1">
      <c r="B416" s="179"/>
      <c r="C416" s="167" t="s">
        <v>49</v>
      </c>
      <c r="D416" s="167">
        <v>1.0</v>
      </c>
      <c r="E416" s="175">
        <v>2800.0</v>
      </c>
      <c r="F416" s="175"/>
      <c r="G416" s="177"/>
      <c r="H416" s="179"/>
      <c r="I416" s="175">
        <v>1000.0</v>
      </c>
      <c r="J416" s="175"/>
      <c r="K416" s="184">
        <f t="shared" si="76"/>
        <v>0</v>
      </c>
      <c r="L416" s="177"/>
      <c r="M416" s="177"/>
      <c r="N416" s="187">
        <v>1800.0</v>
      </c>
      <c r="O416" s="207">
        <v>-500.0</v>
      </c>
      <c r="P416" s="207"/>
      <c r="Q416" s="189">
        <f t="shared" si="77"/>
        <v>15675</v>
      </c>
      <c r="R416" s="207"/>
      <c r="S416" s="93"/>
    </row>
    <row r="417" ht="14.25" customHeight="1">
      <c r="B417" s="179"/>
      <c r="C417" s="167" t="s">
        <v>50</v>
      </c>
      <c r="D417" s="167">
        <v>1.0</v>
      </c>
      <c r="E417" s="175">
        <v>2800.0</v>
      </c>
      <c r="F417" s="175"/>
      <c r="G417" s="177"/>
      <c r="H417" s="179"/>
      <c r="I417" s="175">
        <v>1000.0</v>
      </c>
      <c r="J417" s="175"/>
      <c r="K417" s="184">
        <f t="shared" si="76"/>
        <v>0</v>
      </c>
      <c r="L417" s="177"/>
      <c r="M417" s="175"/>
      <c r="N417" s="187">
        <v>1800.0</v>
      </c>
      <c r="O417" s="207">
        <v>-500.0</v>
      </c>
      <c r="P417" s="207"/>
      <c r="Q417" s="189">
        <f t="shared" si="77"/>
        <v>16975</v>
      </c>
      <c r="R417" s="207"/>
      <c r="S417" s="93"/>
    </row>
    <row r="418" ht="14.25" customHeight="1">
      <c r="B418" s="222"/>
      <c r="C418" s="223" t="s">
        <v>52</v>
      </c>
      <c r="D418" s="223"/>
      <c r="E418" s="279"/>
      <c r="F418" s="279"/>
      <c r="G418" s="226"/>
      <c r="H418" s="222"/>
      <c r="I418" s="279"/>
      <c r="J418" s="279"/>
      <c r="K418" s="230">
        <f t="shared" si="76"/>
        <v>0</v>
      </c>
      <c r="L418" s="226"/>
      <c r="M418" s="226"/>
      <c r="N418" s="280"/>
      <c r="O418" s="279"/>
      <c r="P418" s="226"/>
      <c r="Q418" s="226">
        <f t="shared" si="77"/>
        <v>16975</v>
      </c>
      <c r="R418" s="279"/>
      <c r="S418" s="93"/>
    </row>
    <row r="419" ht="14.25" customHeight="1">
      <c r="B419" s="380"/>
      <c r="C419" s="381"/>
      <c r="D419" s="381"/>
      <c r="E419" s="382"/>
      <c r="F419" s="383"/>
      <c r="G419" s="383"/>
      <c r="H419" s="380"/>
      <c r="I419" s="382"/>
      <c r="J419" s="383"/>
      <c r="K419" s="184">
        <f t="shared" si="76"/>
        <v>0</v>
      </c>
      <c r="L419" s="383"/>
      <c r="M419" s="383"/>
      <c r="N419" s="385"/>
      <c r="O419" s="385"/>
      <c r="P419" s="207"/>
      <c r="Q419" s="189">
        <f t="shared" si="77"/>
        <v>16975</v>
      </c>
      <c r="R419" s="385"/>
      <c r="S419" s="93"/>
    </row>
    <row r="420" ht="14.25" customHeight="1">
      <c r="B420" s="265" t="str">
        <f>B396</f>
        <v>Aug</v>
      </c>
      <c r="C420" s="266" t="s">
        <v>66</v>
      </c>
      <c r="D420" s="266">
        <f t="shared" ref="D420:P420" si="78">sum(D396:D419)</f>
        <v>16</v>
      </c>
      <c r="E420" s="268">
        <f t="shared" si="78"/>
        <v>40750</v>
      </c>
      <c r="F420" s="268">
        <f t="shared" si="78"/>
        <v>800</v>
      </c>
      <c r="G420" s="268">
        <f t="shared" si="78"/>
        <v>0</v>
      </c>
      <c r="H420" s="268">
        <f t="shared" si="78"/>
        <v>0</v>
      </c>
      <c r="I420" s="268">
        <f t="shared" si="78"/>
        <v>14075</v>
      </c>
      <c r="J420" s="268">
        <f t="shared" si="78"/>
        <v>0</v>
      </c>
      <c r="K420" s="268">
        <f t="shared" si="78"/>
        <v>0</v>
      </c>
      <c r="L420" s="268">
        <f t="shared" si="78"/>
        <v>0</v>
      </c>
      <c r="M420" s="268">
        <f t="shared" si="78"/>
        <v>3500</v>
      </c>
      <c r="N420" s="268">
        <f t="shared" si="78"/>
        <v>23975</v>
      </c>
      <c r="O420" s="268">
        <f t="shared" si="78"/>
        <v>-7000</v>
      </c>
      <c r="P420" s="268">
        <f t="shared" si="78"/>
        <v>0</v>
      </c>
      <c r="Q420" s="271">
        <f>Q419</f>
        <v>16975</v>
      </c>
      <c r="R420" s="272"/>
      <c r="S420" s="93"/>
    </row>
    <row r="421" ht="14.25" customHeight="1">
      <c r="C421" s="484"/>
      <c r="D421" s="484"/>
      <c r="E421" s="485"/>
      <c r="F421" s="485"/>
      <c r="G421" s="485"/>
      <c r="I421" s="485"/>
      <c r="J421" s="485"/>
      <c r="K421" s="486"/>
      <c r="L421" s="485"/>
      <c r="M421" s="485"/>
      <c r="N421" s="485"/>
      <c r="O421" s="485"/>
    </row>
    <row r="422" ht="14.25" customHeight="1">
      <c r="C422" s="484"/>
      <c r="D422" s="484"/>
      <c r="E422" s="485"/>
      <c r="F422" s="485"/>
      <c r="G422" s="485"/>
      <c r="I422" s="485"/>
      <c r="J422" s="485"/>
      <c r="K422" s="486"/>
      <c r="L422" s="485"/>
      <c r="M422" s="485"/>
      <c r="N422" s="485"/>
      <c r="O422" s="485"/>
    </row>
    <row r="423" ht="14.25" customHeight="1">
      <c r="C423" s="484"/>
      <c r="D423" s="484"/>
      <c r="E423" s="485"/>
      <c r="F423" s="485"/>
      <c r="G423" s="485"/>
      <c r="I423" s="485"/>
      <c r="J423" s="485"/>
      <c r="K423" s="486"/>
      <c r="L423" s="485"/>
      <c r="M423" s="485"/>
      <c r="N423" s="485"/>
      <c r="O423" s="485"/>
    </row>
    <row r="424" ht="14.25" customHeight="1">
      <c r="C424" s="484"/>
      <c r="D424" s="484"/>
      <c r="E424" s="485"/>
      <c r="F424" s="485"/>
      <c r="G424" s="485"/>
      <c r="I424" s="485"/>
      <c r="J424" s="485"/>
      <c r="K424" s="486"/>
      <c r="L424" s="485"/>
      <c r="M424" s="485"/>
      <c r="N424" s="485"/>
      <c r="O424" s="485"/>
    </row>
    <row r="425" ht="14.25" customHeight="1">
      <c r="C425" s="484"/>
      <c r="D425" s="484"/>
      <c r="E425" s="485"/>
      <c r="F425" s="485"/>
      <c r="G425" s="485"/>
      <c r="I425" s="485"/>
      <c r="J425" s="485"/>
      <c r="K425" s="486"/>
      <c r="L425" s="485"/>
      <c r="M425" s="485"/>
      <c r="N425" s="485"/>
      <c r="O425" s="485"/>
    </row>
    <row r="426" ht="14.25" customHeight="1">
      <c r="C426" s="484"/>
      <c r="D426" s="484"/>
      <c r="E426" s="485"/>
      <c r="F426" s="485"/>
      <c r="G426" s="485"/>
      <c r="I426" s="485"/>
      <c r="J426" s="485"/>
      <c r="K426" s="486"/>
      <c r="L426" s="485"/>
      <c r="M426" s="485"/>
      <c r="N426" s="485"/>
      <c r="O426" s="485"/>
    </row>
    <row r="427" ht="14.25" customHeight="1">
      <c r="C427" s="484"/>
      <c r="D427" s="484"/>
      <c r="E427" s="485"/>
      <c r="F427" s="485"/>
      <c r="G427" s="485"/>
      <c r="I427" s="485"/>
      <c r="J427" s="485"/>
      <c r="K427" s="486"/>
      <c r="L427" s="485"/>
      <c r="M427" s="485"/>
      <c r="N427" s="485"/>
      <c r="O427" s="485"/>
    </row>
    <row r="428" ht="14.25" customHeight="1">
      <c r="C428" s="484"/>
      <c r="D428" s="484"/>
      <c r="E428" s="485"/>
      <c r="F428" s="485"/>
      <c r="G428" s="485"/>
      <c r="I428" s="485"/>
      <c r="J428" s="485"/>
      <c r="K428" s="486"/>
      <c r="L428" s="485"/>
      <c r="M428" s="485"/>
      <c r="N428" s="485"/>
      <c r="O428" s="485"/>
    </row>
    <row r="429" ht="14.25" customHeight="1">
      <c r="C429" s="484"/>
      <c r="D429" s="484"/>
      <c r="E429" s="485"/>
      <c r="F429" s="485"/>
      <c r="G429" s="485"/>
      <c r="I429" s="485"/>
      <c r="J429" s="485"/>
      <c r="K429" s="486"/>
      <c r="L429" s="485"/>
      <c r="M429" s="485"/>
      <c r="N429" s="485"/>
      <c r="O429" s="485"/>
    </row>
    <row r="430" ht="14.25" customHeight="1">
      <c r="C430" s="484"/>
      <c r="D430" s="484"/>
      <c r="E430" s="485"/>
      <c r="F430" s="485"/>
      <c r="G430" s="485"/>
      <c r="I430" s="485"/>
      <c r="J430" s="485"/>
      <c r="K430" s="486"/>
      <c r="L430" s="485"/>
      <c r="M430" s="485"/>
      <c r="N430" s="485"/>
      <c r="O430" s="485"/>
    </row>
    <row r="431" ht="14.25" customHeight="1">
      <c r="C431" s="484"/>
      <c r="D431" s="484"/>
      <c r="E431" s="485"/>
      <c r="F431" s="485"/>
      <c r="G431" s="485"/>
      <c r="I431" s="485"/>
      <c r="J431" s="485"/>
      <c r="K431" s="486"/>
      <c r="L431" s="485"/>
      <c r="M431" s="485"/>
      <c r="N431" s="485"/>
      <c r="O431" s="485"/>
    </row>
    <row r="432" ht="14.25" customHeight="1">
      <c r="C432" s="484"/>
      <c r="D432" s="484"/>
      <c r="E432" s="485"/>
      <c r="F432" s="485"/>
      <c r="G432" s="485"/>
      <c r="I432" s="485"/>
      <c r="J432" s="485"/>
      <c r="K432" s="486"/>
      <c r="L432" s="485"/>
      <c r="M432" s="485"/>
      <c r="N432" s="485"/>
      <c r="O432" s="485"/>
    </row>
    <row r="433" ht="14.25" customHeight="1">
      <c r="C433" s="484"/>
      <c r="D433" s="484"/>
      <c r="E433" s="485"/>
      <c r="F433" s="485"/>
      <c r="G433" s="485"/>
      <c r="I433" s="485"/>
      <c r="J433" s="485"/>
      <c r="K433" s="486"/>
      <c r="L433" s="485"/>
      <c r="M433" s="485"/>
      <c r="N433" s="485"/>
      <c r="O433" s="485"/>
    </row>
    <row r="434" ht="14.25" customHeight="1">
      <c r="C434" s="484"/>
      <c r="D434" s="484"/>
      <c r="E434" s="485"/>
      <c r="F434" s="485"/>
      <c r="G434" s="485"/>
      <c r="I434" s="485"/>
      <c r="J434" s="485"/>
      <c r="K434" s="486"/>
      <c r="L434" s="485"/>
      <c r="M434" s="485"/>
      <c r="N434" s="485"/>
      <c r="O434" s="485"/>
    </row>
    <row r="435" ht="14.25" customHeight="1">
      <c r="C435" s="484"/>
      <c r="D435" s="484"/>
      <c r="E435" s="485"/>
      <c r="F435" s="485"/>
      <c r="G435" s="485"/>
      <c r="I435" s="485"/>
      <c r="J435" s="485"/>
      <c r="K435" s="486"/>
      <c r="L435" s="485"/>
      <c r="M435" s="485"/>
      <c r="N435" s="485"/>
      <c r="O435" s="485"/>
    </row>
    <row r="436" ht="14.25" customHeight="1">
      <c r="C436" s="484"/>
      <c r="D436" s="484"/>
      <c r="E436" s="485"/>
      <c r="F436" s="485"/>
      <c r="G436" s="485"/>
      <c r="I436" s="485"/>
      <c r="J436" s="485"/>
      <c r="K436" s="486"/>
      <c r="L436" s="485"/>
      <c r="M436" s="485"/>
      <c r="N436" s="485"/>
      <c r="O436" s="485"/>
    </row>
    <row r="437" ht="14.25" customHeight="1">
      <c r="C437" s="484"/>
      <c r="D437" s="484"/>
      <c r="E437" s="485"/>
      <c r="F437" s="485"/>
      <c r="G437" s="485"/>
      <c r="I437" s="485"/>
      <c r="J437" s="485"/>
      <c r="K437" s="486"/>
      <c r="L437" s="485"/>
      <c r="M437" s="485"/>
      <c r="N437" s="485"/>
      <c r="O437" s="485"/>
    </row>
    <row r="438" ht="14.25" customHeight="1">
      <c r="C438" s="484"/>
      <c r="D438" s="484"/>
      <c r="E438" s="485"/>
      <c r="F438" s="485"/>
      <c r="G438" s="485"/>
      <c r="I438" s="485"/>
      <c r="J438" s="485"/>
      <c r="K438" s="486"/>
      <c r="L438" s="485"/>
      <c r="M438" s="485"/>
      <c r="N438" s="485"/>
      <c r="O438" s="485"/>
    </row>
    <row r="439" ht="14.25" customHeight="1">
      <c r="C439" s="484"/>
      <c r="D439" s="484"/>
      <c r="E439" s="485"/>
      <c r="F439" s="485"/>
      <c r="G439" s="485"/>
      <c r="I439" s="485"/>
      <c r="J439" s="485"/>
      <c r="K439" s="486"/>
      <c r="L439" s="485"/>
      <c r="M439" s="485"/>
      <c r="N439" s="485"/>
      <c r="O439" s="485"/>
    </row>
    <row r="440" ht="14.25" customHeight="1">
      <c r="C440" s="484"/>
      <c r="D440" s="484"/>
      <c r="E440" s="485"/>
      <c r="F440" s="485"/>
      <c r="G440" s="485"/>
      <c r="I440" s="485"/>
      <c r="J440" s="485"/>
      <c r="K440" s="486"/>
      <c r="L440" s="485"/>
      <c r="M440" s="485"/>
      <c r="N440" s="485"/>
      <c r="O440" s="485"/>
    </row>
    <row r="441" ht="14.25" customHeight="1">
      <c r="C441" s="484"/>
      <c r="D441" s="484"/>
      <c r="E441" s="485"/>
      <c r="F441" s="485"/>
      <c r="G441" s="485"/>
      <c r="I441" s="485"/>
      <c r="J441" s="485"/>
      <c r="K441" s="486"/>
      <c r="L441" s="485"/>
      <c r="M441" s="485"/>
      <c r="N441" s="485"/>
      <c r="O441" s="485"/>
    </row>
    <row r="442" ht="14.25" customHeight="1">
      <c r="C442" s="484"/>
      <c r="D442" s="484"/>
      <c r="E442" s="485"/>
      <c r="F442" s="485"/>
      <c r="G442" s="485"/>
      <c r="I442" s="485"/>
      <c r="J442" s="485"/>
      <c r="K442" s="486"/>
      <c r="L442" s="485"/>
      <c r="M442" s="485"/>
      <c r="N442" s="485"/>
      <c r="O442" s="485"/>
    </row>
    <row r="443" ht="14.25" customHeight="1">
      <c r="C443" s="484"/>
      <c r="D443" s="484"/>
      <c r="E443" s="485"/>
      <c r="F443" s="485"/>
      <c r="G443" s="485"/>
      <c r="I443" s="485"/>
      <c r="J443" s="485"/>
      <c r="K443" s="486"/>
      <c r="L443" s="485"/>
      <c r="M443" s="485"/>
      <c r="N443" s="485"/>
      <c r="O443" s="485"/>
    </row>
    <row r="444" ht="14.25" customHeight="1">
      <c r="C444" s="484"/>
      <c r="D444" s="484"/>
      <c r="E444" s="485"/>
      <c r="F444" s="485"/>
      <c r="G444" s="485"/>
      <c r="I444" s="485"/>
      <c r="J444" s="485"/>
      <c r="K444" s="486"/>
      <c r="L444" s="485"/>
      <c r="M444" s="485"/>
      <c r="N444" s="485"/>
      <c r="O444" s="485"/>
    </row>
    <row r="445" ht="14.25" customHeight="1">
      <c r="C445" s="484"/>
      <c r="D445" s="484"/>
      <c r="E445" s="485"/>
      <c r="F445" s="485"/>
      <c r="G445" s="485"/>
      <c r="I445" s="485"/>
      <c r="J445" s="485"/>
      <c r="K445" s="486"/>
      <c r="L445" s="485"/>
      <c r="M445" s="485"/>
      <c r="N445" s="485"/>
      <c r="O445" s="485"/>
    </row>
    <row r="446" ht="14.25" customHeight="1">
      <c r="C446" s="484"/>
      <c r="D446" s="484"/>
      <c r="E446" s="485"/>
      <c r="F446" s="485"/>
      <c r="G446" s="485"/>
      <c r="I446" s="485"/>
      <c r="J446" s="485"/>
      <c r="K446" s="486"/>
      <c r="L446" s="485"/>
      <c r="M446" s="485"/>
      <c r="N446" s="485"/>
      <c r="O446" s="485"/>
    </row>
    <row r="447" ht="14.25" customHeight="1">
      <c r="C447" s="484"/>
      <c r="D447" s="484"/>
      <c r="E447" s="485"/>
      <c r="F447" s="485"/>
      <c r="G447" s="485"/>
      <c r="I447" s="485"/>
      <c r="J447" s="485"/>
      <c r="K447" s="486"/>
      <c r="L447" s="485"/>
      <c r="M447" s="485"/>
      <c r="N447" s="485"/>
      <c r="O447" s="485"/>
    </row>
    <row r="448" ht="14.25" customHeight="1">
      <c r="C448" s="484"/>
      <c r="D448" s="484"/>
      <c r="E448" s="485"/>
      <c r="F448" s="485"/>
      <c r="G448" s="485"/>
      <c r="I448" s="485"/>
      <c r="J448" s="485"/>
      <c r="K448" s="486"/>
      <c r="L448" s="485"/>
      <c r="M448" s="485"/>
      <c r="N448" s="485"/>
      <c r="O448" s="485"/>
    </row>
    <row r="449" ht="14.25" customHeight="1">
      <c r="C449" s="484"/>
      <c r="D449" s="484"/>
      <c r="E449" s="485"/>
      <c r="F449" s="485"/>
      <c r="G449" s="485"/>
      <c r="I449" s="485"/>
      <c r="J449" s="485"/>
      <c r="K449" s="486"/>
      <c r="L449" s="485"/>
      <c r="M449" s="485"/>
      <c r="N449" s="485"/>
      <c r="O449" s="485"/>
    </row>
    <row r="450" ht="14.25" customHeight="1">
      <c r="C450" s="484"/>
      <c r="D450" s="484"/>
      <c r="E450" s="485"/>
      <c r="F450" s="485"/>
      <c r="G450" s="485"/>
      <c r="I450" s="485"/>
      <c r="J450" s="485"/>
      <c r="K450" s="486"/>
      <c r="L450" s="485"/>
      <c r="M450" s="485"/>
      <c r="N450" s="485"/>
      <c r="O450" s="485"/>
    </row>
    <row r="451" ht="14.25" customHeight="1">
      <c r="C451" s="484"/>
      <c r="D451" s="484"/>
      <c r="E451" s="485"/>
      <c r="F451" s="485"/>
      <c r="G451" s="485"/>
      <c r="I451" s="485"/>
      <c r="J451" s="485"/>
      <c r="K451" s="486"/>
      <c r="L451" s="485"/>
      <c r="M451" s="485"/>
      <c r="N451" s="485"/>
      <c r="O451" s="485"/>
    </row>
    <row r="452" ht="14.25" customHeight="1">
      <c r="C452" s="484"/>
      <c r="D452" s="484"/>
      <c r="E452" s="485"/>
      <c r="F452" s="485"/>
      <c r="G452" s="485"/>
      <c r="I452" s="485"/>
      <c r="J452" s="485"/>
      <c r="K452" s="486"/>
      <c r="L452" s="485"/>
      <c r="M452" s="485"/>
      <c r="N452" s="485"/>
      <c r="O452" s="485"/>
    </row>
    <row r="453" ht="14.25" customHeight="1">
      <c r="C453" s="484"/>
      <c r="D453" s="484"/>
      <c r="E453" s="485"/>
      <c r="F453" s="485"/>
      <c r="G453" s="485"/>
      <c r="I453" s="485"/>
      <c r="J453" s="485"/>
      <c r="K453" s="486"/>
      <c r="L453" s="485"/>
      <c r="M453" s="485"/>
      <c r="N453" s="485"/>
      <c r="O453" s="485"/>
    </row>
    <row r="454" ht="14.25" customHeight="1">
      <c r="C454" s="484"/>
      <c r="D454" s="484"/>
      <c r="E454" s="485"/>
      <c r="F454" s="485"/>
      <c r="G454" s="485"/>
      <c r="I454" s="485"/>
      <c r="J454" s="485"/>
      <c r="K454" s="486"/>
      <c r="L454" s="485"/>
      <c r="M454" s="485"/>
      <c r="N454" s="485"/>
      <c r="O454" s="485"/>
    </row>
    <row r="455" ht="14.25" customHeight="1">
      <c r="C455" s="484"/>
      <c r="D455" s="484"/>
      <c r="E455" s="485"/>
      <c r="F455" s="485"/>
      <c r="G455" s="485"/>
      <c r="I455" s="485"/>
      <c r="J455" s="485"/>
      <c r="K455" s="486"/>
      <c r="L455" s="485"/>
      <c r="M455" s="485"/>
      <c r="N455" s="485"/>
      <c r="O455" s="485"/>
    </row>
    <row r="456" ht="14.25" customHeight="1">
      <c r="C456" s="484"/>
      <c r="D456" s="484"/>
      <c r="E456" s="485"/>
      <c r="F456" s="485"/>
      <c r="G456" s="485"/>
      <c r="I456" s="485"/>
      <c r="J456" s="485"/>
      <c r="K456" s="486"/>
      <c r="L456" s="485"/>
      <c r="M456" s="485"/>
      <c r="N456" s="485"/>
      <c r="O456" s="485"/>
    </row>
    <row r="457" ht="14.25" customHeight="1">
      <c r="C457" s="484"/>
      <c r="D457" s="484"/>
      <c r="E457" s="485"/>
      <c r="F457" s="485"/>
      <c r="G457" s="485"/>
      <c r="I457" s="485"/>
      <c r="J457" s="485"/>
      <c r="K457" s="486"/>
      <c r="L457" s="485"/>
      <c r="M457" s="485"/>
      <c r="N457" s="485"/>
      <c r="O457" s="485"/>
    </row>
    <row r="458" ht="14.25" customHeight="1">
      <c r="C458" s="484"/>
      <c r="D458" s="484"/>
      <c r="E458" s="485"/>
      <c r="F458" s="485"/>
      <c r="G458" s="485"/>
      <c r="I458" s="485"/>
      <c r="J458" s="485"/>
      <c r="K458" s="486"/>
      <c r="L458" s="485"/>
      <c r="M458" s="485"/>
      <c r="N458" s="485"/>
      <c r="O458" s="485"/>
    </row>
    <row r="459" ht="14.25" customHeight="1">
      <c r="C459" s="484"/>
      <c r="D459" s="484"/>
      <c r="E459" s="485"/>
      <c r="F459" s="485"/>
      <c r="G459" s="485"/>
      <c r="I459" s="485"/>
      <c r="J459" s="485"/>
      <c r="K459" s="486"/>
      <c r="L459" s="485"/>
      <c r="M459" s="485"/>
      <c r="N459" s="485"/>
      <c r="O459" s="485"/>
    </row>
    <row r="460" ht="14.25" customHeight="1">
      <c r="C460" s="484"/>
      <c r="D460" s="484"/>
      <c r="E460" s="485"/>
      <c r="F460" s="485"/>
      <c r="G460" s="485"/>
      <c r="I460" s="485"/>
      <c r="J460" s="485"/>
      <c r="K460" s="486"/>
      <c r="L460" s="485"/>
      <c r="M460" s="485"/>
      <c r="N460" s="485"/>
      <c r="O460" s="485"/>
    </row>
    <row r="461" ht="14.25" customHeight="1">
      <c r="C461" s="484"/>
      <c r="D461" s="484"/>
      <c r="E461" s="485"/>
      <c r="F461" s="485"/>
      <c r="G461" s="485"/>
      <c r="I461" s="485"/>
      <c r="J461" s="485"/>
      <c r="K461" s="486"/>
      <c r="L461" s="485"/>
      <c r="M461" s="485"/>
      <c r="N461" s="485"/>
      <c r="O461" s="485"/>
    </row>
    <row r="462" ht="14.25" customHeight="1">
      <c r="C462" s="484"/>
      <c r="D462" s="484"/>
      <c r="E462" s="485"/>
      <c r="F462" s="485"/>
      <c r="G462" s="485"/>
      <c r="I462" s="485"/>
      <c r="J462" s="485"/>
      <c r="K462" s="486"/>
      <c r="L462" s="485"/>
      <c r="M462" s="485"/>
      <c r="N462" s="485"/>
      <c r="O462" s="485"/>
    </row>
    <row r="463" ht="14.25" customHeight="1">
      <c r="C463" s="484"/>
      <c r="D463" s="484"/>
      <c r="E463" s="485"/>
      <c r="F463" s="485"/>
      <c r="G463" s="485"/>
      <c r="I463" s="485"/>
      <c r="J463" s="485"/>
      <c r="K463" s="486"/>
      <c r="L463" s="485"/>
      <c r="M463" s="485"/>
      <c r="N463" s="485"/>
      <c r="O463" s="485"/>
    </row>
    <row r="464" ht="14.25" customHeight="1">
      <c r="C464" s="484"/>
      <c r="D464" s="484"/>
      <c r="E464" s="485"/>
      <c r="F464" s="485"/>
      <c r="G464" s="485"/>
      <c r="I464" s="485"/>
      <c r="J464" s="485"/>
      <c r="K464" s="486"/>
      <c r="L464" s="485"/>
      <c r="M464" s="485"/>
      <c r="N464" s="485"/>
      <c r="O464" s="485"/>
    </row>
    <row r="465" ht="14.25" customHeight="1">
      <c r="C465" s="484"/>
      <c r="D465" s="484"/>
      <c r="E465" s="485"/>
      <c r="F465" s="485"/>
      <c r="G465" s="485"/>
      <c r="I465" s="485"/>
      <c r="J465" s="485"/>
      <c r="K465" s="486"/>
      <c r="L465" s="485"/>
      <c r="M465" s="485"/>
      <c r="N465" s="485"/>
      <c r="O465" s="485"/>
    </row>
    <row r="466" ht="14.25" customHeight="1">
      <c r="C466" s="484"/>
      <c r="D466" s="484"/>
      <c r="E466" s="485"/>
      <c r="F466" s="485"/>
      <c r="G466" s="485"/>
      <c r="I466" s="485"/>
      <c r="J466" s="485"/>
      <c r="K466" s="486"/>
      <c r="L466" s="485"/>
      <c r="M466" s="485"/>
      <c r="N466" s="485"/>
      <c r="O466" s="485"/>
    </row>
    <row r="467" ht="14.25" customHeight="1">
      <c r="C467" s="484"/>
      <c r="D467" s="484"/>
      <c r="E467" s="485"/>
      <c r="F467" s="485"/>
      <c r="G467" s="485"/>
      <c r="I467" s="485"/>
      <c r="J467" s="485"/>
      <c r="K467" s="486"/>
      <c r="L467" s="485"/>
      <c r="M467" s="485"/>
      <c r="N467" s="485"/>
      <c r="O467" s="485"/>
    </row>
    <row r="468" ht="14.25" customHeight="1">
      <c r="C468" s="484"/>
      <c r="D468" s="484"/>
      <c r="E468" s="485"/>
      <c r="F468" s="485"/>
      <c r="G468" s="485"/>
      <c r="I468" s="485"/>
      <c r="J468" s="485"/>
      <c r="K468" s="486"/>
      <c r="L468" s="485"/>
      <c r="M468" s="485"/>
      <c r="N468" s="485"/>
      <c r="O468" s="485"/>
    </row>
    <row r="469" ht="14.25" customHeight="1">
      <c r="C469" s="484"/>
      <c r="D469" s="484"/>
      <c r="E469" s="485"/>
      <c r="F469" s="485"/>
      <c r="G469" s="485"/>
      <c r="I469" s="485"/>
      <c r="J469" s="485"/>
      <c r="K469" s="486"/>
      <c r="L469" s="485"/>
      <c r="M469" s="485"/>
      <c r="N469" s="485"/>
      <c r="O469" s="485"/>
    </row>
    <row r="470" ht="14.25" customHeight="1">
      <c r="C470" s="484"/>
      <c r="D470" s="484"/>
      <c r="E470" s="485"/>
      <c r="F470" s="485"/>
      <c r="G470" s="485"/>
      <c r="I470" s="485"/>
      <c r="J470" s="485"/>
      <c r="K470" s="486"/>
      <c r="L470" s="485"/>
      <c r="M470" s="485"/>
      <c r="N470" s="485"/>
      <c r="O470" s="485"/>
    </row>
    <row r="471" ht="14.25" customHeight="1">
      <c r="C471" s="484"/>
      <c r="D471" s="484"/>
      <c r="E471" s="485"/>
      <c r="F471" s="485"/>
      <c r="G471" s="485"/>
      <c r="I471" s="485"/>
      <c r="J471" s="485"/>
      <c r="K471" s="486"/>
      <c r="L471" s="485"/>
      <c r="M471" s="485"/>
      <c r="N471" s="485"/>
      <c r="O471" s="485"/>
    </row>
    <row r="472" ht="14.25" customHeight="1">
      <c r="C472" s="484"/>
      <c r="D472" s="484"/>
      <c r="E472" s="485"/>
      <c r="F472" s="485"/>
      <c r="G472" s="485"/>
      <c r="I472" s="485"/>
      <c r="J472" s="485"/>
      <c r="K472" s="486"/>
      <c r="L472" s="485"/>
      <c r="M472" s="485"/>
      <c r="N472" s="485"/>
      <c r="O472" s="485"/>
    </row>
    <row r="473" ht="14.25" customHeight="1">
      <c r="C473" s="484"/>
      <c r="D473" s="484"/>
      <c r="E473" s="485"/>
      <c r="F473" s="485"/>
      <c r="G473" s="485"/>
      <c r="I473" s="485"/>
      <c r="J473" s="485"/>
      <c r="K473" s="486"/>
      <c r="L473" s="485"/>
      <c r="M473" s="485"/>
      <c r="N473" s="485"/>
      <c r="O473" s="485"/>
    </row>
    <row r="474" ht="14.25" customHeight="1">
      <c r="C474" s="484"/>
      <c r="D474" s="484"/>
      <c r="E474" s="485"/>
      <c r="F474" s="485"/>
      <c r="G474" s="485"/>
      <c r="I474" s="485"/>
      <c r="J474" s="485"/>
      <c r="K474" s="486"/>
      <c r="L474" s="485"/>
      <c r="M474" s="485"/>
      <c r="N474" s="485"/>
      <c r="O474" s="485"/>
    </row>
    <row r="475" ht="14.25" customHeight="1">
      <c r="C475" s="484"/>
      <c r="D475" s="484"/>
      <c r="E475" s="485"/>
      <c r="F475" s="485"/>
      <c r="G475" s="485"/>
      <c r="I475" s="485"/>
      <c r="J475" s="485"/>
      <c r="K475" s="486"/>
      <c r="L475" s="485"/>
      <c r="M475" s="485"/>
      <c r="N475" s="485"/>
      <c r="O475" s="485"/>
    </row>
    <row r="476" ht="14.25" customHeight="1">
      <c r="C476" s="484"/>
      <c r="D476" s="484"/>
      <c r="E476" s="485"/>
      <c r="F476" s="485"/>
      <c r="G476" s="485"/>
      <c r="I476" s="485"/>
      <c r="J476" s="485"/>
      <c r="K476" s="486"/>
      <c r="L476" s="485"/>
      <c r="M476" s="485"/>
      <c r="N476" s="485"/>
      <c r="O476" s="485"/>
    </row>
    <row r="477" ht="14.25" customHeight="1">
      <c r="C477" s="484"/>
      <c r="D477" s="484"/>
      <c r="E477" s="485"/>
      <c r="F477" s="485"/>
      <c r="G477" s="485"/>
      <c r="I477" s="485"/>
      <c r="J477" s="485"/>
      <c r="K477" s="486"/>
      <c r="L477" s="485"/>
      <c r="M477" s="485"/>
      <c r="N477" s="485"/>
      <c r="O477" s="485"/>
    </row>
    <row r="478" ht="14.25" customHeight="1">
      <c r="C478" s="484"/>
      <c r="D478" s="484"/>
      <c r="E478" s="485"/>
      <c r="F478" s="485"/>
      <c r="G478" s="485"/>
      <c r="I478" s="485"/>
      <c r="J478" s="485"/>
      <c r="K478" s="486"/>
      <c r="L478" s="485"/>
      <c r="M478" s="485"/>
      <c r="N478" s="485"/>
      <c r="O478" s="485"/>
    </row>
    <row r="479" ht="14.25" customHeight="1">
      <c r="C479" s="484"/>
      <c r="D479" s="484"/>
      <c r="E479" s="485"/>
      <c r="F479" s="485"/>
      <c r="G479" s="485"/>
      <c r="I479" s="485"/>
      <c r="J479" s="485"/>
      <c r="K479" s="486"/>
      <c r="L479" s="485"/>
      <c r="M479" s="485"/>
      <c r="N479" s="485"/>
      <c r="O479" s="485"/>
    </row>
  </sheetData>
  <autoFilter ref="$B$1:$B$3"/>
  <mergeCells count="11">
    <mergeCell ref="O2:O3"/>
    <mergeCell ref="P2:P3"/>
    <mergeCell ref="Q2:Q3"/>
    <mergeCell ref="R2:R3"/>
    <mergeCell ref="L1:N2"/>
    <mergeCell ref="E2:E3"/>
    <mergeCell ref="F2:F3"/>
    <mergeCell ref="G2:G3"/>
    <mergeCell ref="H2:H3"/>
    <mergeCell ref="I2:J2"/>
    <mergeCell ref="K2:K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2.0"/>
    <col customWidth="1" min="2" max="2" width="5.14"/>
    <col customWidth="1" min="3" max="3" width="7.86"/>
    <col customWidth="1" min="4" max="4" width="3.86"/>
    <col customWidth="1" min="5" max="7" width="11.86"/>
    <col customWidth="1" min="8" max="8" width="13.43"/>
    <col customWidth="1" min="9" max="9" width="11.86"/>
    <col customWidth="1" min="10" max="10" width="11.29"/>
    <col customWidth="1" min="11" max="11" width="12.14"/>
    <col customWidth="1" min="12" max="12" width="11.43"/>
    <col customWidth="1" min="13" max="13" width="10.86"/>
    <col customWidth="1" min="14" max="14" width="12.43"/>
    <col customWidth="1" min="15" max="15" width="12.14"/>
    <col customWidth="1" min="16" max="16" width="11.57"/>
    <col customWidth="1" min="17" max="17" width="13.43"/>
    <col customWidth="1" min="18" max="18" width="16.57"/>
    <col customWidth="1" min="19" max="19" width="8.71"/>
    <col customWidth="1" min="20" max="20" width="10.86"/>
    <col customWidth="1" min="21" max="21" width="9.43"/>
    <col customWidth="1" min="22" max="22" width="10.86"/>
    <col customWidth="1" min="23" max="27" width="8.71"/>
  </cols>
  <sheetData>
    <row r="1" ht="14.25" customHeight="1">
      <c r="B1" s="7" t="s">
        <v>1</v>
      </c>
      <c r="C1" s="16"/>
      <c r="D1" s="18"/>
      <c r="E1" s="19"/>
      <c r="F1" s="19"/>
      <c r="G1" s="19"/>
      <c r="H1" s="20"/>
      <c r="I1" s="21"/>
      <c r="J1" s="23"/>
      <c r="K1" s="28"/>
      <c r="L1" s="29" t="s">
        <v>4</v>
      </c>
      <c r="M1" s="30"/>
      <c r="N1" s="31"/>
      <c r="O1" s="32"/>
      <c r="P1" s="33" t="s">
        <v>6</v>
      </c>
      <c r="Q1" s="34"/>
      <c r="R1" s="35"/>
    </row>
    <row r="2" ht="14.25" customHeight="1">
      <c r="A2" s="36"/>
      <c r="B2" s="37" t="s">
        <v>7</v>
      </c>
      <c r="C2" s="38"/>
      <c r="D2" s="39"/>
      <c r="E2" s="40" t="s">
        <v>8</v>
      </c>
      <c r="F2" s="41" t="s">
        <v>9</v>
      </c>
      <c r="G2" s="42" t="s">
        <v>10</v>
      </c>
      <c r="H2" s="40" t="s">
        <v>11</v>
      </c>
      <c r="I2" s="43" t="s">
        <v>12</v>
      </c>
      <c r="J2" s="44"/>
      <c r="K2" s="45" t="s">
        <v>13</v>
      </c>
      <c r="L2" s="46"/>
      <c r="M2" s="47"/>
      <c r="N2" s="48"/>
      <c r="O2" s="49" t="s">
        <v>14</v>
      </c>
      <c r="P2" s="50" t="s">
        <v>15</v>
      </c>
      <c r="Q2" s="51" t="s">
        <v>16</v>
      </c>
      <c r="R2" s="52" t="s">
        <v>11</v>
      </c>
      <c r="S2" s="36"/>
      <c r="T2" s="36"/>
      <c r="U2" s="36"/>
      <c r="V2" s="36"/>
      <c r="W2" s="36"/>
      <c r="X2" s="36"/>
      <c r="Y2" s="36"/>
      <c r="Z2" s="36"/>
      <c r="AA2" s="36"/>
    </row>
    <row r="3" ht="14.25" customHeight="1">
      <c r="A3" s="36"/>
      <c r="B3" s="53"/>
      <c r="C3" s="54"/>
      <c r="D3" s="55"/>
      <c r="E3" s="56"/>
      <c r="F3" s="57"/>
      <c r="G3" s="56"/>
      <c r="H3" s="56"/>
      <c r="I3" s="58" t="s">
        <v>17</v>
      </c>
      <c r="J3" s="58" t="s">
        <v>18</v>
      </c>
      <c r="K3" s="59"/>
      <c r="L3" s="60" t="s">
        <v>18</v>
      </c>
      <c r="M3" s="61" t="s">
        <v>19</v>
      </c>
      <c r="N3" s="62" t="s">
        <v>20</v>
      </c>
      <c r="O3" s="63"/>
      <c r="P3" s="56"/>
      <c r="Q3" s="56"/>
      <c r="R3" s="59"/>
      <c r="S3" s="36"/>
      <c r="T3" s="36"/>
      <c r="U3" s="36"/>
      <c r="V3" s="36"/>
      <c r="W3" s="36"/>
      <c r="X3" s="36"/>
      <c r="Y3" s="36"/>
      <c r="Z3" s="36"/>
      <c r="AA3" s="36"/>
    </row>
    <row r="4" ht="14.25" customHeight="1">
      <c r="B4" s="64" t="s">
        <v>21</v>
      </c>
      <c r="C4" s="65">
        <v>45691.0</v>
      </c>
      <c r="D4" s="66">
        <v>1.0</v>
      </c>
      <c r="E4" s="67">
        <v>2000.0</v>
      </c>
      <c r="F4" s="67">
        <v>450.0</v>
      </c>
      <c r="G4" s="67"/>
      <c r="H4" s="68"/>
      <c r="I4" s="67">
        <v>1200.0</v>
      </c>
      <c r="J4" s="67"/>
      <c r="K4" s="69">
        <f t="shared" ref="K4:K28" si="1">E4-I4-L4-M4-N4-J4+F4</f>
        <v>0</v>
      </c>
      <c r="L4" s="67"/>
      <c r="M4" s="67">
        <v>1250.0</v>
      </c>
      <c r="N4" s="70"/>
      <c r="O4" s="71">
        <v>-500.0</v>
      </c>
      <c r="P4" s="71"/>
      <c r="Q4" s="71">
        <f>N4+O4+P4</f>
        <v>-500</v>
      </c>
      <c r="R4" s="71"/>
    </row>
    <row r="5" ht="14.25" customHeight="1">
      <c r="B5" s="68"/>
      <c r="C5" s="72" t="s">
        <v>22</v>
      </c>
      <c r="D5" s="66">
        <v>1.0</v>
      </c>
      <c r="E5" s="67">
        <v>2000.0</v>
      </c>
      <c r="F5" s="67"/>
      <c r="G5" s="67"/>
      <c r="H5" s="68"/>
      <c r="I5" s="67">
        <v>1000.0</v>
      </c>
      <c r="J5" s="67"/>
      <c r="K5" s="69">
        <f t="shared" si="1"/>
        <v>0</v>
      </c>
      <c r="L5" s="67"/>
      <c r="M5" s="67"/>
      <c r="N5" s="70">
        <v>1000.0</v>
      </c>
      <c r="O5" s="71">
        <v>-500.0</v>
      </c>
      <c r="P5" s="71"/>
      <c r="Q5" s="71">
        <f t="shared" ref="Q5:Q33" si="2">Q4+N5+O5+P5</f>
        <v>0</v>
      </c>
      <c r="R5" s="71"/>
    </row>
    <row r="6" ht="14.25" customHeight="1">
      <c r="B6" s="68"/>
      <c r="C6" s="65">
        <v>45752.0</v>
      </c>
      <c r="D6" s="66">
        <v>1.0</v>
      </c>
      <c r="E6" s="67">
        <v>3000.0</v>
      </c>
      <c r="F6" s="67">
        <v>450.0</v>
      </c>
      <c r="G6" s="67">
        <f>50+400</f>
        <v>450</v>
      </c>
      <c r="H6" s="68"/>
      <c r="I6" s="67">
        <v>1000.0</v>
      </c>
      <c r="J6" s="67"/>
      <c r="K6" s="69">
        <f t="shared" si="1"/>
        <v>0</v>
      </c>
      <c r="L6" s="67"/>
      <c r="M6" s="67"/>
      <c r="N6" s="70">
        <v>2450.0</v>
      </c>
      <c r="O6" s="71">
        <v>-500.0</v>
      </c>
      <c r="P6" s="71"/>
      <c r="Q6" s="71">
        <f t="shared" si="2"/>
        <v>1950</v>
      </c>
      <c r="R6" s="71"/>
    </row>
    <row r="7" ht="14.25" customHeight="1">
      <c r="B7" s="81"/>
      <c r="C7" s="82" t="s">
        <v>24</v>
      </c>
      <c r="D7" s="87"/>
      <c r="E7" s="88"/>
      <c r="F7" s="88"/>
      <c r="G7" s="88"/>
      <c r="H7" s="81"/>
      <c r="I7" s="88"/>
      <c r="J7" s="88"/>
      <c r="K7" s="90">
        <f t="shared" si="1"/>
        <v>0</v>
      </c>
      <c r="L7" s="88"/>
      <c r="M7" s="88"/>
      <c r="N7" s="91"/>
      <c r="O7" s="88"/>
      <c r="P7" s="88"/>
      <c r="Q7" s="88">
        <f t="shared" si="2"/>
        <v>1950</v>
      </c>
      <c r="R7" s="88"/>
    </row>
    <row r="8" ht="14.25" customHeight="1">
      <c r="B8" s="68"/>
      <c r="C8" s="72" t="s">
        <v>26</v>
      </c>
      <c r="D8" s="66">
        <v>1.0</v>
      </c>
      <c r="E8" s="67">
        <v>2000.0</v>
      </c>
      <c r="F8" s="67"/>
      <c r="G8" s="67"/>
      <c r="H8" s="68"/>
      <c r="I8" s="67">
        <v>1000.0</v>
      </c>
      <c r="J8" s="67"/>
      <c r="K8" s="69">
        <f t="shared" si="1"/>
        <v>0</v>
      </c>
      <c r="L8" s="67"/>
      <c r="M8" s="67"/>
      <c r="N8" s="70">
        <v>1000.0</v>
      </c>
      <c r="O8" s="71">
        <v>-500.0</v>
      </c>
      <c r="P8" s="71"/>
      <c r="Q8" s="71">
        <f t="shared" si="2"/>
        <v>2450</v>
      </c>
      <c r="R8" s="71"/>
    </row>
    <row r="9" ht="14.25" customHeight="1">
      <c r="B9" s="68"/>
      <c r="C9" s="65">
        <v>45910.0</v>
      </c>
      <c r="D9" s="66">
        <v>1.0</v>
      </c>
      <c r="E9" s="67">
        <v>2000.0</v>
      </c>
      <c r="F9" s="67"/>
      <c r="G9" s="67"/>
      <c r="H9" s="68"/>
      <c r="I9" s="67">
        <v>1000.0</v>
      </c>
      <c r="J9" s="67"/>
      <c r="K9" s="69">
        <f t="shared" si="1"/>
        <v>0</v>
      </c>
      <c r="L9" s="67"/>
      <c r="M9" s="67"/>
      <c r="N9" s="70">
        <v>1000.0</v>
      </c>
      <c r="O9" s="71">
        <v>-500.0</v>
      </c>
      <c r="P9" s="71"/>
      <c r="Q9" s="71">
        <f t="shared" si="2"/>
        <v>2950</v>
      </c>
      <c r="R9" s="71"/>
    </row>
    <row r="10" ht="14.25" customHeight="1">
      <c r="B10" s="68"/>
      <c r="C10" s="65">
        <v>45941.0</v>
      </c>
      <c r="D10" s="66">
        <v>1.0</v>
      </c>
      <c r="E10" s="67">
        <v>2300.0</v>
      </c>
      <c r="F10" s="67"/>
      <c r="G10" s="67"/>
      <c r="H10" s="68"/>
      <c r="I10" s="67">
        <v>1000.0</v>
      </c>
      <c r="J10" s="67"/>
      <c r="K10" s="69">
        <f t="shared" si="1"/>
        <v>0</v>
      </c>
      <c r="L10" s="67"/>
      <c r="M10" s="67"/>
      <c r="N10" s="70">
        <v>1300.0</v>
      </c>
      <c r="O10" s="71">
        <v>-500.0</v>
      </c>
      <c r="P10" s="71"/>
      <c r="Q10" s="71">
        <f t="shared" si="2"/>
        <v>3750</v>
      </c>
      <c r="R10" s="71"/>
    </row>
    <row r="11" ht="14.25" customHeight="1">
      <c r="B11" s="68"/>
      <c r="C11" s="65">
        <v>45973.0</v>
      </c>
      <c r="D11" s="66">
        <v>1.0</v>
      </c>
      <c r="E11" s="67">
        <f>2500+400</f>
        <v>2900</v>
      </c>
      <c r="F11" s="67"/>
      <c r="G11" s="67"/>
      <c r="H11" s="68"/>
      <c r="I11" s="67">
        <v>1000.0</v>
      </c>
      <c r="J11" s="67"/>
      <c r="K11" s="69">
        <f t="shared" si="1"/>
        <v>0</v>
      </c>
      <c r="L11" s="67"/>
      <c r="M11" s="67"/>
      <c r="N11" s="70">
        <v>1900.0</v>
      </c>
      <c r="O11" s="71">
        <v>-500.0</v>
      </c>
      <c r="P11" s="71"/>
      <c r="Q11" s="71">
        <f t="shared" si="2"/>
        <v>5150</v>
      </c>
      <c r="R11" s="71"/>
    </row>
    <row r="12" ht="14.25" customHeight="1">
      <c r="B12" s="81"/>
      <c r="C12" s="104">
        <v>46005.0</v>
      </c>
      <c r="D12" s="87"/>
      <c r="E12" s="88"/>
      <c r="F12" s="88"/>
      <c r="G12" s="88"/>
      <c r="H12" s="81"/>
      <c r="I12" s="88"/>
      <c r="J12" s="88"/>
      <c r="K12" s="90">
        <f t="shared" si="1"/>
        <v>0</v>
      </c>
      <c r="L12" s="88"/>
      <c r="M12" s="88"/>
      <c r="N12" s="91"/>
      <c r="O12" s="88"/>
      <c r="P12" s="88"/>
      <c r="Q12" s="88">
        <f t="shared" si="2"/>
        <v>5150</v>
      </c>
      <c r="R12" s="88"/>
    </row>
    <row r="13" ht="14.25" customHeight="1">
      <c r="B13" s="68"/>
      <c r="C13" s="110" t="s">
        <v>29</v>
      </c>
      <c r="D13" s="66">
        <v>1.0</v>
      </c>
      <c r="E13" s="67">
        <v>2200.0</v>
      </c>
      <c r="F13" s="67"/>
      <c r="G13" s="67">
        <v>400.0</v>
      </c>
      <c r="H13" s="68"/>
      <c r="I13" s="67">
        <v>1000.0</v>
      </c>
      <c r="J13" s="67"/>
      <c r="K13" s="69">
        <f t="shared" si="1"/>
        <v>0</v>
      </c>
      <c r="L13" s="67"/>
      <c r="M13" s="67"/>
      <c r="N13" s="70">
        <v>1200.0</v>
      </c>
      <c r="O13" s="71">
        <v>-500.0</v>
      </c>
      <c r="P13" s="71"/>
      <c r="Q13" s="71">
        <f t="shared" si="2"/>
        <v>5850</v>
      </c>
      <c r="R13" s="71"/>
    </row>
    <row r="14" ht="14.25" customHeight="1">
      <c r="B14" s="68"/>
      <c r="C14" s="110" t="s">
        <v>30</v>
      </c>
      <c r="D14" s="66">
        <v>1.0</v>
      </c>
      <c r="E14" s="67">
        <v>1800.0</v>
      </c>
      <c r="F14" s="67"/>
      <c r="G14" s="67"/>
      <c r="H14" s="68"/>
      <c r="I14" s="67">
        <v>1000.0</v>
      </c>
      <c r="J14" s="67"/>
      <c r="K14" s="69">
        <f t="shared" si="1"/>
        <v>0</v>
      </c>
      <c r="L14" s="67"/>
      <c r="M14" s="67"/>
      <c r="N14" s="70">
        <v>800.0</v>
      </c>
      <c r="O14" s="71">
        <v>-500.0</v>
      </c>
      <c r="P14" s="71"/>
      <c r="Q14" s="71">
        <f t="shared" si="2"/>
        <v>6150</v>
      </c>
      <c r="R14" s="71"/>
    </row>
    <row r="15" ht="14.25" customHeight="1">
      <c r="B15" s="68"/>
      <c r="C15" s="110" t="s">
        <v>31</v>
      </c>
      <c r="D15" s="66">
        <v>1.0</v>
      </c>
      <c r="E15" s="67">
        <v>1800.0</v>
      </c>
      <c r="F15" s="67"/>
      <c r="G15" s="67"/>
      <c r="H15" s="68"/>
      <c r="I15" s="67">
        <v>1000.0</v>
      </c>
      <c r="J15" s="67"/>
      <c r="K15" s="69">
        <f t="shared" si="1"/>
        <v>0</v>
      </c>
      <c r="L15" s="67"/>
      <c r="M15" s="67">
        <v>800.0</v>
      </c>
      <c r="N15" s="70"/>
      <c r="O15" s="71">
        <v>-500.0</v>
      </c>
      <c r="P15" s="71"/>
      <c r="Q15" s="71">
        <f t="shared" si="2"/>
        <v>5650</v>
      </c>
      <c r="R15" s="71"/>
    </row>
    <row r="16" ht="14.25" customHeight="1">
      <c r="B16" s="68"/>
      <c r="C16" s="110" t="s">
        <v>32</v>
      </c>
      <c r="D16" s="66">
        <v>1.0</v>
      </c>
      <c r="E16" s="67">
        <v>2300.0</v>
      </c>
      <c r="F16" s="67"/>
      <c r="G16" s="67"/>
      <c r="H16" s="68"/>
      <c r="I16" s="67">
        <v>1000.0</v>
      </c>
      <c r="J16" s="67"/>
      <c r="K16" s="69">
        <f t="shared" si="1"/>
        <v>0</v>
      </c>
      <c r="L16" s="67"/>
      <c r="M16" s="67"/>
      <c r="N16" s="70">
        <v>1300.0</v>
      </c>
      <c r="O16" s="71">
        <v>-500.0</v>
      </c>
      <c r="P16" s="71"/>
      <c r="Q16" s="71">
        <f t="shared" si="2"/>
        <v>6450</v>
      </c>
      <c r="R16" s="71"/>
    </row>
    <row r="17" ht="14.25" customHeight="1">
      <c r="B17" s="68"/>
      <c r="C17" s="110" t="s">
        <v>33</v>
      </c>
      <c r="D17" s="66">
        <v>1.0</v>
      </c>
      <c r="E17" s="67">
        <v>2500.0</v>
      </c>
      <c r="F17" s="67"/>
      <c r="G17" s="67"/>
      <c r="H17" s="68"/>
      <c r="I17" s="67">
        <v>1000.0</v>
      </c>
      <c r="J17" s="67"/>
      <c r="K17" s="69">
        <f t="shared" si="1"/>
        <v>0</v>
      </c>
      <c r="L17" s="67"/>
      <c r="M17" s="67"/>
      <c r="N17" s="70">
        <v>1500.0</v>
      </c>
      <c r="O17" s="71">
        <v>-500.0</v>
      </c>
      <c r="P17" s="71"/>
      <c r="Q17" s="71">
        <f t="shared" si="2"/>
        <v>7450</v>
      </c>
      <c r="R17" s="71"/>
    </row>
    <row r="18" ht="14.25" customHeight="1">
      <c r="B18" s="81"/>
      <c r="C18" s="124" t="s">
        <v>34</v>
      </c>
      <c r="D18" s="87"/>
      <c r="E18" s="88"/>
      <c r="F18" s="88"/>
      <c r="G18" s="88"/>
      <c r="H18" s="81"/>
      <c r="I18" s="88"/>
      <c r="J18" s="88"/>
      <c r="K18" s="90">
        <f t="shared" si="1"/>
        <v>0</v>
      </c>
      <c r="L18" s="88"/>
      <c r="M18" s="88"/>
      <c r="N18" s="91"/>
      <c r="O18" s="88"/>
      <c r="P18" s="88"/>
      <c r="Q18" s="88">
        <f t="shared" si="2"/>
        <v>7450</v>
      </c>
      <c r="R18" s="88"/>
    </row>
    <row r="19" ht="14.25" customHeight="1">
      <c r="B19" s="68"/>
      <c r="C19" s="110" t="s">
        <v>35</v>
      </c>
      <c r="D19" s="66">
        <v>2.0</v>
      </c>
      <c r="E19" s="67">
        <v>3500.0</v>
      </c>
      <c r="F19" s="67"/>
      <c r="G19" s="67"/>
      <c r="H19" s="68"/>
      <c r="I19" s="67">
        <v>1500.0</v>
      </c>
      <c r="J19" s="67"/>
      <c r="K19" s="69">
        <f t="shared" si="1"/>
        <v>0</v>
      </c>
      <c r="L19" s="67"/>
      <c r="M19" s="67"/>
      <c r="N19" s="70">
        <v>2000.0</v>
      </c>
      <c r="O19" s="71">
        <v>-500.0</v>
      </c>
      <c r="P19" s="71"/>
      <c r="Q19" s="71">
        <f t="shared" si="2"/>
        <v>8950</v>
      </c>
      <c r="R19" s="71"/>
    </row>
    <row r="20" ht="14.25" customHeight="1">
      <c r="B20" s="81"/>
      <c r="C20" s="124" t="s">
        <v>37</v>
      </c>
      <c r="D20" s="87"/>
      <c r="E20" s="88"/>
      <c r="F20" s="88"/>
      <c r="G20" s="88"/>
      <c r="H20" s="81"/>
      <c r="I20" s="88"/>
      <c r="J20" s="88"/>
      <c r="K20" s="90">
        <f t="shared" si="1"/>
        <v>0</v>
      </c>
      <c r="L20" s="88"/>
      <c r="M20" s="88"/>
      <c r="N20" s="91"/>
      <c r="O20" s="88"/>
      <c r="P20" s="88"/>
      <c r="Q20" s="88">
        <f t="shared" si="2"/>
        <v>8950</v>
      </c>
      <c r="R20" s="88"/>
      <c r="V20" s="174" t="s">
        <v>0</v>
      </c>
    </row>
    <row r="21" ht="14.25" customHeight="1">
      <c r="B21" s="68"/>
      <c r="C21" s="110" t="s">
        <v>41</v>
      </c>
      <c r="D21" s="66">
        <v>1.0</v>
      </c>
      <c r="E21" s="67">
        <v>2000.0</v>
      </c>
      <c r="F21" s="67"/>
      <c r="G21" s="67"/>
      <c r="H21" s="68"/>
      <c r="I21" s="67">
        <v>1000.0</v>
      </c>
      <c r="J21" s="67"/>
      <c r="K21" s="69">
        <f t="shared" si="1"/>
        <v>0</v>
      </c>
      <c r="L21" s="67"/>
      <c r="M21" s="67"/>
      <c r="N21" s="70">
        <v>1000.0</v>
      </c>
      <c r="O21" s="71">
        <v>-500.0</v>
      </c>
      <c r="P21" s="71"/>
      <c r="Q21" s="71">
        <f t="shared" si="2"/>
        <v>9450</v>
      </c>
      <c r="R21" s="71"/>
    </row>
    <row r="22" ht="14.25" customHeight="1">
      <c r="B22" s="68"/>
      <c r="C22" s="110" t="s">
        <v>44</v>
      </c>
      <c r="D22" s="66">
        <v>1.0</v>
      </c>
      <c r="E22" s="67">
        <v>2300.0</v>
      </c>
      <c r="F22" s="67"/>
      <c r="G22" s="67"/>
      <c r="H22" s="68"/>
      <c r="I22" s="67">
        <v>1000.0</v>
      </c>
      <c r="J22" s="67"/>
      <c r="K22" s="69">
        <f t="shared" si="1"/>
        <v>0</v>
      </c>
      <c r="L22" s="67"/>
      <c r="M22" s="67"/>
      <c r="N22" s="70">
        <v>1300.0</v>
      </c>
      <c r="O22" s="71">
        <v>-500.0</v>
      </c>
      <c r="P22" s="71"/>
      <c r="Q22" s="71">
        <f t="shared" si="2"/>
        <v>10250</v>
      </c>
      <c r="R22" s="71"/>
    </row>
    <row r="23" ht="14.25" customHeight="1">
      <c r="B23" s="68"/>
      <c r="C23" s="110" t="s">
        <v>45</v>
      </c>
      <c r="D23" s="66">
        <v>1.0</v>
      </c>
      <c r="E23" s="67">
        <v>2500.0</v>
      </c>
      <c r="F23" s="67"/>
      <c r="G23" s="67"/>
      <c r="H23" s="68"/>
      <c r="I23" s="67">
        <v>500.0</v>
      </c>
      <c r="J23" s="67"/>
      <c r="K23" s="69">
        <f t="shared" si="1"/>
        <v>0</v>
      </c>
      <c r="L23" s="67"/>
      <c r="M23" s="67"/>
      <c r="N23" s="70">
        <v>2000.0</v>
      </c>
      <c r="O23" s="71">
        <v>-500.0</v>
      </c>
      <c r="P23" s="71"/>
      <c r="Q23" s="71">
        <f t="shared" si="2"/>
        <v>11750</v>
      </c>
      <c r="R23" s="71"/>
    </row>
    <row r="24" ht="14.25" customHeight="1">
      <c r="B24" s="68"/>
      <c r="C24" s="110" t="s">
        <v>47</v>
      </c>
      <c r="D24" s="66">
        <v>1.0</v>
      </c>
      <c r="E24" s="67">
        <v>1900.0</v>
      </c>
      <c r="F24" s="67"/>
      <c r="G24" s="67">
        <v>100.0</v>
      </c>
      <c r="H24" s="68"/>
      <c r="I24" s="67"/>
      <c r="J24" s="67"/>
      <c r="K24" s="69">
        <f t="shared" si="1"/>
        <v>0</v>
      </c>
      <c r="L24" s="67"/>
      <c r="M24" s="67"/>
      <c r="N24" s="70">
        <v>1900.0</v>
      </c>
      <c r="O24" s="71">
        <v>-500.0</v>
      </c>
      <c r="P24" s="71"/>
      <c r="Q24" s="71">
        <f t="shared" si="2"/>
        <v>13150</v>
      </c>
      <c r="R24" s="71"/>
    </row>
    <row r="25" ht="14.25" customHeight="1">
      <c r="B25" s="68"/>
      <c r="C25" s="110" t="s">
        <v>48</v>
      </c>
      <c r="D25" s="66">
        <v>2.0</v>
      </c>
      <c r="E25" s="67">
        <v>3500.0</v>
      </c>
      <c r="F25" s="67"/>
      <c r="G25" s="67"/>
      <c r="H25" s="68"/>
      <c r="I25" s="67">
        <v>1500.0</v>
      </c>
      <c r="J25" s="67"/>
      <c r="K25" s="69">
        <f t="shared" si="1"/>
        <v>0</v>
      </c>
      <c r="L25" s="67"/>
      <c r="M25" s="67"/>
      <c r="N25" s="70">
        <v>2000.0</v>
      </c>
      <c r="O25" s="71">
        <v>-500.0</v>
      </c>
      <c r="P25" s="71"/>
      <c r="Q25" s="71">
        <f t="shared" si="2"/>
        <v>14650</v>
      </c>
      <c r="R25" s="71"/>
    </row>
    <row r="26" ht="14.25" customHeight="1">
      <c r="B26" s="68"/>
      <c r="C26" s="110" t="s">
        <v>49</v>
      </c>
      <c r="D26" s="66">
        <v>1.0</v>
      </c>
      <c r="E26" s="67">
        <v>2500.0</v>
      </c>
      <c r="F26" s="67"/>
      <c r="G26" s="67"/>
      <c r="H26" s="68"/>
      <c r="I26" s="67">
        <v>1000.0</v>
      </c>
      <c r="J26" s="67"/>
      <c r="K26" s="69">
        <f t="shared" si="1"/>
        <v>0</v>
      </c>
      <c r="L26" s="67"/>
      <c r="M26" s="67"/>
      <c r="N26" s="70">
        <v>1500.0</v>
      </c>
      <c r="O26" s="71">
        <v>-500.0</v>
      </c>
      <c r="P26" s="71"/>
      <c r="Q26" s="71">
        <f t="shared" si="2"/>
        <v>15650</v>
      </c>
      <c r="R26" s="71"/>
    </row>
    <row r="27" ht="14.25" customHeight="1">
      <c r="B27" s="81"/>
      <c r="C27" s="124" t="s">
        <v>50</v>
      </c>
      <c r="D27" s="87"/>
      <c r="E27" s="88"/>
      <c r="F27" s="88"/>
      <c r="G27" s="88"/>
      <c r="H27" s="81"/>
      <c r="I27" s="88"/>
      <c r="J27" s="88"/>
      <c r="K27" s="90">
        <f t="shared" si="1"/>
        <v>0</v>
      </c>
      <c r="L27" s="88"/>
      <c r="M27" s="88"/>
      <c r="N27" s="91"/>
      <c r="O27" s="88"/>
      <c r="P27" s="88"/>
      <c r="Q27" s="88">
        <f t="shared" si="2"/>
        <v>15650</v>
      </c>
      <c r="R27" s="88"/>
      <c r="U27" s="174">
        <v>58080.36</v>
      </c>
    </row>
    <row r="28" ht="14.25" customHeight="1">
      <c r="B28" s="68"/>
      <c r="C28" s="110" t="s">
        <v>52</v>
      </c>
      <c r="D28" s="66">
        <v>1.0</v>
      </c>
      <c r="E28" s="67">
        <v>1600.0</v>
      </c>
      <c r="F28" s="67"/>
      <c r="G28" s="67"/>
      <c r="H28" s="68"/>
      <c r="I28" s="67">
        <v>500.0</v>
      </c>
      <c r="J28" s="67"/>
      <c r="K28" s="69">
        <f t="shared" si="1"/>
        <v>0</v>
      </c>
      <c r="L28" s="67"/>
      <c r="M28" s="67"/>
      <c r="N28" s="70">
        <v>1100.0</v>
      </c>
      <c r="O28" s="71">
        <v>-500.0</v>
      </c>
      <c r="P28" s="71"/>
      <c r="Q28" s="71">
        <f t="shared" si="2"/>
        <v>16250</v>
      </c>
      <c r="R28" s="71"/>
      <c r="U28" s="206">
        <f>U27-27368</f>
        <v>30712.36</v>
      </c>
    </row>
    <row r="29" ht="14.25" customHeight="1">
      <c r="B29" s="68"/>
      <c r="C29" s="110"/>
      <c r="D29" s="66"/>
      <c r="E29" s="67"/>
      <c r="F29" s="67"/>
      <c r="G29" s="67"/>
      <c r="H29" s="68"/>
      <c r="I29" s="67"/>
      <c r="J29" s="67"/>
      <c r="K29" s="69"/>
      <c r="L29" s="67"/>
      <c r="M29" s="67"/>
      <c r="N29" s="70"/>
      <c r="O29" s="71"/>
      <c r="P29" s="71">
        <v>-2954.41</v>
      </c>
      <c r="Q29" s="71">
        <f t="shared" si="2"/>
        <v>13295.59</v>
      </c>
      <c r="R29" s="71" t="s">
        <v>55</v>
      </c>
    </row>
    <row r="30" ht="14.25" customHeight="1">
      <c r="B30" s="68"/>
      <c r="C30" s="110"/>
      <c r="D30" s="66"/>
      <c r="E30" s="67"/>
      <c r="F30" s="67"/>
      <c r="G30" s="67"/>
      <c r="H30" s="68"/>
      <c r="I30" s="67"/>
      <c r="J30" s="67"/>
      <c r="K30" s="69"/>
      <c r="L30" s="67"/>
      <c r="M30" s="67"/>
      <c r="N30" s="70"/>
      <c r="O30" s="71"/>
      <c r="P30" s="71">
        <v>-5472.35</v>
      </c>
      <c r="Q30" s="71">
        <f t="shared" si="2"/>
        <v>7823.24</v>
      </c>
      <c r="R30" s="71" t="s">
        <v>59</v>
      </c>
    </row>
    <row r="31" ht="14.25" customHeight="1">
      <c r="B31" s="68"/>
      <c r="C31" s="110"/>
      <c r="D31" s="66"/>
      <c r="E31" s="67"/>
      <c r="F31" s="67"/>
      <c r="G31" s="67"/>
      <c r="H31" s="68"/>
      <c r="I31" s="67"/>
      <c r="J31" s="67"/>
      <c r="K31" s="69">
        <f t="shared" ref="K31:K32" si="3">E31-I31-L31-M31-N31-J31+F31</f>
        <v>0</v>
      </c>
      <c r="L31" s="67"/>
      <c r="M31" s="67"/>
      <c r="N31" s="70"/>
      <c r="O31" s="71"/>
      <c r="P31" s="71">
        <v>-1627.64</v>
      </c>
      <c r="Q31" s="71">
        <f t="shared" si="2"/>
        <v>6195.6</v>
      </c>
      <c r="R31" s="71" t="s">
        <v>60</v>
      </c>
    </row>
    <row r="32" ht="14.25" customHeight="1">
      <c r="B32" s="210"/>
      <c r="C32" s="211"/>
      <c r="D32" s="173"/>
      <c r="E32" s="176"/>
      <c r="F32" s="176"/>
      <c r="G32" s="176"/>
      <c r="H32" s="210"/>
      <c r="I32" s="176"/>
      <c r="J32" s="176"/>
      <c r="K32" s="212">
        <f t="shared" si="3"/>
        <v>0</v>
      </c>
      <c r="L32" s="176"/>
      <c r="M32" s="176"/>
      <c r="N32" s="213"/>
      <c r="O32" s="214"/>
      <c r="P32" s="214">
        <v>-2800.0</v>
      </c>
      <c r="Q32" s="71">
        <f t="shared" si="2"/>
        <v>3395.6</v>
      </c>
      <c r="R32" s="71" t="s">
        <v>61</v>
      </c>
    </row>
    <row r="33" ht="14.25" customHeight="1">
      <c r="B33" s="215"/>
      <c r="C33" s="216"/>
      <c r="D33" s="217"/>
      <c r="E33" s="218"/>
      <c r="F33" s="218"/>
      <c r="G33" s="218"/>
      <c r="H33" s="215"/>
      <c r="I33" s="218"/>
      <c r="J33" s="218"/>
      <c r="K33" s="219"/>
      <c r="L33" s="218"/>
      <c r="M33" s="218"/>
      <c r="N33" s="220"/>
      <c r="O33" s="220"/>
      <c r="P33" s="221">
        <f>-6195+2799</f>
        <v>-3396</v>
      </c>
      <c r="Q33" s="70">
        <f t="shared" si="2"/>
        <v>-0.4</v>
      </c>
      <c r="R33" s="225" t="s">
        <v>63</v>
      </c>
    </row>
    <row r="34" ht="14.25" customHeight="1">
      <c r="B34" s="228" t="s">
        <v>21</v>
      </c>
      <c r="C34" s="229" t="s">
        <v>66</v>
      </c>
      <c r="D34" s="228">
        <f t="shared" ref="D34:E34" si="4">sum(D4:D31)</f>
        <v>22</v>
      </c>
      <c r="E34" s="232">
        <f t="shared" si="4"/>
        <v>46600</v>
      </c>
      <c r="F34" s="232"/>
      <c r="G34" s="232">
        <f>sum(G4:G31)</f>
        <v>950</v>
      </c>
      <c r="H34" s="228"/>
      <c r="I34" s="232">
        <f t="shared" ref="I34:P34" si="5">sum(I4:I31)</f>
        <v>19200</v>
      </c>
      <c r="J34" s="232">
        <f t="shared" si="5"/>
        <v>0</v>
      </c>
      <c r="K34" s="232">
        <f t="shared" si="5"/>
        <v>0</v>
      </c>
      <c r="L34" s="232">
        <f t="shared" si="5"/>
        <v>0</v>
      </c>
      <c r="M34" s="232">
        <f t="shared" si="5"/>
        <v>2050</v>
      </c>
      <c r="N34" s="232">
        <f t="shared" si="5"/>
        <v>26250</v>
      </c>
      <c r="O34" s="232">
        <f t="shared" si="5"/>
        <v>-10000</v>
      </c>
      <c r="P34" s="232">
        <f t="shared" si="5"/>
        <v>-10054.4</v>
      </c>
      <c r="Q34" s="233">
        <f>Q33</f>
        <v>-0.4</v>
      </c>
      <c r="R34" s="234"/>
    </row>
    <row r="35" ht="14.25" customHeight="1">
      <c r="B35" s="235" t="s">
        <v>38</v>
      </c>
      <c r="C35" s="236">
        <v>45659.0</v>
      </c>
      <c r="D35" s="66">
        <v>1.0</v>
      </c>
      <c r="E35" s="237">
        <v>2500.0</v>
      </c>
      <c r="F35" s="67"/>
      <c r="G35" s="67"/>
      <c r="H35" s="68"/>
      <c r="I35" s="237"/>
      <c r="J35" s="237">
        <v>1000.0</v>
      </c>
      <c r="K35" s="69">
        <f t="shared" ref="K35:K61" si="6">E35-I35-L35-M35-N35-J35+F35</f>
        <v>0</v>
      </c>
      <c r="L35" s="67"/>
      <c r="M35" s="67"/>
      <c r="N35" s="238">
        <v>1500.0</v>
      </c>
      <c r="O35" s="71">
        <v>-500.0</v>
      </c>
      <c r="P35" s="71"/>
      <c r="Q35" s="71">
        <f>N35+O35+P35</f>
        <v>1000</v>
      </c>
      <c r="R35" s="71"/>
    </row>
    <row r="36" ht="14.25" customHeight="1">
      <c r="B36" s="68"/>
      <c r="C36" s="236">
        <v>45691.0</v>
      </c>
      <c r="D36" s="66">
        <v>1.0</v>
      </c>
      <c r="E36" s="237">
        <v>2500.0</v>
      </c>
      <c r="F36" s="67"/>
      <c r="G36" s="67"/>
      <c r="H36" s="68"/>
      <c r="I36" s="237">
        <v>1000.0</v>
      </c>
      <c r="J36" s="67"/>
      <c r="K36" s="69">
        <f t="shared" si="6"/>
        <v>0</v>
      </c>
      <c r="L36" s="67"/>
      <c r="M36" s="67"/>
      <c r="N36" s="238">
        <v>1500.0</v>
      </c>
      <c r="O36" s="71">
        <v>-500.0</v>
      </c>
      <c r="P36" s="71"/>
      <c r="Q36" s="71">
        <f t="shared" ref="Q36:Q62" si="7">Q35+N36+O36+P36</f>
        <v>2000</v>
      </c>
      <c r="R36" s="71"/>
    </row>
    <row r="37" ht="14.25" customHeight="1">
      <c r="B37" s="68"/>
      <c r="C37" s="236">
        <v>45720.0</v>
      </c>
      <c r="D37" s="66">
        <v>1.0</v>
      </c>
      <c r="E37" s="237">
        <v>2000.0</v>
      </c>
      <c r="F37" s="67"/>
      <c r="G37" s="67"/>
      <c r="H37" s="68"/>
      <c r="I37" s="237">
        <v>1000.0</v>
      </c>
      <c r="J37" s="67"/>
      <c r="K37" s="69">
        <f t="shared" si="6"/>
        <v>0</v>
      </c>
      <c r="L37" s="67"/>
      <c r="M37" s="67"/>
      <c r="N37" s="238">
        <v>1000.0</v>
      </c>
      <c r="O37" s="71">
        <v>-500.0</v>
      </c>
      <c r="P37" s="71"/>
      <c r="Q37" s="71">
        <f t="shared" si="7"/>
        <v>2500</v>
      </c>
      <c r="R37" s="71"/>
    </row>
    <row r="38" ht="14.25" customHeight="1">
      <c r="B38" s="81"/>
      <c r="C38" s="239">
        <v>45753.0</v>
      </c>
      <c r="D38" s="87"/>
      <c r="E38" s="88"/>
      <c r="F38" s="88"/>
      <c r="G38" s="88"/>
      <c r="H38" s="81"/>
      <c r="I38" s="88"/>
      <c r="J38" s="88"/>
      <c r="K38" s="90">
        <f t="shared" si="6"/>
        <v>0</v>
      </c>
      <c r="L38" s="88"/>
      <c r="M38" s="88"/>
      <c r="N38" s="91"/>
      <c r="O38" s="88"/>
      <c r="P38" s="88"/>
      <c r="Q38" s="88">
        <f t="shared" si="7"/>
        <v>2500</v>
      </c>
      <c r="R38" s="88"/>
    </row>
    <row r="39" ht="14.25" customHeight="1">
      <c r="B39" s="68"/>
      <c r="C39" s="236">
        <v>45815.0</v>
      </c>
      <c r="D39" s="66">
        <v>1.0</v>
      </c>
      <c r="E39" s="237">
        <v>2000.0</v>
      </c>
      <c r="F39" s="67"/>
      <c r="G39" s="67"/>
      <c r="H39" s="68"/>
      <c r="I39" s="237">
        <v>1000.0</v>
      </c>
      <c r="J39" s="67"/>
      <c r="K39" s="69">
        <f t="shared" si="6"/>
        <v>0</v>
      </c>
      <c r="L39" s="67"/>
      <c r="M39" s="67"/>
      <c r="N39" s="238">
        <v>1000.0</v>
      </c>
      <c r="O39" s="71">
        <v>-500.0</v>
      </c>
      <c r="P39" s="71"/>
      <c r="Q39" s="71">
        <f t="shared" si="7"/>
        <v>3000</v>
      </c>
      <c r="R39" s="71"/>
    </row>
    <row r="40" ht="14.25" customHeight="1">
      <c r="B40" s="68"/>
      <c r="C40" s="236">
        <v>45846.0</v>
      </c>
      <c r="D40" s="66">
        <v>1.0</v>
      </c>
      <c r="E40" s="237">
        <v>2300.0</v>
      </c>
      <c r="F40" s="67"/>
      <c r="G40" s="67"/>
      <c r="H40" s="68"/>
      <c r="I40" s="237">
        <v>1000.0</v>
      </c>
      <c r="J40" s="67"/>
      <c r="K40" s="69">
        <f t="shared" si="6"/>
        <v>0</v>
      </c>
      <c r="L40" s="67"/>
      <c r="M40" s="67"/>
      <c r="N40" s="238">
        <v>1300.0</v>
      </c>
      <c r="O40" s="71">
        <v>-500.0</v>
      </c>
      <c r="P40" s="71"/>
      <c r="Q40" s="71">
        <f t="shared" si="7"/>
        <v>3800</v>
      </c>
      <c r="R40" s="71"/>
    </row>
    <row r="41" ht="14.25" customHeight="1">
      <c r="B41" s="68"/>
      <c r="C41" s="236">
        <v>45878.0</v>
      </c>
      <c r="D41" s="66">
        <v>1.0</v>
      </c>
      <c r="E41" s="237">
        <v>2500.0</v>
      </c>
      <c r="F41" s="67"/>
      <c r="G41" s="67"/>
      <c r="H41" s="68"/>
      <c r="I41" s="237">
        <v>1000.0</v>
      </c>
      <c r="J41" s="67"/>
      <c r="K41" s="69">
        <f t="shared" si="6"/>
        <v>0</v>
      </c>
      <c r="L41" s="67"/>
      <c r="M41" s="67"/>
      <c r="N41" s="238">
        <v>1500.0</v>
      </c>
      <c r="O41" s="71">
        <v>-500.0</v>
      </c>
      <c r="P41" s="71"/>
      <c r="Q41" s="71">
        <f t="shared" si="7"/>
        <v>4800</v>
      </c>
      <c r="R41" s="71"/>
    </row>
    <row r="42" ht="14.25" customHeight="1">
      <c r="B42" s="68"/>
      <c r="C42" s="236">
        <v>45911.0</v>
      </c>
      <c r="D42" s="241">
        <v>2.0</v>
      </c>
      <c r="E42" s="237">
        <v>4000.0</v>
      </c>
      <c r="F42" s="67"/>
      <c r="G42" s="67"/>
      <c r="H42" s="68"/>
      <c r="I42" s="237">
        <v>1500.0</v>
      </c>
      <c r="J42" s="67"/>
      <c r="K42" s="69">
        <f t="shared" si="6"/>
        <v>0</v>
      </c>
      <c r="L42" s="67"/>
      <c r="M42" s="67"/>
      <c r="N42" s="238">
        <v>2500.0</v>
      </c>
      <c r="O42" s="71">
        <v>-500.0</v>
      </c>
      <c r="P42" s="71"/>
      <c r="Q42" s="71">
        <f t="shared" si="7"/>
        <v>6800</v>
      </c>
      <c r="R42" s="71"/>
    </row>
    <row r="43" ht="14.25" customHeight="1">
      <c r="B43" s="81"/>
      <c r="C43" s="239">
        <v>45974.0</v>
      </c>
      <c r="D43" s="87"/>
      <c r="E43" s="88"/>
      <c r="F43" s="88"/>
      <c r="G43" s="88"/>
      <c r="H43" s="81"/>
      <c r="I43" s="88"/>
      <c r="J43" s="88"/>
      <c r="K43" s="90">
        <f t="shared" si="6"/>
        <v>0</v>
      </c>
      <c r="L43" s="88"/>
      <c r="M43" s="88"/>
      <c r="N43" s="91"/>
      <c r="O43" s="88"/>
      <c r="P43" s="88"/>
      <c r="Q43" s="88">
        <f t="shared" si="7"/>
        <v>6800</v>
      </c>
      <c r="R43" s="88"/>
    </row>
    <row r="44" ht="14.25" customHeight="1">
      <c r="B44" s="68"/>
      <c r="C44" s="243" t="s">
        <v>46</v>
      </c>
      <c r="D44" s="66">
        <v>1.0</v>
      </c>
      <c r="E44" s="237">
        <v>1800.0</v>
      </c>
      <c r="F44" s="67"/>
      <c r="G44" s="67"/>
      <c r="H44" s="68"/>
      <c r="I44" s="237">
        <v>500.0</v>
      </c>
      <c r="J44" s="67"/>
      <c r="K44" s="69">
        <f t="shared" si="6"/>
        <v>0</v>
      </c>
      <c r="L44" s="67"/>
      <c r="M44" s="67"/>
      <c r="N44" s="238">
        <v>1300.0</v>
      </c>
      <c r="O44" s="71">
        <v>-500.0</v>
      </c>
      <c r="P44" s="71"/>
      <c r="Q44" s="71">
        <f t="shared" si="7"/>
        <v>7600</v>
      </c>
      <c r="R44" s="71"/>
    </row>
    <row r="45" ht="14.25" customHeight="1">
      <c r="B45" s="68"/>
      <c r="C45" s="243" t="s">
        <v>29</v>
      </c>
      <c r="D45" s="66">
        <v>1.0</v>
      </c>
      <c r="E45" s="237">
        <v>3500.0</v>
      </c>
      <c r="F45" s="67"/>
      <c r="G45" s="67"/>
      <c r="H45" s="68"/>
      <c r="I45" s="237">
        <v>1000.0</v>
      </c>
      <c r="J45" s="67"/>
      <c r="K45" s="69">
        <f t="shared" si="6"/>
        <v>0</v>
      </c>
      <c r="L45" s="67"/>
      <c r="M45" s="67">
        <f>2500</f>
        <v>2500</v>
      </c>
      <c r="N45" s="70"/>
      <c r="O45" s="71">
        <v>-500.0</v>
      </c>
      <c r="P45" s="71"/>
      <c r="Q45" s="71">
        <f t="shared" si="7"/>
        <v>7100</v>
      </c>
      <c r="R45" s="71"/>
    </row>
    <row r="46" ht="14.25" customHeight="1">
      <c r="B46" s="68"/>
      <c r="C46" s="243"/>
      <c r="D46" s="66"/>
      <c r="E46" s="237">
        <v>1000.0</v>
      </c>
      <c r="F46" s="67"/>
      <c r="G46" s="67"/>
      <c r="H46" s="248" t="s">
        <v>81</v>
      </c>
      <c r="I46" s="237">
        <v>1000.0</v>
      </c>
      <c r="J46" s="67"/>
      <c r="K46" s="69">
        <f t="shared" si="6"/>
        <v>0</v>
      </c>
      <c r="L46" s="67"/>
      <c r="M46" s="67"/>
      <c r="N46" s="70"/>
      <c r="O46" s="71"/>
      <c r="P46" s="71"/>
      <c r="Q46" s="71">
        <f t="shared" si="7"/>
        <v>7100</v>
      </c>
      <c r="R46" s="71"/>
    </row>
    <row r="47" ht="14.25" customHeight="1">
      <c r="B47" s="68"/>
      <c r="C47" s="243" t="s">
        <v>30</v>
      </c>
      <c r="D47" s="66">
        <v>1.0</v>
      </c>
      <c r="E47" s="237">
        <v>2500.0</v>
      </c>
      <c r="F47" s="67"/>
      <c r="G47" s="67"/>
      <c r="H47" s="68"/>
      <c r="I47" s="67"/>
      <c r="J47" s="67"/>
      <c r="K47" s="69">
        <f t="shared" si="6"/>
        <v>0</v>
      </c>
      <c r="L47" s="67"/>
      <c r="M47" s="67"/>
      <c r="N47" s="238">
        <v>2500.0</v>
      </c>
      <c r="O47" s="71">
        <v>-500.0</v>
      </c>
      <c r="P47" s="71"/>
      <c r="Q47" s="71">
        <f t="shared" si="7"/>
        <v>9100</v>
      </c>
      <c r="R47" s="71"/>
    </row>
    <row r="48" ht="14.25" customHeight="1">
      <c r="B48" s="68"/>
      <c r="C48" s="243"/>
      <c r="D48" s="66"/>
      <c r="E48" s="237">
        <v>1000.0</v>
      </c>
      <c r="F48" s="67"/>
      <c r="G48" s="67"/>
      <c r="H48" s="248" t="s">
        <v>81</v>
      </c>
      <c r="I48" s="237">
        <v>1000.0</v>
      </c>
      <c r="J48" s="67"/>
      <c r="K48" s="69">
        <f t="shared" si="6"/>
        <v>0</v>
      </c>
      <c r="L48" s="67"/>
      <c r="M48" s="67"/>
      <c r="N48" s="70"/>
      <c r="O48" s="71"/>
      <c r="P48" s="71"/>
      <c r="Q48" s="71">
        <f t="shared" si="7"/>
        <v>9100</v>
      </c>
      <c r="R48" s="71"/>
    </row>
    <row r="49" ht="14.25" customHeight="1">
      <c r="B49" s="68"/>
      <c r="C49" s="243" t="s">
        <v>31</v>
      </c>
      <c r="D49" s="66">
        <v>1.0</v>
      </c>
      <c r="E49" s="237">
        <v>2000.0</v>
      </c>
      <c r="F49" s="67"/>
      <c r="G49" s="67"/>
      <c r="H49" s="68"/>
      <c r="I49" s="237">
        <v>500.0</v>
      </c>
      <c r="J49" s="67"/>
      <c r="K49" s="69">
        <f t="shared" si="6"/>
        <v>0</v>
      </c>
      <c r="L49" s="67"/>
      <c r="M49" s="67"/>
      <c r="N49" s="238">
        <v>1500.0</v>
      </c>
      <c r="O49" s="71">
        <v>-500.0</v>
      </c>
      <c r="P49" s="71"/>
      <c r="Q49" s="71">
        <f t="shared" si="7"/>
        <v>10100</v>
      </c>
      <c r="R49" s="71"/>
    </row>
    <row r="50" ht="14.25" customHeight="1">
      <c r="B50" s="68"/>
      <c r="C50" s="243" t="s">
        <v>56</v>
      </c>
      <c r="D50" s="241">
        <v>2.0</v>
      </c>
      <c r="E50" s="237">
        <v>3500.0</v>
      </c>
      <c r="F50" s="237">
        <v>700.0</v>
      </c>
      <c r="G50" s="67"/>
      <c r="H50" s="68"/>
      <c r="I50" s="237">
        <v>1500.0</v>
      </c>
      <c r="J50" s="67"/>
      <c r="K50" s="69">
        <f t="shared" si="6"/>
        <v>0</v>
      </c>
      <c r="L50" s="67"/>
      <c r="M50" s="67"/>
      <c r="N50" s="238">
        <v>2700.0</v>
      </c>
      <c r="O50" s="71">
        <v>-500.0</v>
      </c>
      <c r="P50" s="71"/>
      <c r="Q50" s="71">
        <f t="shared" si="7"/>
        <v>12300</v>
      </c>
      <c r="R50" s="71"/>
    </row>
    <row r="51" ht="14.25" customHeight="1">
      <c r="B51" s="68"/>
      <c r="C51" s="243" t="s">
        <v>34</v>
      </c>
      <c r="D51" s="66">
        <v>1.0</v>
      </c>
      <c r="E51" s="237">
        <v>2000.0</v>
      </c>
      <c r="F51" s="67"/>
      <c r="G51" s="67"/>
      <c r="H51" s="68"/>
      <c r="I51" s="237">
        <v>1000.0</v>
      </c>
      <c r="J51" s="67"/>
      <c r="K51" s="69">
        <f t="shared" si="6"/>
        <v>0</v>
      </c>
      <c r="L51" s="67"/>
      <c r="M51" s="67"/>
      <c r="N51" s="238">
        <v>1000.0</v>
      </c>
      <c r="O51" s="71">
        <v>-500.0</v>
      </c>
      <c r="P51" s="71"/>
      <c r="Q51" s="71">
        <f t="shared" si="7"/>
        <v>12800</v>
      </c>
      <c r="R51" s="71"/>
    </row>
    <row r="52" ht="14.25" customHeight="1">
      <c r="B52" s="68"/>
      <c r="C52" s="243" t="s">
        <v>69</v>
      </c>
      <c r="D52" s="66">
        <v>1.0</v>
      </c>
      <c r="E52" s="237">
        <v>2000.0</v>
      </c>
      <c r="F52" s="67"/>
      <c r="G52" s="67"/>
      <c r="H52" s="68"/>
      <c r="I52" s="237">
        <v>500.0</v>
      </c>
      <c r="J52" s="67"/>
      <c r="K52" s="69">
        <f t="shared" si="6"/>
        <v>0</v>
      </c>
      <c r="L52" s="67"/>
      <c r="M52" s="67"/>
      <c r="N52" s="238">
        <v>1500.0</v>
      </c>
      <c r="O52" s="71">
        <v>-500.0</v>
      </c>
      <c r="P52" s="71"/>
      <c r="Q52" s="71">
        <f t="shared" si="7"/>
        <v>13800</v>
      </c>
      <c r="R52" s="71"/>
    </row>
    <row r="53" ht="14.25" customHeight="1">
      <c r="B53" s="68"/>
      <c r="C53" s="243" t="s">
        <v>68</v>
      </c>
      <c r="D53" s="241">
        <v>1.0</v>
      </c>
      <c r="E53" s="237">
        <v>2100.0</v>
      </c>
      <c r="F53" s="67"/>
      <c r="G53" s="67"/>
      <c r="H53" s="68"/>
      <c r="I53" s="237">
        <v>800.0</v>
      </c>
      <c r="J53" s="67"/>
      <c r="K53" s="69">
        <f t="shared" si="6"/>
        <v>0</v>
      </c>
      <c r="L53" s="67"/>
      <c r="M53" s="237">
        <v>1300.0</v>
      </c>
      <c r="N53" s="238"/>
      <c r="O53" s="71">
        <v>-500.0</v>
      </c>
      <c r="P53" s="71"/>
      <c r="Q53" s="71">
        <f t="shared" si="7"/>
        <v>13300</v>
      </c>
      <c r="R53" s="71"/>
    </row>
    <row r="54" ht="14.25" customHeight="1">
      <c r="B54" s="68"/>
      <c r="C54" s="243" t="s">
        <v>37</v>
      </c>
      <c r="D54" s="241">
        <v>1.0</v>
      </c>
      <c r="E54" s="237">
        <v>2500.0</v>
      </c>
      <c r="F54" s="67"/>
      <c r="G54" s="67"/>
      <c r="H54" s="68"/>
      <c r="I54" s="237">
        <v>1000.0</v>
      </c>
      <c r="J54" s="67"/>
      <c r="K54" s="69">
        <f t="shared" si="6"/>
        <v>0</v>
      </c>
      <c r="L54" s="67"/>
      <c r="M54" s="67"/>
      <c r="N54" s="238">
        <v>1500.0</v>
      </c>
      <c r="O54" s="267">
        <v>-500.0</v>
      </c>
      <c r="P54" s="71"/>
      <c r="Q54" s="71">
        <f t="shared" si="7"/>
        <v>14300</v>
      </c>
      <c r="R54" s="71"/>
    </row>
    <row r="55" ht="14.25" customHeight="1">
      <c r="B55" s="68"/>
      <c r="C55" s="243" t="s">
        <v>41</v>
      </c>
      <c r="D55" s="241">
        <v>1.0</v>
      </c>
      <c r="E55" s="237">
        <v>1800.0</v>
      </c>
      <c r="F55" s="67"/>
      <c r="G55" s="67"/>
      <c r="H55" s="68"/>
      <c r="I55" s="237">
        <v>500.0</v>
      </c>
      <c r="J55" s="67"/>
      <c r="K55" s="69">
        <f t="shared" si="6"/>
        <v>0</v>
      </c>
      <c r="L55" s="67"/>
      <c r="M55" s="67"/>
      <c r="N55" s="238">
        <v>1300.0</v>
      </c>
      <c r="O55" s="267">
        <v>-500.0</v>
      </c>
      <c r="P55" s="71"/>
      <c r="Q55" s="71">
        <f t="shared" si="7"/>
        <v>15100</v>
      </c>
      <c r="R55" s="71"/>
    </row>
    <row r="56" ht="14.25" customHeight="1">
      <c r="B56" s="68"/>
      <c r="C56" s="243" t="s">
        <v>44</v>
      </c>
      <c r="D56" s="66">
        <v>1.0</v>
      </c>
      <c r="E56" s="237">
        <v>1800.0</v>
      </c>
      <c r="F56" s="67"/>
      <c r="G56" s="67"/>
      <c r="H56" s="68"/>
      <c r="I56" s="237">
        <v>800.0</v>
      </c>
      <c r="J56" s="67"/>
      <c r="K56" s="69">
        <f t="shared" si="6"/>
        <v>0</v>
      </c>
      <c r="L56" s="67"/>
      <c r="M56" s="237">
        <v>1000.0</v>
      </c>
      <c r="N56" s="70"/>
      <c r="O56" s="71">
        <v>-500.0</v>
      </c>
      <c r="P56" s="71"/>
      <c r="Q56" s="71">
        <f t="shared" si="7"/>
        <v>14600</v>
      </c>
      <c r="R56" s="71"/>
    </row>
    <row r="57" ht="14.25" customHeight="1">
      <c r="B57" s="68"/>
      <c r="C57" s="269" t="s">
        <v>90</v>
      </c>
      <c r="D57" s="270">
        <v>1.0</v>
      </c>
      <c r="E57" s="237">
        <v>2300.0</v>
      </c>
      <c r="F57" s="67"/>
      <c r="G57" s="237">
        <v>-700.0</v>
      </c>
      <c r="H57" s="68"/>
      <c r="I57" s="237"/>
      <c r="J57" s="67"/>
      <c r="K57" s="69">
        <f t="shared" si="6"/>
        <v>0</v>
      </c>
      <c r="L57" s="67"/>
      <c r="M57" s="67"/>
      <c r="N57" s="238">
        <v>2300.0</v>
      </c>
      <c r="O57" s="71">
        <v>-500.0</v>
      </c>
      <c r="P57" s="71"/>
      <c r="Q57" s="71">
        <f t="shared" si="7"/>
        <v>16400</v>
      </c>
      <c r="R57" s="71"/>
    </row>
    <row r="58" ht="14.25" customHeight="1">
      <c r="B58" s="68"/>
      <c r="C58" s="243" t="s">
        <v>86</v>
      </c>
      <c r="D58" s="241">
        <v>2.0</v>
      </c>
      <c r="E58" s="237">
        <f>3800+500</f>
        <v>4300</v>
      </c>
      <c r="F58" s="67"/>
      <c r="G58" s="67"/>
      <c r="H58" s="68"/>
      <c r="I58" s="67"/>
      <c r="J58" s="67"/>
      <c r="K58" s="69">
        <f t="shared" si="6"/>
        <v>0</v>
      </c>
      <c r="L58" s="67"/>
      <c r="M58" s="237">
        <v>1000.0</v>
      </c>
      <c r="N58" s="238">
        <f>2800+500</f>
        <v>3300</v>
      </c>
      <c r="O58" s="267">
        <v>-500.0</v>
      </c>
      <c r="P58" s="71"/>
      <c r="Q58" s="71">
        <f t="shared" si="7"/>
        <v>19200</v>
      </c>
      <c r="R58" s="267"/>
    </row>
    <row r="59" ht="14.25" customHeight="1">
      <c r="B59" s="68"/>
      <c r="C59" s="243" t="s">
        <v>74</v>
      </c>
      <c r="D59" s="241">
        <v>1.0</v>
      </c>
      <c r="E59" s="237">
        <v>2300.0</v>
      </c>
      <c r="F59" s="237">
        <v>350.0</v>
      </c>
      <c r="G59" s="67"/>
      <c r="H59" s="68"/>
      <c r="I59" s="237">
        <v>1000.0</v>
      </c>
      <c r="J59" s="67"/>
      <c r="K59" s="69">
        <f t="shared" si="6"/>
        <v>0</v>
      </c>
      <c r="L59" s="67"/>
      <c r="M59" s="67"/>
      <c r="N59" s="238">
        <v>1650.0</v>
      </c>
      <c r="O59" s="267">
        <v>-500.0</v>
      </c>
      <c r="P59" s="71"/>
      <c r="Q59" s="71">
        <f t="shared" si="7"/>
        <v>20350</v>
      </c>
      <c r="R59" s="71"/>
    </row>
    <row r="60" ht="14.25" customHeight="1">
      <c r="B60" s="68"/>
      <c r="C60" s="110"/>
      <c r="D60" s="66"/>
      <c r="E60" s="67"/>
      <c r="F60" s="67"/>
      <c r="G60" s="67"/>
      <c r="H60" s="68"/>
      <c r="I60" s="67"/>
      <c r="J60" s="67"/>
      <c r="K60" s="69">
        <f t="shared" si="6"/>
        <v>0</v>
      </c>
      <c r="L60" s="67"/>
      <c r="M60" s="67"/>
      <c r="N60" s="70"/>
      <c r="O60" s="71"/>
      <c r="P60" s="273">
        <v>-3209.08</v>
      </c>
      <c r="Q60" s="71">
        <f t="shared" si="7"/>
        <v>17140.92</v>
      </c>
      <c r="R60" s="71" t="s">
        <v>55</v>
      </c>
    </row>
    <row r="61" ht="14.25" customHeight="1">
      <c r="B61" s="210"/>
      <c r="C61" s="211"/>
      <c r="D61" s="173"/>
      <c r="E61" s="176"/>
      <c r="F61" s="176"/>
      <c r="G61" s="176"/>
      <c r="H61" s="210"/>
      <c r="I61" s="176"/>
      <c r="J61" s="176"/>
      <c r="K61" s="212">
        <f t="shared" si="6"/>
        <v>0</v>
      </c>
      <c r="L61" s="176"/>
      <c r="M61" s="176"/>
      <c r="N61" s="213"/>
      <c r="O61" s="214"/>
      <c r="P61" s="274">
        <v>-4909.98</v>
      </c>
      <c r="Q61" s="214">
        <f t="shared" si="7"/>
        <v>12230.94</v>
      </c>
      <c r="R61" s="214" t="s">
        <v>59</v>
      </c>
    </row>
    <row r="62" ht="14.25" customHeight="1">
      <c r="B62" s="275"/>
      <c r="C62" s="216"/>
      <c r="D62" s="217"/>
      <c r="E62" s="218"/>
      <c r="F62" s="218"/>
      <c r="G62" s="218"/>
      <c r="H62" s="275"/>
      <c r="I62" s="218"/>
      <c r="J62" s="218"/>
      <c r="K62" s="219"/>
      <c r="L62" s="218"/>
      <c r="M62" s="218"/>
      <c r="N62" s="220"/>
      <c r="O62" s="220"/>
      <c r="P62" s="278">
        <v>-12230.94</v>
      </c>
      <c r="Q62" s="214">
        <f t="shared" si="7"/>
        <v>0</v>
      </c>
      <c r="R62" s="220"/>
    </row>
    <row r="63" ht="14.25" hidden="1" customHeight="1">
      <c r="B63" s="215"/>
      <c r="C63" s="216"/>
      <c r="D63" s="217"/>
      <c r="E63" s="218"/>
      <c r="F63" s="218"/>
      <c r="G63" s="218"/>
      <c r="H63" s="215"/>
      <c r="I63" s="218"/>
      <c r="J63" s="218"/>
      <c r="K63" s="219"/>
      <c r="L63" s="218"/>
      <c r="M63" s="218"/>
      <c r="N63" s="220"/>
      <c r="O63" s="220"/>
      <c r="P63" s="221"/>
      <c r="Q63" s="281">
        <f>Q61+N63+O63+P63</f>
        <v>12230.94</v>
      </c>
      <c r="R63" s="225" t="s">
        <v>63</v>
      </c>
    </row>
    <row r="64" ht="14.25" customHeight="1">
      <c r="B64" s="283" t="s">
        <v>38</v>
      </c>
      <c r="C64" s="229" t="s">
        <v>66</v>
      </c>
      <c r="D64" s="228">
        <f t="shared" ref="D64:E64" si="8">sum(D35:D60)</f>
        <v>24</v>
      </c>
      <c r="E64" s="232">
        <f t="shared" si="8"/>
        <v>54200</v>
      </c>
      <c r="F64" s="232"/>
      <c r="G64" s="232">
        <f>sum(G35:G60)</f>
        <v>-700</v>
      </c>
      <c r="H64" s="228"/>
      <c r="I64" s="232">
        <f t="shared" ref="I64:M64" si="9">sum(I35:I60)</f>
        <v>17600</v>
      </c>
      <c r="J64" s="232">
        <f t="shared" si="9"/>
        <v>1000</v>
      </c>
      <c r="K64" s="232">
        <f t="shared" si="9"/>
        <v>0</v>
      </c>
      <c r="L64" s="232">
        <f t="shared" si="9"/>
        <v>0</v>
      </c>
      <c r="M64" s="232">
        <f t="shared" si="9"/>
        <v>5800</v>
      </c>
      <c r="N64" s="232"/>
      <c r="O64" s="232">
        <f t="shared" ref="O64:P64" si="10">sum(O35:O60)</f>
        <v>-10500</v>
      </c>
      <c r="P64" s="232">
        <f t="shared" si="10"/>
        <v>-3209.08</v>
      </c>
      <c r="Q64" s="233">
        <f>Q62</f>
        <v>0</v>
      </c>
      <c r="R64" s="234"/>
    </row>
    <row r="65" ht="14.25" customHeight="1">
      <c r="B65" s="235" t="s">
        <v>91</v>
      </c>
      <c r="C65" s="236">
        <v>45659.0</v>
      </c>
      <c r="D65" s="66">
        <v>1.0</v>
      </c>
      <c r="E65" s="237">
        <v>2299.0</v>
      </c>
      <c r="F65" s="67"/>
      <c r="G65" s="67"/>
      <c r="H65" s="68"/>
      <c r="I65" s="237">
        <v>500.0</v>
      </c>
      <c r="J65" s="237"/>
      <c r="K65" s="69">
        <f>E65-I65-L65-M65-N65-J65+F65</f>
        <v>0</v>
      </c>
      <c r="L65" s="67"/>
      <c r="M65" s="67"/>
      <c r="N65" s="238">
        <v>1799.0</v>
      </c>
      <c r="O65" s="71">
        <v>-500.0</v>
      </c>
      <c r="P65" s="71"/>
      <c r="Q65" s="71">
        <f>N65+O65+P65</f>
        <v>1299</v>
      </c>
      <c r="R65" s="71"/>
    </row>
    <row r="66" ht="14.25" customHeight="1">
      <c r="B66" s="68"/>
      <c r="C66" s="236"/>
      <c r="D66" s="66"/>
      <c r="E66" s="237">
        <v>500.0</v>
      </c>
      <c r="F66" s="67"/>
      <c r="G66" s="67"/>
      <c r="H66" s="248" t="s">
        <v>81</v>
      </c>
      <c r="I66" s="237"/>
      <c r="J66" s="67"/>
      <c r="K66" s="69"/>
      <c r="L66" s="67"/>
      <c r="M66" s="67"/>
      <c r="N66" s="238"/>
      <c r="O66" s="71"/>
      <c r="P66" s="71"/>
      <c r="Q66" s="214">
        <f t="shared" ref="Q66:Q94" si="11">Q65+N66+O66+P66</f>
        <v>1299</v>
      </c>
      <c r="R66" s="71"/>
    </row>
    <row r="67" ht="14.25" customHeight="1">
      <c r="B67" s="68"/>
      <c r="C67" s="236">
        <v>45691.0</v>
      </c>
      <c r="D67" s="241">
        <v>1.0</v>
      </c>
      <c r="E67" s="237">
        <v>2200.0</v>
      </c>
      <c r="F67" s="67"/>
      <c r="G67" s="67"/>
      <c r="H67" s="68"/>
      <c r="I67" s="237">
        <v>1000.0</v>
      </c>
      <c r="J67" s="67"/>
      <c r="K67" s="69">
        <f t="shared" ref="K67:K91" si="12">E67-I67-L67-M67-N67-J67+F67</f>
        <v>0</v>
      </c>
      <c r="L67" s="67"/>
      <c r="M67" s="67"/>
      <c r="N67" s="238">
        <v>1200.0</v>
      </c>
      <c r="O67" s="71">
        <v>-500.0</v>
      </c>
      <c r="P67" s="71"/>
      <c r="Q67" s="214">
        <f t="shared" si="11"/>
        <v>1999</v>
      </c>
      <c r="R67" s="71"/>
    </row>
    <row r="68" ht="14.25" customHeight="1">
      <c r="B68" s="81"/>
      <c r="C68" s="239">
        <v>45721.0</v>
      </c>
      <c r="D68" s="87"/>
      <c r="E68" s="294"/>
      <c r="F68" s="88"/>
      <c r="G68" s="88"/>
      <c r="H68" s="81"/>
      <c r="I68" s="294"/>
      <c r="J68" s="88"/>
      <c r="K68" s="90">
        <f t="shared" si="12"/>
        <v>0</v>
      </c>
      <c r="L68" s="88"/>
      <c r="M68" s="88"/>
      <c r="N68" s="295"/>
      <c r="O68" s="88"/>
      <c r="P68" s="88"/>
      <c r="Q68" s="194">
        <f t="shared" si="11"/>
        <v>1999</v>
      </c>
      <c r="R68" s="88"/>
    </row>
    <row r="69" ht="14.25" customHeight="1">
      <c r="B69" s="68"/>
      <c r="C69" s="236">
        <v>45783.0</v>
      </c>
      <c r="D69" s="241">
        <v>1.0</v>
      </c>
      <c r="E69" s="237">
        <v>2000.0</v>
      </c>
      <c r="F69" s="237">
        <v>350.0</v>
      </c>
      <c r="G69" s="67"/>
      <c r="H69" s="68"/>
      <c r="I69" s="237">
        <v>1200.0</v>
      </c>
      <c r="J69" s="67"/>
      <c r="K69" s="69">
        <f t="shared" si="12"/>
        <v>0</v>
      </c>
      <c r="L69" s="67"/>
      <c r="M69" s="67"/>
      <c r="N69" s="238">
        <v>1150.0</v>
      </c>
      <c r="O69" s="71">
        <v>-500.0</v>
      </c>
      <c r="P69" s="71"/>
      <c r="Q69" s="214">
        <f t="shared" si="11"/>
        <v>2649</v>
      </c>
      <c r="R69" s="71"/>
    </row>
    <row r="70" ht="14.25" customHeight="1">
      <c r="B70" s="68"/>
      <c r="C70" s="236">
        <v>45815.0</v>
      </c>
      <c r="D70" s="241">
        <v>1.0</v>
      </c>
      <c r="E70" s="237">
        <v>2000.0</v>
      </c>
      <c r="F70" s="67"/>
      <c r="G70" s="67"/>
      <c r="H70" s="68"/>
      <c r="I70" s="237">
        <v>1000.0</v>
      </c>
      <c r="J70" s="67"/>
      <c r="K70" s="69">
        <f t="shared" si="12"/>
        <v>0</v>
      </c>
      <c r="L70" s="67"/>
      <c r="M70" s="67"/>
      <c r="N70" s="238">
        <v>1000.0</v>
      </c>
      <c r="O70" s="71">
        <v>-500.0</v>
      </c>
      <c r="P70" s="71"/>
      <c r="Q70" s="214">
        <f t="shared" si="11"/>
        <v>3149</v>
      </c>
      <c r="R70" s="71"/>
    </row>
    <row r="71" ht="14.25" customHeight="1">
      <c r="B71" s="68"/>
      <c r="C71" s="236">
        <v>45846.0</v>
      </c>
      <c r="D71" s="241">
        <v>1.0</v>
      </c>
      <c r="E71" s="237">
        <v>2000.0</v>
      </c>
      <c r="F71" s="67"/>
      <c r="G71" s="67"/>
      <c r="H71" s="68"/>
      <c r="I71" s="237">
        <v>800.0</v>
      </c>
      <c r="J71" s="67"/>
      <c r="K71" s="69">
        <f t="shared" si="12"/>
        <v>0</v>
      </c>
      <c r="L71" s="67"/>
      <c r="M71" s="237">
        <v>1200.0</v>
      </c>
      <c r="N71" s="238"/>
      <c r="O71" s="71">
        <v>-500.0</v>
      </c>
      <c r="P71" s="71"/>
      <c r="Q71" s="214">
        <f t="shared" si="11"/>
        <v>2649</v>
      </c>
      <c r="R71" s="71"/>
    </row>
    <row r="72" ht="14.25" customHeight="1">
      <c r="B72" s="68"/>
      <c r="C72" s="236">
        <v>45878.0</v>
      </c>
      <c r="D72" s="241">
        <v>1.0</v>
      </c>
      <c r="E72" s="237">
        <v>2500.0</v>
      </c>
      <c r="F72" s="67"/>
      <c r="G72" s="67"/>
      <c r="H72" s="68"/>
      <c r="I72" s="237">
        <v>1000.0</v>
      </c>
      <c r="J72" s="67"/>
      <c r="K72" s="69">
        <f t="shared" si="12"/>
        <v>0</v>
      </c>
      <c r="L72" s="67"/>
      <c r="M72" s="67"/>
      <c r="N72" s="238">
        <v>1500.0</v>
      </c>
      <c r="O72" s="71">
        <v>-500.0</v>
      </c>
      <c r="P72" s="71"/>
      <c r="Q72" s="214">
        <f t="shared" si="11"/>
        <v>3649</v>
      </c>
      <c r="R72" s="71"/>
    </row>
    <row r="73" ht="14.25" customHeight="1">
      <c r="B73" s="81"/>
      <c r="C73" s="239">
        <v>45910.0</v>
      </c>
      <c r="D73" s="87"/>
      <c r="E73" s="88"/>
      <c r="F73" s="88"/>
      <c r="G73" s="88"/>
      <c r="H73" s="81"/>
      <c r="I73" s="88"/>
      <c r="J73" s="88"/>
      <c r="K73" s="90">
        <f t="shared" si="12"/>
        <v>0</v>
      </c>
      <c r="L73" s="88"/>
      <c r="M73" s="88"/>
      <c r="N73" s="91"/>
      <c r="O73" s="88"/>
      <c r="P73" s="88"/>
      <c r="Q73" s="194">
        <f t="shared" si="11"/>
        <v>3649</v>
      </c>
      <c r="R73" s="88"/>
    </row>
    <row r="74" ht="14.25" customHeight="1">
      <c r="B74" s="68"/>
      <c r="C74" s="236">
        <v>45941.0</v>
      </c>
      <c r="D74" s="241">
        <v>1.0</v>
      </c>
      <c r="E74" s="237">
        <v>2000.0</v>
      </c>
      <c r="F74" s="67"/>
      <c r="G74" s="67"/>
      <c r="H74" s="68"/>
      <c r="I74" s="237">
        <v>1000.0</v>
      </c>
      <c r="J74" s="67"/>
      <c r="K74" s="69">
        <f t="shared" si="12"/>
        <v>0</v>
      </c>
      <c r="L74" s="67"/>
      <c r="M74" s="67"/>
      <c r="N74" s="238">
        <v>1000.0</v>
      </c>
      <c r="O74" s="71">
        <v>-500.0</v>
      </c>
      <c r="P74" s="71"/>
      <c r="Q74" s="214">
        <f t="shared" si="11"/>
        <v>4149</v>
      </c>
      <c r="R74" s="71"/>
    </row>
    <row r="75" ht="14.25" customHeight="1">
      <c r="B75" s="81"/>
      <c r="C75" s="239">
        <v>45975.0</v>
      </c>
      <c r="D75" s="87"/>
      <c r="E75" s="294"/>
      <c r="F75" s="88"/>
      <c r="G75" s="88"/>
      <c r="H75" s="81"/>
      <c r="I75" s="294"/>
      <c r="J75" s="88"/>
      <c r="K75" s="90">
        <f t="shared" si="12"/>
        <v>0</v>
      </c>
      <c r="L75" s="88"/>
      <c r="M75" s="88"/>
      <c r="N75" s="91"/>
      <c r="O75" s="88"/>
      <c r="P75" s="88"/>
      <c r="Q75" s="194">
        <f t="shared" si="11"/>
        <v>4149</v>
      </c>
      <c r="R75" s="88"/>
    </row>
    <row r="76" ht="14.25" customHeight="1">
      <c r="B76" s="68"/>
      <c r="C76" s="243" t="s">
        <v>101</v>
      </c>
      <c r="D76" s="241">
        <v>2.0</v>
      </c>
      <c r="E76" s="237">
        <v>4300.0</v>
      </c>
      <c r="F76" s="67"/>
      <c r="G76" s="67"/>
      <c r="H76" s="248"/>
      <c r="I76" s="237">
        <v>1500.0</v>
      </c>
      <c r="J76" s="67"/>
      <c r="K76" s="69">
        <f t="shared" si="12"/>
        <v>0</v>
      </c>
      <c r="L76" s="67"/>
      <c r="M76" s="67"/>
      <c r="N76" s="238">
        <v>2800.0</v>
      </c>
      <c r="O76" s="267">
        <v>-500.0</v>
      </c>
      <c r="P76" s="71"/>
      <c r="Q76" s="214">
        <f t="shared" si="11"/>
        <v>6449</v>
      </c>
      <c r="R76" s="71"/>
    </row>
    <row r="77" ht="14.25" customHeight="1">
      <c r="B77" s="68"/>
      <c r="C77" s="243" t="s">
        <v>102</v>
      </c>
      <c r="D77" s="241">
        <v>2.0</v>
      </c>
      <c r="E77" s="237">
        <v>3800.0</v>
      </c>
      <c r="F77" s="67"/>
      <c r="G77" s="67"/>
      <c r="H77" s="68"/>
      <c r="I77" s="237">
        <v>1500.0</v>
      </c>
      <c r="J77" s="67"/>
      <c r="K77" s="69">
        <f t="shared" si="12"/>
        <v>0</v>
      </c>
      <c r="L77" s="67"/>
      <c r="M77" s="67"/>
      <c r="N77" s="238">
        <v>2300.0</v>
      </c>
      <c r="O77" s="71">
        <v>-500.0</v>
      </c>
      <c r="P77" s="71"/>
      <c r="Q77" s="214">
        <f t="shared" si="11"/>
        <v>8249</v>
      </c>
      <c r="R77" s="71"/>
    </row>
    <row r="78" ht="14.25" customHeight="1">
      <c r="B78" s="81"/>
      <c r="C78" s="296" t="s">
        <v>33</v>
      </c>
      <c r="D78" s="87"/>
      <c r="E78" s="294"/>
      <c r="F78" s="88"/>
      <c r="G78" s="88"/>
      <c r="H78" s="183"/>
      <c r="I78" s="294"/>
      <c r="J78" s="88"/>
      <c r="K78" s="90">
        <f t="shared" si="12"/>
        <v>0</v>
      </c>
      <c r="L78" s="88"/>
      <c r="M78" s="88"/>
      <c r="N78" s="91"/>
      <c r="O78" s="294"/>
      <c r="P78" s="88"/>
      <c r="Q78" s="194">
        <f t="shared" si="11"/>
        <v>8249</v>
      </c>
      <c r="R78" s="88"/>
    </row>
    <row r="79" ht="14.25" customHeight="1">
      <c r="B79" s="68"/>
      <c r="C79" s="243" t="s">
        <v>34</v>
      </c>
      <c r="D79" s="241">
        <v>1.0</v>
      </c>
      <c r="E79" s="237">
        <v>1800.0</v>
      </c>
      <c r="F79" s="67"/>
      <c r="G79" s="67"/>
      <c r="H79" s="68"/>
      <c r="I79" s="237">
        <v>500.0</v>
      </c>
      <c r="J79" s="67"/>
      <c r="K79" s="69">
        <f t="shared" si="12"/>
        <v>0</v>
      </c>
      <c r="L79" s="67"/>
      <c r="M79" s="67"/>
      <c r="N79" s="238">
        <v>1300.0</v>
      </c>
      <c r="O79" s="71">
        <v>-500.0</v>
      </c>
      <c r="P79" s="71"/>
      <c r="Q79" s="214">
        <f t="shared" si="11"/>
        <v>9049</v>
      </c>
      <c r="R79" s="71"/>
    </row>
    <row r="80" ht="14.25" customHeight="1">
      <c r="B80" s="81"/>
      <c r="C80" s="296" t="s">
        <v>69</v>
      </c>
      <c r="D80" s="299"/>
      <c r="E80" s="294"/>
      <c r="F80" s="294"/>
      <c r="G80" s="88"/>
      <c r="H80" s="81"/>
      <c r="I80" s="294"/>
      <c r="J80" s="88"/>
      <c r="K80" s="90">
        <f t="shared" si="12"/>
        <v>0</v>
      </c>
      <c r="L80" s="88"/>
      <c r="M80" s="88"/>
      <c r="N80" s="295"/>
      <c r="O80" s="88"/>
      <c r="P80" s="88"/>
      <c r="Q80" s="194">
        <f t="shared" si="11"/>
        <v>9049</v>
      </c>
      <c r="R80" s="88"/>
    </row>
    <row r="81" ht="14.25" customHeight="1">
      <c r="B81" s="68"/>
      <c r="C81" s="243" t="s">
        <v>68</v>
      </c>
      <c r="D81" s="241">
        <v>1.0</v>
      </c>
      <c r="E81" s="237">
        <v>2000.0</v>
      </c>
      <c r="F81" s="67"/>
      <c r="G81" s="67"/>
      <c r="H81" s="68"/>
      <c r="I81" s="237">
        <v>500.0</v>
      </c>
      <c r="J81" s="67"/>
      <c r="K81" s="69">
        <f t="shared" si="12"/>
        <v>0</v>
      </c>
      <c r="L81" s="67"/>
      <c r="M81" s="67"/>
      <c r="N81" s="238">
        <v>1500.0</v>
      </c>
      <c r="O81" s="71">
        <v>-500.0</v>
      </c>
      <c r="P81" s="71"/>
      <c r="Q81" s="214">
        <f t="shared" si="11"/>
        <v>10049</v>
      </c>
      <c r="R81" s="71"/>
    </row>
    <row r="82" ht="14.25" customHeight="1">
      <c r="B82" s="68"/>
      <c r="C82" s="243" t="s">
        <v>37</v>
      </c>
      <c r="D82" s="241">
        <v>1.0</v>
      </c>
      <c r="E82" s="237">
        <v>2500.0</v>
      </c>
      <c r="F82" s="67"/>
      <c r="G82" s="67"/>
      <c r="H82" s="68"/>
      <c r="I82" s="237">
        <v>1000.0</v>
      </c>
      <c r="J82" s="67"/>
      <c r="K82" s="69">
        <f t="shared" si="12"/>
        <v>0</v>
      </c>
      <c r="L82" s="67"/>
      <c r="M82" s="67"/>
      <c r="N82" s="238">
        <v>1500.0</v>
      </c>
      <c r="O82" s="71">
        <v>-500.0</v>
      </c>
      <c r="P82" s="71"/>
      <c r="Q82" s="214">
        <f t="shared" si="11"/>
        <v>11049</v>
      </c>
      <c r="R82" s="71"/>
    </row>
    <row r="83" ht="14.25" customHeight="1">
      <c r="B83" s="68"/>
      <c r="C83" s="243" t="s">
        <v>41</v>
      </c>
      <c r="D83" s="241">
        <v>1.0</v>
      </c>
      <c r="E83" s="237">
        <f>2300</f>
        <v>2300</v>
      </c>
      <c r="F83" s="67"/>
      <c r="G83" s="67"/>
      <c r="H83" s="68"/>
      <c r="I83" s="237">
        <v>1000.0</v>
      </c>
      <c r="J83" s="67"/>
      <c r="K83" s="69">
        <f t="shared" si="12"/>
        <v>0</v>
      </c>
      <c r="L83" s="67"/>
      <c r="M83" s="237"/>
      <c r="N83" s="238">
        <v>1300.0</v>
      </c>
      <c r="O83" s="71">
        <v>-500.0</v>
      </c>
      <c r="P83" s="71"/>
      <c r="Q83" s="214">
        <f t="shared" si="11"/>
        <v>11849</v>
      </c>
      <c r="R83" s="267"/>
    </row>
    <row r="84" ht="14.25" customHeight="1">
      <c r="B84" s="81"/>
      <c r="C84" s="296" t="s">
        <v>44</v>
      </c>
      <c r="D84" s="299"/>
      <c r="E84" s="294"/>
      <c r="F84" s="88"/>
      <c r="G84" s="88"/>
      <c r="H84" s="81"/>
      <c r="I84" s="294"/>
      <c r="J84" s="88"/>
      <c r="K84" s="90">
        <f t="shared" si="12"/>
        <v>0</v>
      </c>
      <c r="L84" s="88"/>
      <c r="M84" s="88"/>
      <c r="N84" s="295"/>
      <c r="O84" s="294"/>
      <c r="P84" s="88"/>
      <c r="Q84" s="194">
        <f t="shared" si="11"/>
        <v>11849</v>
      </c>
      <c r="R84" s="88"/>
    </row>
    <row r="85" ht="14.25" customHeight="1">
      <c r="B85" s="68"/>
      <c r="C85" s="243" t="s">
        <v>45</v>
      </c>
      <c r="D85" s="241">
        <v>1.0</v>
      </c>
      <c r="E85" s="237">
        <f>2000+400</f>
        <v>2400</v>
      </c>
      <c r="F85" s="67"/>
      <c r="G85" s="67"/>
      <c r="H85" s="68"/>
      <c r="I85" s="237">
        <v>1000.0</v>
      </c>
      <c r="J85" s="67"/>
      <c r="K85" s="69">
        <f t="shared" si="12"/>
        <v>0</v>
      </c>
      <c r="L85" s="67"/>
      <c r="M85" s="67"/>
      <c r="N85" s="238">
        <v>1400.0</v>
      </c>
      <c r="O85" s="267">
        <v>-500.0</v>
      </c>
      <c r="P85" s="71"/>
      <c r="Q85" s="214">
        <f t="shared" si="11"/>
        <v>12749</v>
      </c>
      <c r="R85" s="267" t="s">
        <v>107</v>
      </c>
    </row>
    <row r="86" ht="14.25" customHeight="1">
      <c r="B86" s="81"/>
      <c r="C86" s="296" t="s">
        <v>86</v>
      </c>
      <c r="D86" s="87"/>
      <c r="E86" s="294"/>
      <c r="F86" s="88"/>
      <c r="G86" s="88"/>
      <c r="H86" s="81"/>
      <c r="I86" s="294"/>
      <c r="J86" s="88"/>
      <c r="K86" s="90">
        <f t="shared" si="12"/>
        <v>0</v>
      </c>
      <c r="L86" s="88"/>
      <c r="M86" s="294"/>
      <c r="N86" s="91"/>
      <c r="O86" s="88"/>
      <c r="P86" s="88"/>
      <c r="Q86" s="194">
        <f t="shared" si="11"/>
        <v>12749</v>
      </c>
      <c r="R86" s="88"/>
    </row>
    <row r="87" ht="14.25" customHeight="1">
      <c r="B87" s="68"/>
      <c r="C87" s="269" t="s">
        <v>73</v>
      </c>
      <c r="D87" s="270">
        <v>1.0</v>
      </c>
      <c r="E87" s="237">
        <v>2300.0</v>
      </c>
      <c r="F87" s="67"/>
      <c r="G87" s="237"/>
      <c r="H87" s="68"/>
      <c r="I87" s="237">
        <v>1000.0</v>
      </c>
      <c r="J87" s="67"/>
      <c r="K87" s="69">
        <f t="shared" si="12"/>
        <v>0</v>
      </c>
      <c r="L87" s="67"/>
      <c r="M87" s="67"/>
      <c r="N87" s="238">
        <v>1300.0</v>
      </c>
      <c r="O87" s="71">
        <v>-500.0</v>
      </c>
      <c r="P87" s="71"/>
      <c r="Q87" s="214">
        <f t="shared" si="11"/>
        <v>13549</v>
      </c>
      <c r="R87" s="71"/>
    </row>
    <row r="88" ht="14.25" customHeight="1">
      <c r="B88" s="68"/>
      <c r="C88" s="243" t="s">
        <v>49</v>
      </c>
      <c r="D88" s="241">
        <v>1.0</v>
      </c>
      <c r="E88" s="237">
        <v>2500.0</v>
      </c>
      <c r="F88" s="67"/>
      <c r="G88" s="67"/>
      <c r="H88" s="68"/>
      <c r="I88" s="237">
        <v>1000.0</v>
      </c>
      <c r="J88" s="67"/>
      <c r="K88" s="69">
        <f t="shared" si="12"/>
        <v>0</v>
      </c>
      <c r="L88" s="67"/>
      <c r="M88" s="237"/>
      <c r="N88" s="238">
        <v>1500.0</v>
      </c>
      <c r="O88" s="267">
        <v>-500.0</v>
      </c>
      <c r="P88" s="71"/>
      <c r="Q88" s="214">
        <f t="shared" si="11"/>
        <v>14549</v>
      </c>
      <c r="R88" s="267"/>
    </row>
    <row r="89" ht="14.25" customHeight="1">
      <c r="B89" s="68"/>
      <c r="C89" s="243" t="s">
        <v>50</v>
      </c>
      <c r="D89" s="241">
        <v>1.0</v>
      </c>
      <c r="E89" s="237">
        <v>2200.0</v>
      </c>
      <c r="F89" s="237"/>
      <c r="G89" s="67"/>
      <c r="H89" s="68"/>
      <c r="I89" s="237">
        <v>1000.0</v>
      </c>
      <c r="J89" s="67"/>
      <c r="K89" s="69">
        <f t="shared" si="12"/>
        <v>0</v>
      </c>
      <c r="L89" s="67"/>
      <c r="M89" s="67"/>
      <c r="N89" s="238">
        <v>1200.0</v>
      </c>
      <c r="O89" s="267">
        <v>-500.0</v>
      </c>
      <c r="P89" s="71"/>
      <c r="Q89" s="214">
        <f t="shared" si="11"/>
        <v>15249</v>
      </c>
      <c r="R89" s="71"/>
    </row>
    <row r="90" ht="14.25" customHeight="1">
      <c r="B90" s="68"/>
      <c r="C90" s="110"/>
      <c r="D90" s="66"/>
      <c r="E90" s="67"/>
      <c r="F90" s="67"/>
      <c r="G90" s="67"/>
      <c r="H90" s="68"/>
      <c r="I90" s="67"/>
      <c r="J90" s="67"/>
      <c r="K90" s="69">
        <f t="shared" si="12"/>
        <v>0</v>
      </c>
      <c r="L90" s="67"/>
      <c r="M90" s="67"/>
      <c r="N90" s="70"/>
      <c r="O90" s="71"/>
      <c r="P90" s="273">
        <v>-3766.42</v>
      </c>
      <c r="Q90" s="214">
        <f t="shared" si="11"/>
        <v>11482.58</v>
      </c>
      <c r="R90" s="71" t="s">
        <v>55</v>
      </c>
    </row>
    <row r="91" ht="14.25" customHeight="1">
      <c r="B91" s="210"/>
      <c r="C91" s="211"/>
      <c r="D91" s="173"/>
      <c r="E91" s="176"/>
      <c r="F91" s="176"/>
      <c r="G91" s="176"/>
      <c r="H91" s="210"/>
      <c r="I91" s="176"/>
      <c r="J91" s="176"/>
      <c r="K91" s="69">
        <f t="shared" si="12"/>
        <v>0</v>
      </c>
      <c r="L91" s="176"/>
      <c r="M91" s="176"/>
      <c r="N91" s="213"/>
      <c r="O91" s="214"/>
      <c r="P91" s="273">
        <v>-6260.74</v>
      </c>
      <c r="Q91" s="214">
        <f t="shared" si="11"/>
        <v>5221.84</v>
      </c>
      <c r="R91" s="214" t="s">
        <v>59</v>
      </c>
    </row>
    <row r="92" ht="14.25" customHeight="1">
      <c r="B92" s="215"/>
      <c r="C92" s="216"/>
      <c r="D92" s="217"/>
      <c r="E92" s="218"/>
      <c r="F92" s="218"/>
      <c r="G92" s="218"/>
      <c r="H92" s="215"/>
      <c r="I92" s="218"/>
      <c r="J92" s="218"/>
      <c r="K92" s="219"/>
      <c r="L92" s="218"/>
      <c r="M92" s="218"/>
      <c r="N92" s="220"/>
      <c r="O92" s="220"/>
      <c r="P92" s="221">
        <v>-1500.0</v>
      </c>
      <c r="Q92" s="214">
        <f t="shared" si="11"/>
        <v>3721.84</v>
      </c>
      <c r="R92" s="221" t="s">
        <v>109</v>
      </c>
    </row>
    <row r="93" ht="14.25" customHeight="1">
      <c r="B93" s="215"/>
      <c r="C93" s="216"/>
      <c r="D93" s="217"/>
      <c r="E93" s="218"/>
      <c r="F93" s="218"/>
      <c r="G93" s="218"/>
      <c r="H93" s="215"/>
      <c r="I93" s="218"/>
      <c r="J93" s="218"/>
      <c r="K93" s="219"/>
      <c r="L93" s="218"/>
      <c r="M93" s="218"/>
      <c r="N93" s="220"/>
      <c r="O93" s="220"/>
      <c r="P93" s="221">
        <v>-500.0</v>
      </c>
      <c r="Q93" s="214">
        <f t="shared" si="11"/>
        <v>3221.84</v>
      </c>
      <c r="R93" s="221" t="s">
        <v>93</v>
      </c>
    </row>
    <row r="94" ht="14.25" customHeight="1">
      <c r="B94" s="215"/>
      <c r="C94" s="216"/>
      <c r="D94" s="217"/>
      <c r="E94" s="218"/>
      <c r="F94" s="218"/>
      <c r="G94" s="218"/>
      <c r="H94" s="215"/>
      <c r="I94" s="218"/>
      <c r="J94" s="218"/>
      <c r="K94" s="219"/>
      <c r="L94" s="218"/>
      <c r="M94" s="218"/>
      <c r="N94" s="220"/>
      <c r="O94" s="220"/>
      <c r="P94" s="221">
        <v>-3221.84</v>
      </c>
      <c r="Q94" s="214">
        <f t="shared" si="11"/>
        <v>0</v>
      </c>
      <c r="R94" s="221" t="s">
        <v>110</v>
      </c>
    </row>
    <row r="95" ht="14.25" customHeight="1">
      <c r="B95" s="283" t="s">
        <v>91</v>
      </c>
      <c r="C95" s="229" t="s">
        <v>66</v>
      </c>
      <c r="D95" s="228">
        <f>sum(D65:D90)</f>
        <v>19</v>
      </c>
      <c r="E95" s="232">
        <f t="shared" ref="E95:M95" si="13">sum(E65:E94)</f>
        <v>41599</v>
      </c>
      <c r="F95" s="232">
        <f t="shared" si="13"/>
        <v>350</v>
      </c>
      <c r="G95" s="232">
        <f t="shared" si="13"/>
        <v>0</v>
      </c>
      <c r="H95" s="232">
        <f t="shared" si="13"/>
        <v>0</v>
      </c>
      <c r="I95" s="232">
        <f t="shared" si="13"/>
        <v>16500</v>
      </c>
      <c r="J95" s="232">
        <f t="shared" si="13"/>
        <v>0</v>
      </c>
      <c r="K95" s="232">
        <f t="shared" si="13"/>
        <v>0</v>
      </c>
      <c r="L95" s="232">
        <f t="shared" si="13"/>
        <v>0</v>
      </c>
      <c r="M95" s="232">
        <f t="shared" si="13"/>
        <v>1200</v>
      </c>
      <c r="N95" s="232"/>
      <c r="O95" s="232">
        <f t="shared" ref="O95:P95" si="14">sum(O65:O94)</f>
        <v>-8500</v>
      </c>
      <c r="P95" s="232">
        <f t="shared" si="14"/>
        <v>-15249</v>
      </c>
      <c r="Q95" s="233">
        <f>Q94</f>
        <v>0</v>
      </c>
      <c r="R95" s="234"/>
    </row>
    <row r="96" ht="14.25" customHeight="1">
      <c r="B96" s="235" t="s">
        <v>112</v>
      </c>
      <c r="C96" s="236">
        <v>45660.0</v>
      </c>
      <c r="D96" s="241">
        <v>2.0</v>
      </c>
      <c r="E96" s="237">
        <v>3500.0</v>
      </c>
      <c r="F96" s="237">
        <v>700.0</v>
      </c>
      <c r="G96" s="67"/>
      <c r="H96" s="68"/>
      <c r="I96" s="237">
        <v>1900.0</v>
      </c>
      <c r="J96" s="237"/>
      <c r="K96" s="69">
        <f t="shared" ref="K96:K99" si="15">E96-I96-L96-M96-N96-J96+F96</f>
        <v>0</v>
      </c>
      <c r="L96" s="67"/>
      <c r="M96" s="67"/>
      <c r="N96" s="238">
        <v>2300.0</v>
      </c>
      <c r="O96" s="71">
        <v>-500.0</v>
      </c>
      <c r="P96" s="71"/>
      <c r="Q96" s="71">
        <f>N96+O96+P96</f>
        <v>1800</v>
      </c>
      <c r="R96" s="71"/>
    </row>
    <row r="97" ht="14.25" customHeight="1">
      <c r="B97" s="81"/>
      <c r="C97" s="239">
        <v>45720.0</v>
      </c>
      <c r="D97" s="87"/>
      <c r="E97" s="294"/>
      <c r="F97" s="88"/>
      <c r="G97" s="88"/>
      <c r="H97" s="81"/>
      <c r="I97" s="294"/>
      <c r="J97" s="88"/>
      <c r="K97" s="90">
        <f t="shared" si="15"/>
        <v>0</v>
      </c>
      <c r="L97" s="88"/>
      <c r="M97" s="88"/>
      <c r="N97" s="295"/>
      <c r="O97" s="88"/>
      <c r="P97" s="88"/>
      <c r="Q97" s="194">
        <f t="shared" ref="Q97:Q121" si="16">Q96+N97+O97+P97</f>
        <v>1800</v>
      </c>
      <c r="R97" s="88"/>
    </row>
    <row r="98" ht="14.25" customHeight="1">
      <c r="B98" s="68"/>
      <c r="C98" s="236">
        <v>45752.0</v>
      </c>
      <c r="D98" s="241">
        <v>1.0</v>
      </c>
      <c r="E98" s="237">
        <v>2300.0</v>
      </c>
      <c r="F98" s="237">
        <v>350.0</v>
      </c>
      <c r="G98" s="67"/>
      <c r="H98" s="68"/>
      <c r="I98" s="237">
        <v>1200.0</v>
      </c>
      <c r="J98" s="67"/>
      <c r="K98" s="69">
        <f t="shared" si="15"/>
        <v>0</v>
      </c>
      <c r="L98" s="67"/>
      <c r="M98" s="237">
        <v>1450.0</v>
      </c>
      <c r="N98" s="238"/>
      <c r="O98" s="71">
        <v>-500.0</v>
      </c>
      <c r="P98" s="71"/>
      <c r="Q98" s="214">
        <f t="shared" si="16"/>
        <v>1300</v>
      </c>
      <c r="R98" s="71"/>
    </row>
    <row r="99" ht="14.25" customHeight="1">
      <c r="B99" s="68"/>
      <c r="C99" s="236">
        <v>45783.0</v>
      </c>
      <c r="D99" s="241">
        <v>1.0</v>
      </c>
      <c r="E99" s="237">
        <v>2300.0</v>
      </c>
      <c r="F99" s="67"/>
      <c r="G99" s="67"/>
      <c r="H99" s="68"/>
      <c r="I99" s="237"/>
      <c r="J99" s="67"/>
      <c r="K99" s="69">
        <f t="shared" si="15"/>
        <v>0</v>
      </c>
      <c r="L99" s="67"/>
      <c r="M99" s="67"/>
      <c r="N99" s="238">
        <v>2300.0</v>
      </c>
      <c r="O99" s="71">
        <v>-500.0</v>
      </c>
      <c r="P99" s="71"/>
      <c r="Q99" s="214">
        <f t="shared" si="16"/>
        <v>3100</v>
      </c>
      <c r="R99" s="71"/>
    </row>
    <row r="100" ht="14.25" customHeight="1">
      <c r="B100" s="68"/>
      <c r="C100" s="236"/>
      <c r="D100" s="241"/>
      <c r="E100" s="237">
        <v>1000.0</v>
      </c>
      <c r="F100" s="67"/>
      <c r="G100" s="67"/>
      <c r="H100" s="248" t="s">
        <v>81</v>
      </c>
      <c r="I100" s="237">
        <v>1000.0</v>
      </c>
      <c r="J100" s="67"/>
      <c r="K100" s="69"/>
      <c r="L100" s="67"/>
      <c r="M100" s="237"/>
      <c r="N100" s="238"/>
      <c r="O100" s="71"/>
      <c r="P100" s="71"/>
      <c r="Q100" s="214">
        <f t="shared" si="16"/>
        <v>3100</v>
      </c>
      <c r="R100" s="267" t="s">
        <v>81</v>
      </c>
    </row>
    <row r="101" ht="14.25" customHeight="1">
      <c r="B101" s="68"/>
      <c r="C101" s="236">
        <v>45817.0</v>
      </c>
      <c r="D101" s="241">
        <v>3.0</v>
      </c>
      <c r="E101" s="237">
        <v>4413.5</v>
      </c>
      <c r="F101" s="67"/>
      <c r="G101" s="67"/>
      <c r="H101" s="68"/>
      <c r="I101" s="237"/>
      <c r="J101" s="67"/>
      <c r="K101" s="69">
        <f t="shared" ref="K101:K114" si="17">E101-I101-L101-M101-N101-J101+F101</f>
        <v>0</v>
      </c>
      <c r="L101" s="237">
        <v>4413.5</v>
      </c>
      <c r="M101" s="67"/>
      <c r="N101" s="238"/>
      <c r="O101" s="71">
        <v>-500.0</v>
      </c>
      <c r="P101" s="71"/>
      <c r="Q101" s="214">
        <f t="shared" si="16"/>
        <v>2600</v>
      </c>
      <c r="R101" s="71"/>
    </row>
    <row r="102" ht="14.25" customHeight="1">
      <c r="B102" s="81"/>
      <c r="C102" s="239">
        <v>45910.0</v>
      </c>
      <c r="D102" s="87"/>
      <c r="E102" s="88"/>
      <c r="F102" s="88"/>
      <c r="G102" s="88"/>
      <c r="H102" s="81"/>
      <c r="I102" s="88"/>
      <c r="J102" s="88"/>
      <c r="K102" s="90">
        <f t="shared" si="17"/>
        <v>0</v>
      </c>
      <c r="L102" s="88"/>
      <c r="M102" s="88"/>
      <c r="N102" s="91"/>
      <c r="O102" s="88"/>
      <c r="P102" s="88"/>
      <c r="Q102" s="194">
        <f t="shared" si="16"/>
        <v>2600</v>
      </c>
      <c r="R102" s="88"/>
    </row>
    <row r="103" ht="14.25" customHeight="1">
      <c r="B103" s="68"/>
      <c r="C103" s="236">
        <v>45941.0</v>
      </c>
      <c r="D103" s="241">
        <v>1.0</v>
      </c>
      <c r="E103" s="237">
        <v>1800.0</v>
      </c>
      <c r="F103" s="67"/>
      <c r="G103" s="67"/>
      <c r="H103" s="68"/>
      <c r="I103" s="237">
        <v>500.0</v>
      </c>
      <c r="J103" s="67"/>
      <c r="K103" s="69">
        <f t="shared" si="17"/>
        <v>0</v>
      </c>
      <c r="L103" s="67"/>
      <c r="M103" s="67"/>
      <c r="N103" s="238">
        <v>1300.0</v>
      </c>
      <c r="O103" s="71">
        <v>-500.0</v>
      </c>
      <c r="P103" s="71"/>
      <c r="Q103" s="214">
        <f t="shared" si="16"/>
        <v>3400</v>
      </c>
      <c r="R103" s="71"/>
    </row>
    <row r="104" ht="14.25" customHeight="1">
      <c r="B104" s="68"/>
      <c r="C104" s="236">
        <v>45973.0</v>
      </c>
      <c r="D104" s="241">
        <v>1.0</v>
      </c>
      <c r="E104" s="237">
        <v>2800.0</v>
      </c>
      <c r="F104" s="67"/>
      <c r="G104" s="67"/>
      <c r="H104" s="248"/>
      <c r="I104" s="237">
        <v>1000.0</v>
      </c>
      <c r="J104" s="67"/>
      <c r="K104" s="69">
        <f t="shared" si="17"/>
        <v>0</v>
      </c>
      <c r="L104" s="67"/>
      <c r="M104" s="67"/>
      <c r="N104" s="238">
        <v>1800.0</v>
      </c>
      <c r="O104" s="267">
        <v>-500.0</v>
      </c>
      <c r="P104" s="71"/>
      <c r="Q104" s="214">
        <f t="shared" si="16"/>
        <v>4700</v>
      </c>
      <c r="R104" s="71"/>
    </row>
    <row r="105" ht="14.25" customHeight="1">
      <c r="B105" s="68"/>
      <c r="C105" s="236">
        <v>46004.0</v>
      </c>
      <c r="D105" s="241">
        <v>1.0</v>
      </c>
      <c r="E105" s="237">
        <v>3750.0</v>
      </c>
      <c r="F105" s="67"/>
      <c r="G105" s="67"/>
      <c r="H105" s="68"/>
      <c r="I105" s="237">
        <v>1000.0</v>
      </c>
      <c r="J105" s="67"/>
      <c r="K105" s="69">
        <f t="shared" si="17"/>
        <v>0</v>
      </c>
      <c r="L105" s="67"/>
      <c r="M105" s="67"/>
      <c r="N105" s="238">
        <v>2750.0</v>
      </c>
      <c r="O105" s="71">
        <v>-500.0</v>
      </c>
      <c r="P105" s="71"/>
      <c r="Q105" s="214">
        <f t="shared" si="16"/>
        <v>6950</v>
      </c>
      <c r="R105" s="71"/>
    </row>
    <row r="106" ht="14.25" customHeight="1">
      <c r="B106" s="81"/>
      <c r="C106" s="296" t="s">
        <v>117</v>
      </c>
      <c r="D106" s="87"/>
      <c r="E106" s="294"/>
      <c r="F106" s="88"/>
      <c r="G106" s="88"/>
      <c r="H106" s="183"/>
      <c r="I106" s="294"/>
      <c r="J106" s="88"/>
      <c r="K106" s="90">
        <f t="shared" si="17"/>
        <v>0</v>
      </c>
      <c r="L106" s="88"/>
      <c r="M106" s="88"/>
      <c r="N106" s="91"/>
      <c r="O106" s="294"/>
      <c r="P106" s="88"/>
      <c r="Q106" s="194">
        <f t="shared" si="16"/>
        <v>6950</v>
      </c>
      <c r="R106" s="88"/>
    </row>
    <row r="107" ht="14.25" customHeight="1">
      <c r="B107" s="68"/>
      <c r="C107" s="243" t="s">
        <v>30</v>
      </c>
      <c r="D107" s="241">
        <v>1.0</v>
      </c>
      <c r="E107" s="237">
        <f>400+2000</f>
        <v>2400</v>
      </c>
      <c r="F107" s="67"/>
      <c r="G107" s="67"/>
      <c r="H107" s="68"/>
      <c r="I107" s="237">
        <v>1000.0</v>
      </c>
      <c r="J107" s="67"/>
      <c r="K107" s="69">
        <f t="shared" si="17"/>
        <v>0</v>
      </c>
      <c r="L107" s="67"/>
      <c r="M107" s="67"/>
      <c r="N107" s="238">
        <v>1400.0</v>
      </c>
      <c r="O107" s="71">
        <v>-500.0</v>
      </c>
      <c r="P107" s="71"/>
      <c r="Q107" s="214">
        <f t="shared" si="16"/>
        <v>7850</v>
      </c>
      <c r="R107" s="71"/>
    </row>
    <row r="108" ht="14.25" customHeight="1">
      <c r="B108" s="68"/>
      <c r="C108" s="243" t="s">
        <v>31</v>
      </c>
      <c r="D108" s="241">
        <v>1.0</v>
      </c>
      <c r="E108" s="237">
        <v>1800.0</v>
      </c>
      <c r="F108" s="67"/>
      <c r="G108" s="67"/>
      <c r="H108" s="68"/>
      <c r="I108" s="237">
        <v>600.0</v>
      </c>
      <c r="J108" s="67"/>
      <c r="K108" s="69">
        <f t="shared" si="17"/>
        <v>0</v>
      </c>
      <c r="L108" s="67"/>
      <c r="M108" s="67"/>
      <c r="N108" s="238">
        <v>1200.0</v>
      </c>
      <c r="O108" s="71">
        <v>-500.0</v>
      </c>
      <c r="P108" s="71"/>
      <c r="Q108" s="214">
        <f t="shared" si="16"/>
        <v>8550</v>
      </c>
      <c r="R108" s="71"/>
    </row>
    <row r="109" ht="14.25" customHeight="1">
      <c r="B109" s="68"/>
      <c r="C109" s="243" t="s">
        <v>32</v>
      </c>
      <c r="D109" s="241">
        <v>1.0</v>
      </c>
      <c r="E109" s="237">
        <v>2500.0</v>
      </c>
      <c r="F109" s="67"/>
      <c r="G109" s="67"/>
      <c r="H109" s="68"/>
      <c r="I109" s="237">
        <v>1000.0</v>
      </c>
      <c r="J109" s="67"/>
      <c r="K109" s="69">
        <f t="shared" si="17"/>
        <v>0</v>
      </c>
      <c r="L109" s="67"/>
      <c r="M109" s="67"/>
      <c r="N109" s="238">
        <v>1500.0</v>
      </c>
      <c r="O109" s="71">
        <v>-500.0</v>
      </c>
      <c r="P109" s="71"/>
      <c r="Q109" s="214">
        <f t="shared" si="16"/>
        <v>9550</v>
      </c>
      <c r="R109" s="71"/>
    </row>
    <row r="110" ht="14.25" customHeight="1">
      <c r="B110" s="68"/>
      <c r="C110" s="243" t="s">
        <v>120</v>
      </c>
      <c r="D110" s="241">
        <v>2.0</v>
      </c>
      <c r="E110" s="237">
        <f>5300+400</f>
        <v>5700</v>
      </c>
      <c r="F110" s="67"/>
      <c r="G110" s="67"/>
      <c r="H110" s="68"/>
      <c r="I110" s="237">
        <v>1500.0</v>
      </c>
      <c r="J110" s="67"/>
      <c r="K110" s="69">
        <f t="shared" si="17"/>
        <v>0</v>
      </c>
      <c r="L110" s="67"/>
      <c r="M110" s="237">
        <f>3800+400</f>
        <v>4200</v>
      </c>
      <c r="N110" s="238"/>
      <c r="O110" s="71">
        <v>-500.0</v>
      </c>
      <c r="P110" s="71"/>
      <c r="Q110" s="214">
        <f t="shared" si="16"/>
        <v>9050</v>
      </c>
      <c r="R110" s="267"/>
    </row>
    <row r="111" ht="14.25" customHeight="1">
      <c r="B111" s="68"/>
      <c r="C111" s="243" t="s">
        <v>69</v>
      </c>
      <c r="D111" s="241">
        <v>1.0</v>
      </c>
      <c r="E111" s="237">
        <f>2231-400</f>
        <v>1831</v>
      </c>
      <c r="F111" s="237">
        <v>400.0</v>
      </c>
      <c r="G111" s="67"/>
      <c r="H111" s="68"/>
      <c r="I111" s="237">
        <v>2231.0</v>
      </c>
      <c r="J111" s="67"/>
      <c r="K111" s="69">
        <f t="shared" si="17"/>
        <v>0</v>
      </c>
      <c r="L111" s="67"/>
      <c r="M111" s="67"/>
      <c r="N111" s="238"/>
      <c r="O111" s="267">
        <v>-500.0</v>
      </c>
      <c r="P111" s="71"/>
      <c r="Q111" s="214">
        <f t="shared" si="16"/>
        <v>8550</v>
      </c>
      <c r="R111" s="267"/>
    </row>
    <row r="112" ht="14.25" customHeight="1">
      <c r="B112" s="68"/>
      <c r="C112" s="269" t="s">
        <v>78</v>
      </c>
      <c r="D112" s="270">
        <v>2.0</v>
      </c>
      <c r="E112" s="237">
        <v>3500.0</v>
      </c>
      <c r="F112" s="67"/>
      <c r="G112" s="237"/>
      <c r="H112" s="68"/>
      <c r="I112" s="237">
        <v>1500.0</v>
      </c>
      <c r="J112" s="67"/>
      <c r="K112" s="69">
        <f t="shared" si="17"/>
        <v>0</v>
      </c>
      <c r="L112" s="67"/>
      <c r="M112" s="67"/>
      <c r="N112" s="238">
        <v>2000.0</v>
      </c>
      <c r="O112" s="71">
        <v>-500.0</v>
      </c>
      <c r="P112" s="71"/>
      <c r="Q112" s="214">
        <f t="shared" si="16"/>
        <v>10050</v>
      </c>
      <c r="R112" s="71"/>
    </row>
    <row r="113" ht="14.25" customHeight="1">
      <c r="B113" s="68"/>
      <c r="C113" s="243" t="s">
        <v>41</v>
      </c>
      <c r="D113" s="241">
        <v>1.0</v>
      </c>
      <c r="E113" s="237">
        <v>2500.0</v>
      </c>
      <c r="F113" s="67"/>
      <c r="G113" s="67"/>
      <c r="H113" s="68"/>
      <c r="I113" s="237">
        <v>1000.0</v>
      </c>
      <c r="J113" s="67"/>
      <c r="K113" s="69">
        <f t="shared" si="17"/>
        <v>0</v>
      </c>
      <c r="L113" s="67"/>
      <c r="M113" s="237"/>
      <c r="N113" s="238">
        <v>1500.0</v>
      </c>
      <c r="O113" s="267">
        <v>-500.0</v>
      </c>
      <c r="P113" s="71"/>
      <c r="Q113" s="214">
        <f t="shared" si="16"/>
        <v>11050</v>
      </c>
      <c r="R113" s="267"/>
    </row>
    <row r="114" ht="14.25" customHeight="1">
      <c r="B114" s="81"/>
      <c r="C114" s="296" t="s">
        <v>71</v>
      </c>
      <c r="D114" s="299"/>
      <c r="E114" s="294"/>
      <c r="F114" s="294"/>
      <c r="G114" s="88"/>
      <c r="H114" s="81"/>
      <c r="I114" s="294"/>
      <c r="J114" s="88"/>
      <c r="K114" s="90">
        <f t="shared" si="17"/>
        <v>0</v>
      </c>
      <c r="L114" s="88"/>
      <c r="M114" s="88"/>
      <c r="N114" s="295"/>
      <c r="O114" s="294"/>
      <c r="P114" s="88"/>
      <c r="Q114" s="194">
        <f t="shared" si="16"/>
        <v>11050</v>
      </c>
      <c r="R114" s="88"/>
    </row>
    <row r="115" ht="14.25" customHeight="1">
      <c r="B115" s="68"/>
      <c r="C115" s="243" t="s">
        <v>47</v>
      </c>
      <c r="D115" s="241">
        <v>1.0</v>
      </c>
      <c r="E115" s="237">
        <v>2000.0</v>
      </c>
      <c r="F115" s="67"/>
      <c r="G115" s="237">
        <v>500.0</v>
      </c>
      <c r="H115" s="68"/>
      <c r="I115" s="237">
        <v>501.0</v>
      </c>
      <c r="J115" s="67"/>
      <c r="K115" s="69">
        <f>E115-I115-L115-M115-N115-J115+F115+G115</f>
        <v>0</v>
      </c>
      <c r="L115" s="67"/>
      <c r="M115" s="67"/>
      <c r="N115" s="238">
        <v>1999.0</v>
      </c>
      <c r="O115" s="267">
        <v>-500.0</v>
      </c>
      <c r="P115" s="273"/>
      <c r="Q115" s="214">
        <f t="shared" si="16"/>
        <v>12549</v>
      </c>
      <c r="R115" s="71"/>
    </row>
    <row r="116" ht="14.25" customHeight="1">
      <c r="B116" s="68"/>
      <c r="C116" s="243" t="s">
        <v>72</v>
      </c>
      <c r="D116" s="241">
        <v>1.0</v>
      </c>
      <c r="E116" s="237">
        <v>1598.07</v>
      </c>
      <c r="F116" s="67"/>
      <c r="G116" s="67"/>
      <c r="H116" s="68"/>
      <c r="I116" s="67"/>
      <c r="J116" s="67"/>
      <c r="K116" s="69">
        <f t="shared" ref="K116:K120" si="18">E116-I116-L116-M116-N116-J116+F116</f>
        <v>0</v>
      </c>
      <c r="L116" s="237">
        <v>1598.07</v>
      </c>
      <c r="M116" s="67"/>
      <c r="N116" s="70"/>
      <c r="O116" s="267">
        <v>-500.0</v>
      </c>
      <c r="P116" s="273"/>
      <c r="Q116" s="214">
        <f t="shared" si="16"/>
        <v>12049</v>
      </c>
      <c r="R116" s="71"/>
    </row>
    <row r="117" ht="14.25" customHeight="1">
      <c r="B117" s="68"/>
      <c r="C117" s="243" t="s">
        <v>73</v>
      </c>
      <c r="D117" s="241">
        <v>1.0</v>
      </c>
      <c r="E117" s="237">
        <v>1800.0</v>
      </c>
      <c r="F117" s="67"/>
      <c r="G117" s="67"/>
      <c r="H117" s="68"/>
      <c r="I117" s="237">
        <v>600.0</v>
      </c>
      <c r="J117" s="67"/>
      <c r="K117" s="69">
        <f t="shared" si="18"/>
        <v>0</v>
      </c>
      <c r="L117" s="67"/>
      <c r="M117" s="67"/>
      <c r="N117" s="238">
        <v>1200.0</v>
      </c>
      <c r="O117" s="267">
        <v>-500.0</v>
      </c>
      <c r="P117" s="273"/>
      <c r="Q117" s="214">
        <f t="shared" si="16"/>
        <v>12749</v>
      </c>
      <c r="R117" s="71"/>
    </row>
    <row r="118" ht="14.25" customHeight="1">
      <c r="B118" s="68"/>
      <c r="C118" s="243" t="s">
        <v>124</v>
      </c>
      <c r="D118" s="241">
        <v>3.0</v>
      </c>
      <c r="E118" s="237">
        <v>5700.0</v>
      </c>
      <c r="F118" s="67"/>
      <c r="G118" s="67"/>
      <c r="H118" s="68"/>
      <c r="I118" s="237">
        <v>2000.0</v>
      </c>
      <c r="J118" s="67"/>
      <c r="K118" s="69">
        <f t="shared" si="18"/>
        <v>0</v>
      </c>
      <c r="L118" s="67"/>
      <c r="M118" s="67"/>
      <c r="N118" s="238">
        <v>3700.0</v>
      </c>
      <c r="O118" s="267">
        <v>-500.0</v>
      </c>
      <c r="P118" s="273"/>
      <c r="Q118" s="214">
        <f t="shared" si="16"/>
        <v>15949</v>
      </c>
      <c r="R118" s="71"/>
    </row>
    <row r="119" ht="14.25" customHeight="1">
      <c r="B119" s="68"/>
      <c r="C119" s="110"/>
      <c r="D119" s="66"/>
      <c r="E119" s="67"/>
      <c r="F119" s="67"/>
      <c r="G119" s="67"/>
      <c r="H119" s="68"/>
      <c r="I119" s="67"/>
      <c r="J119" s="67"/>
      <c r="K119" s="69">
        <f t="shared" si="18"/>
        <v>0</v>
      </c>
      <c r="L119" s="67"/>
      <c r="M119" s="67"/>
      <c r="N119" s="70"/>
      <c r="O119" s="71"/>
      <c r="P119" s="273">
        <v>-3951.64</v>
      </c>
      <c r="Q119" s="214">
        <f t="shared" si="16"/>
        <v>11997.36</v>
      </c>
      <c r="R119" s="71" t="s">
        <v>55</v>
      </c>
    </row>
    <row r="120" ht="14.25" customHeight="1">
      <c r="B120" s="210"/>
      <c r="C120" s="211"/>
      <c r="D120" s="173"/>
      <c r="E120" s="176"/>
      <c r="F120" s="176"/>
      <c r="G120" s="176"/>
      <c r="H120" s="210"/>
      <c r="I120" s="176"/>
      <c r="J120" s="176"/>
      <c r="K120" s="69">
        <f t="shared" si="18"/>
        <v>0</v>
      </c>
      <c r="L120" s="176"/>
      <c r="M120" s="176"/>
      <c r="N120" s="213"/>
      <c r="O120" s="214"/>
      <c r="P120" s="273">
        <v>-4913.11</v>
      </c>
      <c r="Q120" s="214">
        <f t="shared" si="16"/>
        <v>7084.25</v>
      </c>
      <c r="R120" s="214" t="s">
        <v>59</v>
      </c>
    </row>
    <row r="121" ht="14.25" customHeight="1">
      <c r="B121" s="215"/>
      <c r="C121" s="216"/>
      <c r="D121" s="217"/>
      <c r="E121" s="218"/>
      <c r="F121" s="218"/>
      <c r="G121" s="218"/>
      <c r="H121" s="215"/>
      <c r="I121" s="218"/>
      <c r="J121" s="218"/>
      <c r="K121" s="219"/>
      <c r="L121" s="218"/>
      <c r="M121" s="218"/>
      <c r="N121" s="220"/>
      <c r="O121" s="220"/>
      <c r="P121" s="221">
        <v>-7084.25</v>
      </c>
      <c r="Q121" s="214">
        <f t="shared" si="16"/>
        <v>0</v>
      </c>
      <c r="R121" s="221"/>
    </row>
    <row r="122" ht="14.25" customHeight="1">
      <c r="B122" s="283" t="s">
        <v>112</v>
      </c>
      <c r="C122" s="229" t="s">
        <v>66</v>
      </c>
      <c r="D122" s="228">
        <f t="shared" ref="D122:P122" si="19">sum(D96:D121)</f>
        <v>25</v>
      </c>
      <c r="E122" s="232">
        <f t="shared" si="19"/>
        <v>53192.57</v>
      </c>
      <c r="F122" s="232">
        <f t="shared" si="19"/>
        <v>1450</v>
      </c>
      <c r="G122" s="232">
        <f t="shared" si="19"/>
        <v>500</v>
      </c>
      <c r="H122" s="232">
        <f t="shared" si="19"/>
        <v>0</v>
      </c>
      <c r="I122" s="232">
        <f t="shared" si="19"/>
        <v>18532</v>
      </c>
      <c r="J122" s="232">
        <f t="shared" si="19"/>
        <v>0</v>
      </c>
      <c r="K122" s="232">
        <f t="shared" si="19"/>
        <v>0</v>
      </c>
      <c r="L122" s="232">
        <f t="shared" si="19"/>
        <v>6011.57</v>
      </c>
      <c r="M122" s="232">
        <f t="shared" si="19"/>
        <v>5650</v>
      </c>
      <c r="N122" s="232">
        <f t="shared" si="19"/>
        <v>24949</v>
      </c>
      <c r="O122" s="232">
        <f t="shared" si="19"/>
        <v>-9000</v>
      </c>
      <c r="P122" s="232">
        <f t="shared" si="19"/>
        <v>-15949</v>
      </c>
      <c r="Q122" s="233">
        <f>Q121</f>
        <v>0</v>
      </c>
      <c r="R122" s="234"/>
    </row>
    <row r="123" ht="14.25" customHeight="1">
      <c r="B123" s="235" t="s">
        <v>127</v>
      </c>
      <c r="C123" s="236">
        <v>45691.0</v>
      </c>
      <c r="D123" s="241">
        <v>1.0</v>
      </c>
      <c r="E123" s="237">
        <v>2000.0</v>
      </c>
      <c r="F123" s="237"/>
      <c r="G123" s="67"/>
      <c r="H123" s="68"/>
      <c r="I123" s="237">
        <v>1000.0</v>
      </c>
      <c r="J123" s="237"/>
      <c r="K123" s="69">
        <f t="shared" ref="K123:K126" si="20">E123-I123-L123-M123-N123-J123+F123</f>
        <v>0</v>
      </c>
      <c r="L123" s="67"/>
      <c r="M123" s="67"/>
      <c r="N123" s="238">
        <v>1000.0</v>
      </c>
      <c r="O123" s="267">
        <v>-500.0</v>
      </c>
      <c r="P123" s="71"/>
      <c r="Q123" s="71">
        <f>N123+O123+P123</f>
        <v>500</v>
      </c>
      <c r="R123" s="71"/>
    </row>
    <row r="124" ht="14.25" customHeight="1">
      <c r="B124" s="68"/>
      <c r="C124" s="236">
        <v>45720.0</v>
      </c>
      <c r="D124" s="241">
        <v>1.0</v>
      </c>
      <c r="E124" s="237">
        <v>2500.0</v>
      </c>
      <c r="F124" s="237"/>
      <c r="G124" s="67"/>
      <c r="H124" s="68"/>
      <c r="I124" s="237">
        <v>1000.0</v>
      </c>
      <c r="J124" s="67"/>
      <c r="K124" s="69">
        <f t="shared" si="20"/>
        <v>0</v>
      </c>
      <c r="L124" s="67"/>
      <c r="M124" s="237"/>
      <c r="N124" s="238">
        <v>1500.0</v>
      </c>
      <c r="O124" s="267">
        <v>-500.0</v>
      </c>
      <c r="P124" s="71"/>
      <c r="Q124" s="214">
        <f t="shared" ref="Q124:Q151" si="21">Q123+N124+O124+P124</f>
        <v>1500</v>
      </c>
      <c r="R124" s="71"/>
    </row>
    <row r="125" ht="14.25" customHeight="1">
      <c r="B125" s="68"/>
      <c r="C125" s="236">
        <v>45752.0</v>
      </c>
      <c r="D125" s="241">
        <v>1.0</v>
      </c>
      <c r="E125" s="237">
        <v>2000.0</v>
      </c>
      <c r="F125" s="237"/>
      <c r="G125" s="67"/>
      <c r="H125" s="68"/>
      <c r="I125" s="237">
        <v>2000.0</v>
      </c>
      <c r="J125" s="67"/>
      <c r="K125" s="69">
        <f t="shared" si="20"/>
        <v>0</v>
      </c>
      <c r="L125" s="67"/>
      <c r="M125" s="237"/>
      <c r="N125" s="238"/>
      <c r="O125" s="267">
        <v>-500.0</v>
      </c>
      <c r="P125" s="71"/>
      <c r="Q125" s="214">
        <f t="shared" si="21"/>
        <v>1000</v>
      </c>
      <c r="R125" s="71"/>
    </row>
    <row r="126" ht="14.25" customHeight="1">
      <c r="B126" s="81"/>
      <c r="C126" s="239">
        <v>45783.0</v>
      </c>
      <c r="D126" s="299"/>
      <c r="E126" s="294"/>
      <c r="F126" s="88"/>
      <c r="G126" s="88"/>
      <c r="H126" s="81"/>
      <c r="I126" s="294"/>
      <c r="J126" s="88"/>
      <c r="K126" s="90">
        <f t="shared" si="20"/>
        <v>0</v>
      </c>
      <c r="L126" s="88"/>
      <c r="M126" s="88"/>
      <c r="N126" s="295"/>
      <c r="O126" s="88"/>
      <c r="P126" s="88"/>
      <c r="Q126" s="194">
        <f t="shared" si="21"/>
        <v>1000</v>
      </c>
      <c r="R126" s="88"/>
    </row>
    <row r="127" ht="14.25" customHeight="1">
      <c r="B127" s="68"/>
      <c r="C127" s="236">
        <v>45815.0</v>
      </c>
      <c r="D127" s="241">
        <v>1.0</v>
      </c>
      <c r="E127" s="237">
        <v>1800.0</v>
      </c>
      <c r="F127" s="67"/>
      <c r="G127" s="67"/>
      <c r="H127" s="248"/>
      <c r="I127" s="237">
        <v>1001.0</v>
      </c>
      <c r="J127" s="67"/>
      <c r="K127" s="69"/>
      <c r="L127" s="67"/>
      <c r="M127" s="237"/>
      <c r="N127" s="238">
        <v>799.0</v>
      </c>
      <c r="O127" s="267">
        <v>-500.0</v>
      </c>
      <c r="P127" s="71"/>
      <c r="Q127" s="214">
        <f t="shared" si="21"/>
        <v>1299</v>
      </c>
      <c r="R127" s="267"/>
    </row>
    <row r="128" ht="14.25" customHeight="1">
      <c r="B128" s="68"/>
      <c r="C128" s="236">
        <v>45846.0</v>
      </c>
      <c r="D128" s="241">
        <v>1.0</v>
      </c>
      <c r="E128" s="237">
        <v>1750.0</v>
      </c>
      <c r="F128" s="67"/>
      <c r="G128" s="67"/>
      <c r="H128" s="68"/>
      <c r="I128" s="237">
        <v>500.0</v>
      </c>
      <c r="J128" s="67"/>
      <c r="K128" s="69">
        <f t="shared" ref="K128:K141" si="22">E128-I128-L128-M128-N128-J128+F128</f>
        <v>0</v>
      </c>
      <c r="L128" s="237"/>
      <c r="M128" s="67"/>
      <c r="N128" s="238">
        <v>1250.0</v>
      </c>
      <c r="O128" s="267">
        <v>-500.0</v>
      </c>
      <c r="P128" s="71"/>
      <c r="Q128" s="214">
        <f t="shared" si="21"/>
        <v>2049</v>
      </c>
      <c r="R128" s="71"/>
    </row>
    <row r="129" ht="14.25" customHeight="1">
      <c r="B129" s="68"/>
      <c r="C129" s="236">
        <v>45878.0</v>
      </c>
      <c r="D129" s="241">
        <v>1.0</v>
      </c>
      <c r="E129" s="237">
        <v>1700.0</v>
      </c>
      <c r="F129" s="67"/>
      <c r="G129" s="67"/>
      <c r="H129" s="68"/>
      <c r="I129" s="237">
        <v>700.0</v>
      </c>
      <c r="J129" s="67"/>
      <c r="K129" s="69">
        <f t="shared" si="22"/>
        <v>0</v>
      </c>
      <c r="L129" s="67"/>
      <c r="M129" s="67"/>
      <c r="N129" s="238">
        <v>1000.0</v>
      </c>
      <c r="O129" s="267">
        <v>-500.0</v>
      </c>
      <c r="P129" s="71"/>
      <c r="Q129" s="214">
        <f t="shared" si="21"/>
        <v>2549</v>
      </c>
      <c r="R129" s="71"/>
    </row>
    <row r="130" ht="14.25" customHeight="1">
      <c r="B130" s="68"/>
      <c r="C130" s="236">
        <v>45910.0</v>
      </c>
      <c r="D130" s="241">
        <v>1.0</v>
      </c>
      <c r="E130" s="237">
        <v>1800.0</v>
      </c>
      <c r="F130" s="67"/>
      <c r="G130" s="67"/>
      <c r="H130" s="68"/>
      <c r="I130" s="237">
        <v>501.0</v>
      </c>
      <c r="J130" s="67"/>
      <c r="K130" s="69">
        <f t="shared" si="22"/>
        <v>0</v>
      </c>
      <c r="L130" s="67"/>
      <c r="M130" s="67"/>
      <c r="N130" s="238">
        <v>1299.0</v>
      </c>
      <c r="O130" s="267">
        <v>-500.0</v>
      </c>
      <c r="P130" s="71"/>
      <c r="Q130" s="214">
        <f t="shared" si="21"/>
        <v>3348</v>
      </c>
      <c r="R130" s="71"/>
    </row>
    <row r="131" ht="14.25" customHeight="1">
      <c r="B131" s="68"/>
      <c r="C131" s="236">
        <v>45941.0</v>
      </c>
      <c r="D131" s="241">
        <v>1.0</v>
      </c>
      <c r="E131" s="237">
        <v>2500.0</v>
      </c>
      <c r="F131" s="67"/>
      <c r="G131" s="67"/>
      <c r="H131" s="248"/>
      <c r="I131" s="237">
        <v>1000.0</v>
      </c>
      <c r="J131" s="67"/>
      <c r="K131" s="69">
        <f t="shared" si="22"/>
        <v>0</v>
      </c>
      <c r="L131" s="67"/>
      <c r="M131" s="67"/>
      <c r="N131" s="238">
        <v>1500.0</v>
      </c>
      <c r="O131" s="267">
        <v>-500.0</v>
      </c>
      <c r="P131" s="71"/>
      <c r="Q131" s="214">
        <f t="shared" si="21"/>
        <v>4348</v>
      </c>
      <c r="R131" s="71"/>
    </row>
    <row r="132" ht="14.25" customHeight="1">
      <c r="B132" s="68"/>
      <c r="C132" s="236">
        <v>45973.0</v>
      </c>
      <c r="D132" s="241">
        <v>1.0</v>
      </c>
      <c r="E132" s="237">
        <v>2300.0</v>
      </c>
      <c r="F132" s="67"/>
      <c r="G132" s="67"/>
      <c r="H132" s="68"/>
      <c r="I132" s="237">
        <v>1000.0</v>
      </c>
      <c r="J132" s="67"/>
      <c r="K132" s="69">
        <f t="shared" si="22"/>
        <v>0</v>
      </c>
      <c r="L132" s="67"/>
      <c r="M132" s="67"/>
      <c r="N132" s="238">
        <v>1300.0</v>
      </c>
      <c r="O132" s="267">
        <v>-500.0</v>
      </c>
      <c r="P132" s="71"/>
      <c r="Q132" s="214">
        <f t="shared" si="21"/>
        <v>5148</v>
      </c>
      <c r="R132" s="71"/>
    </row>
    <row r="133" ht="14.25" customHeight="1">
      <c r="B133" s="81"/>
      <c r="C133" s="239">
        <v>46005.0</v>
      </c>
      <c r="D133" s="87"/>
      <c r="E133" s="294"/>
      <c r="F133" s="88"/>
      <c r="G133" s="88"/>
      <c r="H133" s="183"/>
      <c r="I133" s="294"/>
      <c r="J133" s="88"/>
      <c r="K133" s="90">
        <f t="shared" si="22"/>
        <v>0</v>
      </c>
      <c r="L133" s="88"/>
      <c r="M133" s="88"/>
      <c r="N133" s="91"/>
      <c r="O133" s="294"/>
      <c r="P133" s="88"/>
      <c r="Q133" s="194">
        <f t="shared" si="21"/>
        <v>5148</v>
      </c>
      <c r="R133" s="88"/>
    </row>
    <row r="134" ht="14.25" customHeight="1">
      <c r="B134" s="68"/>
      <c r="C134" s="243" t="s">
        <v>29</v>
      </c>
      <c r="D134" s="241">
        <v>1.0</v>
      </c>
      <c r="E134" s="237">
        <v>2050.0</v>
      </c>
      <c r="F134" s="67"/>
      <c r="G134" s="67"/>
      <c r="H134" s="68"/>
      <c r="I134" s="237">
        <v>1000.0</v>
      </c>
      <c r="J134" s="67"/>
      <c r="K134" s="69">
        <f t="shared" si="22"/>
        <v>0</v>
      </c>
      <c r="L134" s="67"/>
      <c r="M134" s="67"/>
      <c r="N134" s="238">
        <v>1050.0</v>
      </c>
      <c r="O134" s="267">
        <v>-500.0</v>
      </c>
      <c r="P134" s="71"/>
      <c r="Q134" s="214">
        <f t="shared" si="21"/>
        <v>5698</v>
      </c>
      <c r="R134" s="71"/>
    </row>
    <row r="135" ht="14.25" customHeight="1">
      <c r="B135" s="81"/>
      <c r="C135" s="296" t="s">
        <v>30</v>
      </c>
      <c r="D135" s="299"/>
      <c r="E135" s="294"/>
      <c r="F135" s="88"/>
      <c r="G135" s="88"/>
      <c r="H135" s="81"/>
      <c r="I135" s="294"/>
      <c r="J135" s="88"/>
      <c r="K135" s="90">
        <f t="shared" si="22"/>
        <v>0</v>
      </c>
      <c r="L135" s="88"/>
      <c r="M135" s="88"/>
      <c r="N135" s="295"/>
      <c r="O135" s="88"/>
      <c r="P135" s="88"/>
      <c r="Q135" s="194">
        <f t="shared" si="21"/>
        <v>5698</v>
      </c>
      <c r="R135" s="88"/>
    </row>
    <row r="136" ht="14.25" customHeight="1">
      <c r="B136" s="68"/>
      <c r="C136" s="243" t="s">
        <v>31</v>
      </c>
      <c r="D136" s="241">
        <v>1.0</v>
      </c>
      <c r="E136" s="237">
        <v>2000.0</v>
      </c>
      <c r="F136" s="67"/>
      <c r="G136" s="67"/>
      <c r="H136" s="68"/>
      <c r="I136" s="237">
        <v>501.0</v>
      </c>
      <c r="J136" s="67"/>
      <c r="K136" s="69">
        <f t="shared" si="22"/>
        <v>0</v>
      </c>
      <c r="L136" s="67"/>
      <c r="M136" s="67"/>
      <c r="N136" s="238">
        <v>1499.0</v>
      </c>
      <c r="O136" s="267">
        <v>-500.0</v>
      </c>
      <c r="P136" s="71"/>
      <c r="Q136" s="214">
        <f t="shared" si="21"/>
        <v>6697</v>
      </c>
      <c r="R136" s="71"/>
    </row>
    <row r="137" ht="14.25" customHeight="1">
      <c r="B137" s="68"/>
      <c r="C137" s="243" t="s">
        <v>32</v>
      </c>
      <c r="D137" s="241">
        <v>1.0</v>
      </c>
      <c r="E137" s="237">
        <v>2500.0</v>
      </c>
      <c r="F137" s="67"/>
      <c r="G137" s="67"/>
      <c r="H137" s="68"/>
      <c r="I137" s="237">
        <v>1000.0</v>
      </c>
      <c r="J137" s="67"/>
      <c r="K137" s="69">
        <f t="shared" si="22"/>
        <v>0</v>
      </c>
      <c r="L137" s="67"/>
      <c r="M137" s="237"/>
      <c r="N137" s="238">
        <v>1500.0</v>
      </c>
      <c r="O137" s="267">
        <v>-500.0</v>
      </c>
      <c r="P137" s="71"/>
      <c r="Q137" s="214">
        <f t="shared" si="21"/>
        <v>7697</v>
      </c>
      <c r="R137" s="267"/>
    </row>
    <row r="138" ht="14.25" customHeight="1">
      <c r="B138" s="81"/>
      <c r="C138" s="296" t="s">
        <v>33</v>
      </c>
      <c r="D138" s="299"/>
      <c r="E138" s="294"/>
      <c r="F138" s="294"/>
      <c r="G138" s="88"/>
      <c r="H138" s="81"/>
      <c r="I138" s="294"/>
      <c r="J138" s="88"/>
      <c r="K138" s="90">
        <f t="shared" si="22"/>
        <v>0</v>
      </c>
      <c r="L138" s="88"/>
      <c r="M138" s="88"/>
      <c r="N138" s="295"/>
      <c r="O138" s="294"/>
      <c r="P138" s="88"/>
      <c r="Q138" s="194">
        <f t="shared" si="21"/>
        <v>7697</v>
      </c>
      <c r="R138" s="294"/>
    </row>
    <row r="139" ht="14.25" customHeight="1">
      <c r="B139" s="68"/>
      <c r="C139" s="269" t="s">
        <v>34</v>
      </c>
      <c r="D139" s="270">
        <v>1.0</v>
      </c>
      <c r="E139" s="237">
        <v>2000.0</v>
      </c>
      <c r="F139" s="67"/>
      <c r="G139" s="237">
        <v>-400.0</v>
      </c>
      <c r="H139" s="68"/>
      <c r="I139" s="237">
        <v>500.0</v>
      </c>
      <c r="J139" s="67"/>
      <c r="K139" s="69">
        <f t="shared" si="22"/>
        <v>0</v>
      </c>
      <c r="L139" s="67"/>
      <c r="M139" s="67"/>
      <c r="N139" s="238">
        <v>1500.0</v>
      </c>
      <c r="O139" s="267">
        <v>-500.0</v>
      </c>
      <c r="P139" s="71"/>
      <c r="Q139" s="214">
        <f t="shared" si="21"/>
        <v>8697</v>
      </c>
      <c r="R139" s="71"/>
    </row>
    <row r="140" ht="14.25" customHeight="1">
      <c r="B140" s="68"/>
      <c r="C140" s="243" t="s">
        <v>35</v>
      </c>
      <c r="D140" s="241">
        <v>2.0</v>
      </c>
      <c r="E140" s="237">
        <v>3500.0</v>
      </c>
      <c r="F140" s="237">
        <v>900.0</v>
      </c>
      <c r="G140" s="67"/>
      <c r="H140" s="68"/>
      <c r="I140" s="237">
        <v>1950.0</v>
      </c>
      <c r="J140" s="67"/>
      <c r="K140" s="69">
        <f t="shared" si="22"/>
        <v>0</v>
      </c>
      <c r="L140" s="67"/>
      <c r="M140" s="237"/>
      <c r="N140" s="238">
        <v>2450.0</v>
      </c>
      <c r="O140" s="267">
        <v>-500.0</v>
      </c>
      <c r="P140" s="71"/>
      <c r="Q140" s="214">
        <f t="shared" si="21"/>
        <v>10647</v>
      </c>
      <c r="R140" s="267" t="s">
        <v>133</v>
      </c>
    </row>
    <row r="141" ht="14.25" customHeight="1">
      <c r="B141" s="81"/>
      <c r="C141" s="296" t="s">
        <v>37</v>
      </c>
      <c r="D141" s="299"/>
      <c r="E141" s="294"/>
      <c r="F141" s="294"/>
      <c r="G141" s="88"/>
      <c r="H141" s="81"/>
      <c r="I141" s="294"/>
      <c r="J141" s="88"/>
      <c r="K141" s="90">
        <f t="shared" si="22"/>
        <v>0</v>
      </c>
      <c r="L141" s="88"/>
      <c r="M141" s="88"/>
      <c r="N141" s="295"/>
      <c r="O141" s="294"/>
      <c r="P141" s="88"/>
      <c r="Q141" s="194">
        <f t="shared" si="21"/>
        <v>10647</v>
      </c>
      <c r="R141" s="88"/>
    </row>
    <row r="142" ht="14.25" customHeight="1">
      <c r="B142" s="68"/>
      <c r="C142" s="243" t="s">
        <v>41</v>
      </c>
      <c r="D142" s="241">
        <v>1.0</v>
      </c>
      <c r="E142" s="237">
        <v>1800.0</v>
      </c>
      <c r="F142" s="67"/>
      <c r="G142" s="237"/>
      <c r="H142" s="68"/>
      <c r="I142" s="237">
        <v>500.0</v>
      </c>
      <c r="J142" s="67"/>
      <c r="K142" s="69">
        <f>E142-I142-L142-M142-N142-J142+F142+G142</f>
        <v>0</v>
      </c>
      <c r="L142" s="67"/>
      <c r="M142" s="67"/>
      <c r="N142" s="238">
        <v>1300.0</v>
      </c>
      <c r="O142" s="267">
        <v>-500.0</v>
      </c>
      <c r="P142" s="273"/>
      <c r="Q142" s="214">
        <f t="shared" si="21"/>
        <v>11447</v>
      </c>
      <c r="R142" s="71"/>
    </row>
    <row r="143" ht="14.25" customHeight="1">
      <c r="B143" s="68"/>
      <c r="C143" s="243" t="s">
        <v>135</v>
      </c>
      <c r="D143" s="241">
        <v>1.0</v>
      </c>
      <c r="E143" s="237">
        <v>3000.0</v>
      </c>
      <c r="F143" s="67"/>
      <c r="G143" s="237">
        <v>-500.0</v>
      </c>
      <c r="H143" s="68"/>
      <c r="I143" s="237">
        <v>1000.0</v>
      </c>
      <c r="J143" s="67"/>
      <c r="K143" s="69">
        <f t="shared" ref="K143:K151" si="23">E143-I143-L143-M143-N143-J143+F143</f>
        <v>0</v>
      </c>
      <c r="L143" s="237"/>
      <c r="M143" s="67"/>
      <c r="N143" s="238">
        <v>2000.0</v>
      </c>
      <c r="O143" s="267">
        <v>-500.0</v>
      </c>
      <c r="P143" s="273"/>
      <c r="Q143" s="214">
        <f t="shared" si="21"/>
        <v>12947</v>
      </c>
      <c r="R143" s="71"/>
    </row>
    <row r="144" ht="14.25" customHeight="1">
      <c r="B144" s="68"/>
      <c r="C144" s="243" t="s">
        <v>45</v>
      </c>
      <c r="D144" s="241">
        <v>1.0</v>
      </c>
      <c r="E144" s="237">
        <v>2000.0</v>
      </c>
      <c r="F144" s="67"/>
      <c r="G144" s="67"/>
      <c r="H144" s="68"/>
      <c r="I144" s="237">
        <v>1000.0</v>
      </c>
      <c r="J144" s="67"/>
      <c r="K144" s="69">
        <f t="shared" si="23"/>
        <v>0</v>
      </c>
      <c r="L144" s="67"/>
      <c r="M144" s="67"/>
      <c r="N144" s="238">
        <v>1000.0</v>
      </c>
      <c r="O144" s="267">
        <v>-500.0</v>
      </c>
      <c r="P144" s="273"/>
      <c r="Q144" s="214">
        <f t="shared" si="21"/>
        <v>13447</v>
      </c>
      <c r="R144" s="71"/>
    </row>
    <row r="145" ht="14.25" customHeight="1">
      <c r="B145" s="68"/>
      <c r="C145" s="243" t="s">
        <v>47</v>
      </c>
      <c r="D145" s="241">
        <v>1.0</v>
      </c>
      <c r="E145" s="237">
        <v>1800.0</v>
      </c>
      <c r="F145" s="67"/>
      <c r="G145" s="67"/>
      <c r="H145" s="68"/>
      <c r="I145" s="237">
        <v>500.0</v>
      </c>
      <c r="J145" s="67"/>
      <c r="K145" s="69">
        <f t="shared" si="23"/>
        <v>0</v>
      </c>
      <c r="L145" s="67"/>
      <c r="M145" s="67"/>
      <c r="N145" s="238">
        <v>1300.0</v>
      </c>
      <c r="O145" s="267">
        <v>-500.0</v>
      </c>
      <c r="P145" s="273"/>
      <c r="Q145" s="214">
        <f t="shared" si="21"/>
        <v>14247</v>
      </c>
      <c r="R145" s="71"/>
    </row>
    <row r="146" ht="14.25" customHeight="1">
      <c r="B146" s="81"/>
      <c r="C146" s="296" t="s">
        <v>48</v>
      </c>
      <c r="D146" s="87"/>
      <c r="E146" s="88"/>
      <c r="F146" s="88"/>
      <c r="G146" s="88"/>
      <c r="H146" s="81"/>
      <c r="I146" s="88"/>
      <c r="J146" s="88"/>
      <c r="K146" s="90">
        <f t="shared" si="23"/>
        <v>0</v>
      </c>
      <c r="L146" s="88"/>
      <c r="M146" s="88"/>
      <c r="N146" s="91"/>
      <c r="O146" s="88"/>
      <c r="P146" s="323"/>
      <c r="Q146" s="194">
        <f t="shared" si="21"/>
        <v>14247</v>
      </c>
      <c r="R146" s="88"/>
    </row>
    <row r="147" ht="14.25" customHeight="1">
      <c r="B147" s="68"/>
      <c r="C147" s="243" t="s">
        <v>137</v>
      </c>
      <c r="D147" s="241">
        <v>2.0</v>
      </c>
      <c r="E147" s="237">
        <v>3800.0</v>
      </c>
      <c r="F147" s="67"/>
      <c r="G147" s="67"/>
      <c r="H147" s="68"/>
      <c r="I147" s="237">
        <v>1500.0</v>
      </c>
      <c r="J147" s="67"/>
      <c r="K147" s="69">
        <f t="shared" si="23"/>
        <v>0</v>
      </c>
      <c r="L147" s="67"/>
      <c r="M147" s="67"/>
      <c r="N147" s="238">
        <v>2300.0</v>
      </c>
      <c r="O147" s="267">
        <v>-500.0</v>
      </c>
      <c r="P147" s="273"/>
      <c r="Q147" s="214">
        <f t="shared" si="21"/>
        <v>16047</v>
      </c>
      <c r="R147" s="71"/>
    </row>
    <row r="148" ht="14.25" customHeight="1">
      <c r="B148" s="68"/>
      <c r="C148" s="243" t="s">
        <v>89</v>
      </c>
      <c r="D148" s="241">
        <v>2.0</v>
      </c>
      <c r="E148" s="237">
        <v>5000.0</v>
      </c>
      <c r="F148" s="67"/>
      <c r="G148" s="67"/>
      <c r="H148" s="68"/>
      <c r="I148" s="237">
        <v>1500.0</v>
      </c>
      <c r="J148" s="67"/>
      <c r="K148" s="69">
        <f t="shared" si="23"/>
        <v>0</v>
      </c>
      <c r="L148" s="67"/>
      <c r="M148" s="67"/>
      <c r="N148" s="238">
        <v>3500.0</v>
      </c>
      <c r="O148" s="267">
        <v>-500.0</v>
      </c>
      <c r="P148" s="273"/>
      <c r="Q148" s="214">
        <f t="shared" si="21"/>
        <v>19047</v>
      </c>
      <c r="R148" s="71"/>
    </row>
    <row r="149" ht="14.25" customHeight="1">
      <c r="B149" s="68"/>
      <c r="C149" s="110"/>
      <c r="D149" s="66"/>
      <c r="E149" s="67"/>
      <c r="F149" s="67"/>
      <c r="G149" s="67"/>
      <c r="H149" s="68"/>
      <c r="I149" s="67"/>
      <c r="J149" s="67"/>
      <c r="K149" s="69">
        <f t="shared" si="23"/>
        <v>0</v>
      </c>
      <c r="L149" s="67"/>
      <c r="M149" s="67"/>
      <c r="N149" s="70"/>
      <c r="O149" s="71"/>
      <c r="P149" s="273">
        <v>-4467.58</v>
      </c>
      <c r="Q149" s="214">
        <f t="shared" si="21"/>
        <v>14579.42</v>
      </c>
      <c r="R149" s="71" t="s">
        <v>55</v>
      </c>
    </row>
    <row r="150" ht="14.25" customHeight="1">
      <c r="B150" s="210"/>
      <c r="C150" s="211"/>
      <c r="D150" s="173"/>
      <c r="E150" s="176"/>
      <c r="F150" s="176"/>
      <c r="G150" s="176"/>
      <c r="H150" s="210"/>
      <c r="I150" s="176"/>
      <c r="J150" s="176"/>
      <c r="K150" s="69">
        <f t="shared" si="23"/>
        <v>0</v>
      </c>
      <c r="L150" s="176"/>
      <c r="M150" s="176"/>
      <c r="N150" s="213"/>
      <c r="O150" s="214"/>
      <c r="P150" s="273">
        <v>-5286.11</v>
      </c>
      <c r="Q150" s="214">
        <f t="shared" si="21"/>
        <v>9293.31</v>
      </c>
      <c r="R150" s="214" t="s">
        <v>59</v>
      </c>
    </row>
    <row r="151" ht="14.25" customHeight="1">
      <c r="B151" s="215"/>
      <c r="C151" s="216"/>
      <c r="D151" s="217"/>
      <c r="E151" s="218"/>
      <c r="F151" s="218"/>
      <c r="G151" s="218"/>
      <c r="H151" s="215"/>
      <c r="I151" s="218"/>
      <c r="J151" s="218"/>
      <c r="K151" s="69">
        <f t="shared" si="23"/>
        <v>0</v>
      </c>
      <c r="L151" s="218"/>
      <c r="M151" s="218"/>
      <c r="N151" s="220"/>
      <c r="O151" s="220"/>
      <c r="P151" s="221">
        <v>-9293.31</v>
      </c>
      <c r="Q151" s="214">
        <f t="shared" si="21"/>
        <v>0</v>
      </c>
      <c r="R151" s="221"/>
    </row>
    <row r="152" ht="14.25" customHeight="1">
      <c r="B152" s="283" t="s">
        <v>127</v>
      </c>
      <c r="C152" s="229" t="s">
        <v>66</v>
      </c>
      <c r="D152" s="228">
        <f t="shared" ref="D152:P152" si="24">sum(D123:D151)</f>
        <v>23</v>
      </c>
      <c r="E152" s="232">
        <f t="shared" si="24"/>
        <v>47800</v>
      </c>
      <c r="F152" s="232">
        <f t="shared" si="24"/>
        <v>900</v>
      </c>
      <c r="G152" s="232">
        <f t="shared" si="24"/>
        <v>-900</v>
      </c>
      <c r="H152" s="232">
        <f t="shared" si="24"/>
        <v>0</v>
      </c>
      <c r="I152" s="232">
        <f t="shared" si="24"/>
        <v>19653</v>
      </c>
      <c r="J152" s="232">
        <f t="shared" si="24"/>
        <v>0</v>
      </c>
      <c r="K152" s="232">
        <f t="shared" si="24"/>
        <v>0</v>
      </c>
      <c r="L152" s="232">
        <f t="shared" si="24"/>
        <v>0</v>
      </c>
      <c r="M152" s="232">
        <f t="shared" si="24"/>
        <v>0</v>
      </c>
      <c r="N152" s="232">
        <f t="shared" si="24"/>
        <v>29047</v>
      </c>
      <c r="O152" s="232">
        <f t="shared" si="24"/>
        <v>-10000</v>
      </c>
      <c r="P152" s="232">
        <f t="shared" si="24"/>
        <v>-19047</v>
      </c>
      <c r="Q152" s="233">
        <f>Q151</f>
        <v>0</v>
      </c>
      <c r="R152" s="234"/>
    </row>
    <row r="153" ht="14.25" customHeight="1">
      <c r="B153" s="248" t="s">
        <v>139</v>
      </c>
      <c r="C153" s="239">
        <v>45693.0</v>
      </c>
      <c r="D153" s="299"/>
      <c r="E153" s="294"/>
      <c r="F153" s="88"/>
      <c r="G153" s="294"/>
      <c r="H153" s="81"/>
      <c r="I153" s="294"/>
      <c r="J153" s="88"/>
      <c r="K153" s="90">
        <f>E153-I153-L153-M153-N153-J153+F153+G153</f>
        <v>0</v>
      </c>
      <c r="L153" s="88"/>
      <c r="M153" s="88"/>
      <c r="N153" s="295"/>
      <c r="O153" s="294"/>
      <c r="P153" s="323"/>
      <c r="Q153" s="194">
        <f t="shared" ref="Q153:Q175" si="25">Q152+N153+O153+P153</f>
        <v>0</v>
      </c>
      <c r="R153" s="88"/>
    </row>
    <row r="154" ht="14.25" customHeight="1">
      <c r="B154" s="68"/>
      <c r="C154" s="236">
        <v>45784.0</v>
      </c>
      <c r="D154" s="241">
        <v>2.0</v>
      </c>
      <c r="E154" s="237">
        <f>200+4000</f>
        <v>4200</v>
      </c>
      <c r="F154" s="237">
        <v>900.0</v>
      </c>
      <c r="G154" s="67"/>
      <c r="H154" s="68"/>
      <c r="I154" s="237">
        <v>1950.0</v>
      </c>
      <c r="J154" s="67"/>
      <c r="K154" s="69">
        <f t="shared" ref="K154:K166" si="26">E154-I154-L154-M154-N154-J154+F154</f>
        <v>0</v>
      </c>
      <c r="L154" s="67"/>
      <c r="M154" s="237">
        <v>3150.0</v>
      </c>
      <c r="N154" s="238"/>
      <c r="O154" s="267">
        <v>-500.0</v>
      </c>
      <c r="P154" s="273"/>
      <c r="Q154" s="214">
        <f t="shared" si="25"/>
        <v>-500</v>
      </c>
      <c r="R154" s="71"/>
    </row>
    <row r="155" ht="14.25" customHeight="1">
      <c r="B155" s="68"/>
      <c r="C155" s="236">
        <v>45847.0</v>
      </c>
      <c r="D155" s="241">
        <v>2.0</v>
      </c>
      <c r="E155" s="237">
        <v>5200.0</v>
      </c>
      <c r="F155" s="67"/>
      <c r="G155" s="67"/>
      <c r="H155" s="68"/>
      <c r="I155" s="237">
        <v>1500.0</v>
      </c>
      <c r="J155" s="67"/>
      <c r="K155" s="69">
        <f t="shared" si="26"/>
        <v>0</v>
      </c>
      <c r="L155" s="67"/>
      <c r="M155" s="237"/>
      <c r="N155" s="238">
        <v>3700.0</v>
      </c>
      <c r="O155" s="267">
        <v>-500.0</v>
      </c>
      <c r="P155" s="273"/>
      <c r="Q155" s="214">
        <f t="shared" si="25"/>
        <v>2700</v>
      </c>
      <c r="R155" s="71"/>
    </row>
    <row r="156" ht="14.25" customHeight="1">
      <c r="B156" s="81"/>
      <c r="C156" s="239">
        <v>45912.0</v>
      </c>
      <c r="D156" s="299"/>
      <c r="E156" s="294"/>
      <c r="F156" s="294"/>
      <c r="G156" s="88"/>
      <c r="H156" s="81"/>
      <c r="I156" s="294"/>
      <c r="J156" s="88"/>
      <c r="K156" s="90">
        <f t="shared" si="26"/>
        <v>0</v>
      </c>
      <c r="L156" s="88"/>
      <c r="M156" s="88"/>
      <c r="N156" s="295"/>
      <c r="O156" s="294"/>
      <c r="P156" s="323"/>
      <c r="Q156" s="194">
        <f t="shared" si="25"/>
        <v>2700</v>
      </c>
      <c r="R156" s="88"/>
    </row>
    <row r="157" ht="14.25" customHeight="1">
      <c r="B157" s="68"/>
      <c r="C157" s="236">
        <v>46005.0</v>
      </c>
      <c r="D157" s="241">
        <v>2.0</v>
      </c>
      <c r="E157" s="237">
        <v>3522.53</v>
      </c>
      <c r="F157" s="237"/>
      <c r="G157" s="67"/>
      <c r="H157" s="237" t="s">
        <v>42</v>
      </c>
      <c r="I157" s="237"/>
      <c r="J157" s="237">
        <v>3522.53</v>
      </c>
      <c r="K157" s="69">
        <f t="shared" si="26"/>
        <v>0</v>
      </c>
      <c r="L157" s="67"/>
      <c r="M157" s="67"/>
      <c r="N157" s="238"/>
      <c r="O157" s="267">
        <v>-500.0</v>
      </c>
      <c r="P157" s="273"/>
      <c r="Q157" s="214">
        <f t="shared" si="25"/>
        <v>2200</v>
      </c>
      <c r="R157" s="71"/>
    </row>
    <row r="158" ht="14.25" customHeight="1">
      <c r="B158" s="68"/>
      <c r="C158" s="243" t="s">
        <v>29</v>
      </c>
      <c r="D158" s="241">
        <v>1.0</v>
      </c>
      <c r="E158" s="237">
        <v>2500.0</v>
      </c>
      <c r="F158" s="237"/>
      <c r="G158" s="67"/>
      <c r="H158" s="68"/>
      <c r="I158" s="237">
        <v>1000.0</v>
      </c>
      <c r="J158" s="67"/>
      <c r="K158" s="69">
        <f t="shared" si="26"/>
        <v>0</v>
      </c>
      <c r="L158" s="67"/>
      <c r="M158" s="67"/>
      <c r="N158" s="238">
        <v>1500.0</v>
      </c>
      <c r="O158" s="267">
        <v>-500.0</v>
      </c>
      <c r="P158" s="273"/>
      <c r="Q158" s="214">
        <f t="shared" si="25"/>
        <v>3200</v>
      </c>
      <c r="R158" s="71"/>
    </row>
    <row r="159" ht="14.25" customHeight="1">
      <c r="B159" s="68"/>
      <c r="C159" s="243" t="s">
        <v>30</v>
      </c>
      <c r="D159" s="241">
        <v>1.0</v>
      </c>
      <c r="E159" s="237">
        <v>1800.0</v>
      </c>
      <c r="F159" s="237"/>
      <c r="G159" s="67"/>
      <c r="H159" s="68"/>
      <c r="I159" s="237">
        <v>500.0</v>
      </c>
      <c r="J159" s="67"/>
      <c r="K159" s="69">
        <f t="shared" si="26"/>
        <v>0</v>
      </c>
      <c r="L159" s="67"/>
      <c r="M159" s="67"/>
      <c r="N159" s="238">
        <v>1300.0</v>
      </c>
      <c r="O159" s="267">
        <v>-500.0</v>
      </c>
      <c r="P159" s="273"/>
      <c r="Q159" s="214">
        <f t="shared" si="25"/>
        <v>4000</v>
      </c>
      <c r="R159" s="71"/>
    </row>
    <row r="160" ht="14.25" customHeight="1">
      <c r="B160" s="68"/>
      <c r="C160" s="243" t="s">
        <v>31</v>
      </c>
      <c r="D160" s="241">
        <v>1.0</v>
      </c>
      <c r="E160" s="237">
        <v>1800.0</v>
      </c>
      <c r="F160" s="237"/>
      <c r="G160" s="67"/>
      <c r="H160" s="68"/>
      <c r="I160" s="237">
        <v>500.0</v>
      </c>
      <c r="J160" s="67"/>
      <c r="K160" s="69">
        <f t="shared" si="26"/>
        <v>0</v>
      </c>
      <c r="L160" s="67"/>
      <c r="M160" s="67"/>
      <c r="N160" s="238">
        <v>1300.0</v>
      </c>
      <c r="O160" s="267">
        <v>-500.0</v>
      </c>
      <c r="P160" s="273"/>
      <c r="Q160" s="214">
        <f t="shared" si="25"/>
        <v>4800</v>
      </c>
      <c r="R160" s="71"/>
    </row>
    <row r="161" ht="14.25" customHeight="1">
      <c r="B161" s="68"/>
      <c r="C161" s="243" t="s">
        <v>32</v>
      </c>
      <c r="D161" s="241">
        <v>1.0</v>
      </c>
      <c r="E161" s="237">
        <v>1800.0</v>
      </c>
      <c r="F161" s="237"/>
      <c r="G161" s="67"/>
      <c r="H161" s="68"/>
      <c r="I161" s="237">
        <v>500.0</v>
      </c>
      <c r="J161" s="67"/>
      <c r="K161" s="69">
        <f t="shared" si="26"/>
        <v>0</v>
      </c>
      <c r="L161" s="67"/>
      <c r="M161" s="237"/>
      <c r="N161" s="238">
        <v>1300.0</v>
      </c>
      <c r="O161" s="267">
        <v>-500.0</v>
      </c>
      <c r="P161" s="273"/>
      <c r="Q161" s="214">
        <f t="shared" si="25"/>
        <v>5600</v>
      </c>
      <c r="R161" s="71"/>
    </row>
    <row r="162" ht="14.25" customHeight="1">
      <c r="B162" s="68"/>
      <c r="C162" s="243" t="s">
        <v>33</v>
      </c>
      <c r="D162" s="241">
        <v>1.0</v>
      </c>
      <c r="E162" s="237">
        <v>2000.0</v>
      </c>
      <c r="F162" s="237"/>
      <c r="G162" s="67"/>
      <c r="H162" s="68"/>
      <c r="I162" s="237">
        <v>1000.0</v>
      </c>
      <c r="J162" s="67"/>
      <c r="K162" s="69">
        <f t="shared" si="26"/>
        <v>0</v>
      </c>
      <c r="L162" s="67"/>
      <c r="M162" s="237">
        <v>1000.0</v>
      </c>
      <c r="N162" s="238"/>
      <c r="O162" s="267">
        <v>-500.0</v>
      </c>
      <c r="P162" s="273"/>
      <c r="Q162" s="214">
        <f t="shared" si="25"/>
        <v>5100</v>
      </c>
      <c r="R162" s="71"/>
    </row>
    <row r="163" ht="14.25" customHeight="1">
      <c r="B163" s="68"/>
      <c r="C163" s="243" t="s">
        <v>34</v>
      </c>
      <c r="D163" s="241"/>
      <c r="E163" s="237"/>
      <c r="F163" s="237"/>
      <c r="G163" s="67"/>
      <c r="H163" s="68"/>
      <c r="I163" s="237"/>
      <c r="J163" s="67"/>
      <c r="K163" s="69">
        <f t="shared" si="26"/>
        <v>0</v>
      </c>
      <c r="L163" s="67"/>
      <c r="M163" s="67"/>
      <c r="N163" s="238"/>
      <c r="O163" s="267">
        <v>-500.0</v>
      </c>
      <c r="P163" s="273"/>
      <c r="Q163" s="214">
        <f t="shared" si="25"/>
        <v>4600</v>
      </c>
      <c r="R163" s="267" t="s">
        <v>142</v>
      </c>
    </row>
    <row r="164" ht="14.25" customHeight="1">
      <c r="B164" s="68"/>
      <c r="C164" s="243" t="s">
        <v>78</v>
      </c>
      <c r="D164" s="241">
        <v>2.0</v>
      </c>
      <c r="E164" s="237">
        <v>3522.53</v>
      </c>
      <c r="G164" s="67"/>
      <c r="H164" s="237" t="s">
        <v>42</v>
      </c>
      <c r="I164" s="237"/>
      <c r="J164" s="237">
        <v>3522.53</v>
      </c>
      <c r="K164" s="69">
        <f t="shared" si="26"/>
        <v>0</v>
      </c>
      <c r="L164" s="67"/>
      <c r="M164" s="67"/>
      <c r="N164" s="238"/>
      <c r="O164" s="267">
        <v>-500.0</v>
      </c>
      <c r="P164" s="273"/>
      <c r="Q164" s="214">
        <f t="shared" si="25"/>
        <v>4100</v>
      </c>
      <c r="R164" s="71"/>
    </row>
    <row r="165" ht="14.25" customHeight="1">
      <c r="B165" s="68"/>
      <c r="C165" s="243" t="s">
        <v>41</v>
      </c>
      <c r="D165" s="241">
        <v>1.0</v>
      </c>
      <c r="E165" s="237">
        <v>2000.0</v>
      </c>
      <c r="F165" s="237"/>
      <c r="G165" s="67"/>
      <c r="H165" s="68"/>
      <c r="I165" s="237">
        <v>1000.0</v>
      </c>
      <c r="J165" s="67"/>
      <c r="K165" s="69">
        <f t="shared" si="26"/>
        <v>0</v>
      </c>
      <c r="L165" s="67"/>
      <c r="M165" s="237"/>
      <c r="N165" s="238">
        <v>1000.0</v>
      </c>
      <c r="O165" s="267">
        <v>-500.0</v>
      </c>
      <c r="P165" s="273"/>
      <c r="Q165" s="214">
        <f t="shared" si="25"/>
        <v>4600</v>
      </c>
      <c r="R165" s="71"/>
    </row>
    <row r="166" ht="14.25" customHeight="1">
      <c r="B166" s="68"/>
      <c r="C166" s="243" t="s">
        <v>44</v>
      </c>
      <c r="D166" s="241">
        <v>1.0</v>
      </c>
      <c r="E166" s="237">
        <v>1800.0</v>
      </c>
      <c r="F166" s="237"/>
      <c r="G166" s="67"/>
      <c r="H166" s="68"/>
      <c r="I166" s="237">
        <v>800.0</v>
      </c>
      <c r="J166" s="67"/>
      <c r="K166" s="69">
        <f t="shared" si="26"/>
        <v>0</v>
      </c>
      <c r="L166" s="237"/>
      <c r="M166" s="237">
        <v>1000.0</v>
      </c>
      <c r="N166" s="238"/>
      <c r="O166" s="267">
        <v>-500.0</v>
      </c>
      <c r="P166" s="273"/>
      <c r="Q166" s="214">
        <f t="shared" si="25"/>
        <v>4100</v>
      </c>
      <c r="R166" s="71"/>
    </row>
    <row r="167" ht="14.25" customHeight="1">
      <c r="B167" s="81"/>
      <c r="C167" s="296" t="s">
        <v>45</v>
      </c>
      <c r="D167" s="299"/>
      <c r="E167" s="294"/>
      <c r="F167" s="294"/>
      <c r="G167" s="88"/>
      <c r="H167" s="81"/>
      <c r="I167" s="294"/>
      <c r="J167" s="88"/>
      <c r="K167" s="90"/>
      <c r="L167" s="88"/>
      <c r="M167" s="88"/>
      <c r="N167" s="295"/>
      <c r="O167" s="294"/>
      <c r="P167" s="323"/>
      <c r="Q167" s="194">
        <f t="shared" si="25"/>
        <v>4100</v>
      </c>
      <c r="R167" s="88"/>
    </row>
    <row r="168" ht="14.25" customHeight="1">
      <c r="B168" s="68"/>
      <c r="C168" s="243" t="s">
        <v>47</v>
      </c>
      <c r="D168" s="241">
        <v>1.0</v>
      </c>
      <c r="E168" s="237">
        <v>1800.0</v>
      </c>
      <c r="F168" s="237"/>
      <c r="G168" s="67"/>
      <c r="H168" s="68"/>
      <c r="I168" s="237">
        <v>1000.0</v>
      </c>
      <c r="J168" s="67"/>
      <c r="K168" s="69">
        <f t="shared" ref="K168:K170" si="27">E168-I168-L168-M168-N168-J168+F168</f>
        <v>0</v>
      </c>
      <c r="L168" s="67"/>
      <c r="M168" s="67"/>
      <c r="N168" s="238">
        <v>800.0</v>
      </c>
      <c r="O168" s="267">
        <v>-500.0</v>
      </c>
      <c r="P168" s="273"/>
      <c r="Q168" s="214">
        <f t="shared" si="25"/>
        <v>4400</v>
      </c>
      <c r="R168" s="71"/>
    </row>
    <row r="169" ht="14.25" customHeight="1">
      <c r="B169" s="81"/>
      <c r="C169" s="296" t="s">
        <v>72</v>
      </c>
      <c r="D169" s="299"/>
      <c r="E169" s="294"/>
      <c r="F169" s="294"/>
      <c r="G169" s="88"/>
      <c r="H169" s="81"/>
      <c r="I169" s="294"/>
      <c r="J169" s="88"/>
      <c r="K169" s="90">
        <f t="shared" si="27"/>
        <v>0</v>
      </c>
      <c r="L169" s="88"/>
      <c r="M169" s="88"/>
      <c r="N169" s="295"/>
      <c r="O169" s="294"/>
      <c r="P169" s="323"/>
      <c r="Q169" s="194">
        <f t="shared" si="25"/>
        <v>4400</v>
      </c>
      <c r="R169" s="88"/>
    </row>
    <row r="170" ht="14.25" customHeight="1">
      <c r="B170" s="68"/>
      <c r="C170" s="243" t="s">
        <v>73</v>
      </c>
      <c r="D170" s="241">
        <v>1.0</v>
      </c>
      <c r="E170" s="237">
        <v>2500.0</v>
      </c>
      <c r="F170" s="237"/>
      <c r="G170" s="67"/>
      <c r="H170" s="68"/>
      <c r="I170" s="237">
        <v>1000.0</v>
      </c>
      <c r="J170" s="67"/>
      <c r="K170" s="69">
        <f t="shared" si="27"/>
        <v>0</v>
      </c>
      <c r="L170" s="67"/>
      <c r="M170" s="67"/>
      <c r="N170" s="238">
        <v>1500.0</v>
      </c>
      <c r="O170" s="267">
        <v>-500.0</v>
      </c>
      <c r="P170" s="273"/>
      <c r="Q170" s="214">
        <f t="shared" si="25"/>
        <v>5400</v>
      </c>
      <c r="R170" s="71"/>
    </row>
    <row r="171" ht="14.25" customHeight="1">
      <c r="B171" s="81"/>
      <c r="C171" s="296" t="s">
        <v>49</v>
      </c>
      <c r="D171" s="299"/>
      <c r="E171" s="294"/>
      <c r="F171" s="294"/>
      <c r="G171" s="88"/>
      <c r="H171" s="81"/>
      <c r="I171" s="294"/>
      <c r="J171" s="88"/>
      <c r="K171" s="90"/>
      <c r="L171" s="88"/>
      <c r="M171" s="88"/>
      <c r="N171" s="295"/>
      <c r="O171" s="294"/>
      <c r="P171" s="323"/>
      <c r="Q171" s="194">
        <f t="shared" si="25"/>
        <v>5400</v>
      </c>
      <c r="R171" s="88"/>
    </row>
    <row r="172" ht="14.25" customHeight="1">
      <c r="B172" s="68"/>
      <c r="C172" s="243" t="s">
        <v>75</v>
      </c>
      <c r="D172" s="241">
        <v>1.0</v>
      </c>
      <c r="E172" s="237">
        <v>1800.0</v>
      </c>
      <c r="F172" s="237"/>
      <c r="G172" s="67"/>
      <c r="H172" s="68"/>
      <c r="I172" s="237">
        <v>800.0</v>
      </c>
      <c r="J172" s="67"/>
      <c r="K172" s="69">
        <f>E172-I172-L172-M172-N172-J172+F172</f>
        <v>0</v>
      </c>
      <c r="L172" s="67"/>
      <c r="M172" s="67"/>
      <c r="N172" s="238">
        <v>1000.0</v>
      </c>
      <c r="O172" s="267">
        <v>-500.0</v>
      </c>
      <c r="P172" s="273"/>
      <c r="Q172" s="214">
        <f t="shared" si="25"/>
        <v>5900</v>
      </c>
      <c r="R172" s="71"/>
    </row>
    <row r="173" ht="14.25" customHeight="1">
      <c r="B173" s="68"/>
      <c r="C173" s="243"/>
      <c r="D173" s="241"/>
      <c r="E173" s="237"/>
      <c r="F173" s="67"/>
      <c r="G173" s="67"/>
      <c r="H173" s="68"/>
      <c r="I173" s="237"/>
      <c r="J173" s="67"/>
      <c r="K173" s="69"/>
      <c r="L173" s="67"/>
      <c r="M173" s="67"/>
      <c r="N173" s="238"/>
      <c r="O173" s="267"/>
      <c r="P173" s="273">
        <v>-3835.0</v>
      </c>
      <c r="Q173" s="214">
        <f t="shared" si="25"/>
        <v>2065</v>
      </c>
      <c r="R173" s="71" t="s">
        <v>55</v>
      </c>
    </row>
    <row r="174" ht="14.25" customHeight="1">
      <c r="B174" s="68"/>
      <c r="C174" s="243"/>
      <c r="D174" s="241"/>
      <c r="E174" s="237"/>
      <c r="F174" s="67"/>
      <c r="G174" s="67"/>
      <c r="H174" s="68"/>
      <c r="I174" s="237"/>
      <c r="J174" s="67"/>
      <c r="K174" s="69"/>
      <c r="L174" s="67"/>
      <c r="M174" s="67"/>
      <c r="N174" s="238"/>
      <c r="O174" s="267"/>
      <c r="P174" s="273"/>
      <c r="Q174" s="214">
        <f t="shared" si="25"/>
        <v>2065</v>
      </c>
      <c r="R174" s="214" t="s">
        <v>59</v>
      </c>
    </row>
    <row r="175" ht="14.25" customHeight="1">
      <c r="B175" s="68"/>
      <c r="C175" s="243"/>
      <c r="D175" s="241"/>
      <c r="E175" s="237"/>
      <c r="F175" s="67"/>
      <c r="G175" s="67"/>
      <c r="H175" s="68"/>
      <c r="I175" s="237"/>
      <c r="J175" s="67"/>
      <c r="K175" s="69">
        <f>E175-I175-L175-M175-N175-J175+F175</f>
        <v>0</v>
      </c>
      <c r="L175" s="67"/>
      <c r="M175" s="67"/>
      <c r="N175" s="238"/>
      <c r="O175" s="267"/>
      <c r="P175" s="273">
        <v>-1565.0</v>
      </c>
      <c r="Q175" s="71">
        <f t="shared" si="25"/>
        <v>500</v>
      </c>
      <c r="R175" s="267" t="s">
        <v>145</v>
      </c>
    </row>
    <row r="176" ht="14.25" customHeight="1">
      <c r="B176" s="283" t="s">
        <v>146</v>
      </c>
      <c r="C176" s="229" t="s">
        <v>66</v>
      </c>
      <c r="D176" s="228">
        <f t="shared" ref="D176:P176" si="28">sum(D153:D175)</f>
        <v>18</v>
      </c>
      <c r="E176" s="232">
        <f t="shared" si="28"/>
        <v>36245.06</v>
      </c>
      <c r="F176" s="232">
        <f t="shared" si="28"/>
        <v>900</v>
      </c>
      <c r="G176" s="232">
        <f t="shared" si="28"/>
        <v>0</v>
      </c>
      <c r="H176" s="232">
        <f t="shared" si="28"/>
        <v>0</v>
      </c>
      <c r="I176" s="232">
        <f t="shared" si="28"/>
        <v>11550</v>
      </c>
      <c r="J176" s="232">
        <f t="shared" si="28"/>
        <v>7045.06</v>
      </c>
      <c r="K176" s="232">
        <f t="shared" si="28"/>
        <v>0</v>
      </c>
      <c r="L176" s="232">
        <f t="shared" si="28"/>
        <v>0</v>
      </c>
      <c r="M176" s="232">
        <f t="shared" si="28"/>
        <v>5150</v>
      </c>
      <c r="N176" s="232">
        <f t="shared" si="28"/>
        <v>13400</v>
      </c>
      <c r="O176" s="232">
        <f t="shared" si="28"/>
        <v>-7500</v>
      </c>
      <c r="P176" s="232">
        <f t="shared" si="28"/>
        <v>-5400</v>
      </c>
      <c r="Q176" s="341">
        <v>0.0</v>
      </c>
      <c r="R176" s="234"/>
    </row>
    <row r="177" ht="14.25" customHeight="1">
      <c r="B177" s="235" t="s">
        <v>148</v>
      </c>
      <c r="C177" s="236">
        <v>45659.0</v>
      </c>
      <c r="D177" s="241">
        <v>1.0</v>
      </c>
      <c r="E177" s="237">
        <v>1800.0</v>
      </c>
      <c r="F177" s="67"/>
      <c r="G177" s="67"/>
      <c r="H177" s="68"/>
      <c r="I177" s="237">
        <v>800.0</v>
      </c>
      <c r="J177" s="67"/>
      <c r="K177" s="69">
        <f t="shared" ref="K177:K189" si="29">E177-I177-L177-M177-N177-J177+F177</f>
        <v>0</v>
      </c>
      <c r="L177" s="67"/>
      <c r="M177" s="237"/>
      <c r="N177" s="238">
        <v>1000.0</v>
      </c>
      <c r="O177" s="267">
        <v>-500.0</v>
      </c>
      <c r="P177" s="273"/>
      <c r="Q177" s="214">
        <f t="shared" ref="Q177:Q202" si="30">Q176+N177+O177+P177</f>
        <v>500</v>
      </c>
      <c r="R177" s="71"/>
    </row>
    <row r="178" ht="14.25" customHeight="1">
      <c r="B178" s="81"/>
      <c r="C178" s="239">
        <v>45692.0</v>
      </c>
      <c r="D178" s="299"/>
      <c r="E178" s="294"/>
      <c r="F178" s="294"/>
      <c r="G178" s="88"/>
      <c r="H178" s="294"/>
      <c r="I178" s="294"/>
      <c r="J178" s="294"/>
      <c r="K178" s="90">
        <f t="shared" si="29"/>
        <v>0</v>
      </c>
      <c r="L178" s="88"/>
      <c r="M178" s="88"/>
      <c r="N178" s="295"/>
      <c r="O178" s="294"/>
      <c r="P178" s="323"/>
      <c r="Q178" s="194">
        <f t="shared" si="30"/>
        <v>500</v>
      </c>
      <c r="R178" s="88"/>
    </row>
    <row r="179" ht="14.25" customHeight="1">
      <c r="B179" s="68"/>
      <c r="C179" s="236">
        <v>45752.0</v>
      </c>
      <c r="D179" s="241">
        <v>1.0</v>
      </c>
      <c r="E179" s="237">
        <v>2300.0</v>
      </c>
      <c r="F179" s="237"/>
      <c r="G179" s="67"/>
      <c r="H179" s="68"/>
      <c r="I179" s="237">
        <v>1000.0</v>
      </c>
      <c r="J179" s="67"/>
      <c r="K179" s="69">
        <f t="shared" si="29"/>
        <v>0</v>
      </c>
      <c r="L179" s="67"/>
      <c r="M179" s="67"/>
      <c r="N179" s="238">
        <v>1300.0</v>
      </c>
      <c r="O179" s="267">
        <v>-500.0</v>
      </c>
      <c r="P179" s="273"/>
      <c r="Q179" s="214">
        <f t="shared" si="30"/>
        <v>1300</v>
      </c>
      <c r="R179" s="71"/>
    </row>
    <row r="180" ht="14.25" customHeight="1">
      <c r="B180" s="68"/>
      <c r="C180" s="236">
        <v>45783.0</v>
      </c>
      <c r="D180" s="241">
        <v>1.0</v>
      </c>
      <c r="E180" s="237">
        <v>2500.0</v>
      </c>
      <c r="F180" s="237"/>
      <c r="G180" s="67"/>
      <c r="H180" s="68"/>
      <c r="I180" s="237">
        <v>1000.0</v>
      </c>
      <c r="J180" s="67"/>
      <c r="K180" s="69">
        <f t="shared" si="29"/>
        <v>0</v>
      </c>
      <c r="L180" s="67"/>
      <c r="M180" s="67"/>
      <c r="N180" s="238">
        <v>1500.0</v>
      </c>
      <c r="O180" s="267">
        <v>-500.0</v>
      </c>
      <c r="P180" s="273"/>
      <c r="Q180" s="214">
        <f t="shared" si="30"/>
        <v>2300</v>
      </c>
      <c r="R180" s="71"/>
    </row>
    <row r="181" ht="14.25" customHeight="1">
      <c r="B181" s="81"/>
      <c r="C181" s="239">
        <v>45819.0</v>
      </c>
      <c r="D181" s="299"/>
      <c r="E181" s="294"/>
      <c r="F181" s="294"/>
      <c r="G181" s="88"/>
      <c r="H181" s="81"/>
      <c r="I181" s="294"/>
      <c r="J181" s="88"/>
      <c r="K181" s="90">
        <f t="shared" si="29"/>
        <v>0</v>
      </c>
      <c r="L181" s="88"/>
      <c r="M181" s="88"/>
      <c r="N181" s="295"/>
      <c r="O181" s="294"/>
      <c r="P181" s="323"/>
      <c r="Q181" s="194">
        <f t="shared" si="30"/>
        <v>2300</v>
      </c>
      <c r="R181" s="88"/>
    </row>
    <row r="182" ht="14.25" customHeight="1">
      <c r="B182" s="68"/>
      <c r="C182" s="236">
        <v>45974.0</v>
      </c>
      <c r="D182" s="241">
        <v>2.0</v>
      </c>
      <c r="E182" s="237">
        <v>4500.0</v>
      </c>
      <c r="F182" s="237"/>
      <c r="G182" s="67"/>
      <c r="H182" s="68"/>
      <c r="I182" s="237">
        <v>1500.0</v>
      </c>
      <c r="J182" s="67"/>
      <c r="K182" s="69">
        <f t="shared" si="29"/>
        <v>0</v>
      </c>
      <c r="L182" s="67"/>
      <c r="M182" s="237"/>
      <c r="N182" s="238">
        <v>3000.0</v>
      </c>
      <c r="O182" s="267">
        <v>-500.0</v>
      </c>
      <c r="P182" s="273"/>
      <c r="Q182" s="214">
        <f t="shared" si="30"/>
        <v>4800</v>
      </c>
      <c r="R182" s="71"/>
    </row>
    <row r="183" ht="14.25" customHeight="1">
      <c r="B183" s="81"/>
      <c r="C183" s="296" t="s">
        <v>117</v>
      </c>
      <c r="D183" s="299"/>
      <c r="E183" s="294"/>
      <c r="F183" s="294"/>
      <c r="G183" s="88"/>
      <c r="H183" s="81"/>
      <c r="I183" s="294"/>
      <c r="J183" s="88"/>
      <c r="K183" s="90">
        <f t="shared" si="29"/>
        <v>0</v>
      </c>
      <c r="L183" s="88"/>
      <c r="M183" s="294"/>
      <c r="N183" s="295"/>
      <c r="O183" s="294"/>
      <c r="P183" s="323"/>
      <c r="Q183" s="194">
        <f t="shared" si="30"/>
        <v>4800</v>
      </c>
      <c r="R183" s="88"/>
    </row>
    <row r="184" ht="14.25" customHeight="1">
      <c r="B184" s="68"/>
      <c r="C184" s="243" t="s">
        <v>30</v>
      </c>
      <c r="D184" s="241">
        <v>1.0</v>
      </c>
      <c r="E184" s="237">
        <v>1800.0</v>
      </c>
      <c r="F184" s="237"/>
      <c r="G184" s="67"/>
      <c r="H184" s="68"/>
      <c r="I184" s="237">
        <v>800.0</v>
      </c>
      <c r="J184" s="67"/>
      <c r="K184" s="69">
        <f t="shared" si="29"/>
        <v>0</v>
      </c>
      <c r="L184" s="67"/>
      <c r="M184" s="67"/>
      <c r="N184" s="238">
        <v>1000.0</v>
      </c>
      <c r="O184" s="267">
        <v>-500.0</v>
      </c>
      <c r="P184" s="273"/>
      <c r="Q184" s="214">
        <f t="shared" si="30"/>
        <v>5300</v>
      </c>
      <c r="R184" s="267"/>
    </row>
    <row r="185" ht="14.25" customHeight="1">
      <c r="B185" s="81"/>
      <c r="C185" s="296" t="s">
        <v>31</v>
      </c>
      <c r="D185" s="299"/>
      <c r="E185" s="294"/>
      <c r="F185" s="342"/>
      <c r="G185" s="88"/>
      <c r="H185" s="294"/>
      <c r="I185" s="294"/>
      <c r="J185" s="294"/>
      <c r="K185" s="90">
        <f t="shared" si="29"/>
        <v>0</v>
      </c>
      <c r="L185" s="88"/>
      <c r="M185" s="88"/>
      <c r="N185" s="295"/>
      <c r="O185" s="294"/>
      <c r="P185" s="323"/>
      <c r="Q185" s="194">
        <f t="shared" si="30"/>
        <v>5300</v>
      </c>
      <c r="R185" s="88"/>
    </row>
    <row r="186" ht="14.25" customHeight="1">
      <c r="B186" s="68"/>
      <c r="C186" s="243" t="s">
        <v>32</v>
      </c>
      <c r="D186" s="241">
        <v>1.0</v>
      </c>
      <c r="E186" s="237">
        <v>2000.0</v>
      </c>
      <c r="F186" s="237"/>
      <c r="G186" s="67"/>
      <c r="H186" s="68"/>
      <c r="I186" s="237">
        <v>1000.0</v>
      </c>
      <c r="J186" s="67"/>
      <c r="K186" s="69">
        <f t="shared" si="29"/>
        <v>0</v>
      </c>
      <c r="L186" s="67"/>
      <c r="M186" s="237"/>
      <c r="N186" s="238">
        <v>1000.0</v>
      </c>
      <c r="O186" s="267">
        <v>-500.0</v>
      </c>
      <c r="P186" s="273"/>
      <c r="Q186" s="214">
        <f t="shared" si="30"/>
        <v>5800</v>
      </c>
      <c r="R186" s="71"/>
    </row>
    <row r="187" ht="14.25" customHeight="1">
      <c r="B187" s="68"/>
      <c r="C187" s="243" t="s">
        <v>33</v>
      </c>
      <c r="D187" s="241">
        <v>1.0</v>
      </c>
      <c r="E187" s="237">
        <v>2000.0</v>
      </c>
      <c r="F187" s="237"/>
      <c r="G187" s="67"/>
      <c r="H187" s="68"/>
      <c r="I187" s="237">
        <v>1000.0</v>
      </c>
      <c r="J187" s="67"/>
      <c r="K187" s="69">
        <f t="shared" si="29"/>
        <v>0</v>
      </c>
      <c r="L187" s="237"/>
      <c r="M187" s="237"/>
      <c r="N187" s="238">
        <v>1000.0</v>
      </c>
      <c r="O187" s="267">
        <v>-500.0</v>
      </c>
      <c r="P187" s="273"/>
      <c r="Q187" s="214">
        <f t="shared" si="30"/>
        <v>6300</v>
      </c>
      <c r="R187" s="71"/>
    </row>
    <row r="188" ht="14.25" customHeight="1">
      <c r="B188" s="68"/>
      <c r="C188" s="243" t="s">
        <v>34</v>
      </c>
      <c r="D188" s="241">
        <v>1.0</v>
      </c>
      <c r="E188" s="237">
        <v>2500.0</v>
      </c>
      <c r="F188" s="237"/>
      <c r="G188" s="67"/>
      <c r="H188" s="68"/>
      <c r="I188" s="237">
        <v>1000.0</v>
      </c>
      <c r="J188" s="67"/>
      <c r="K188" s="69">
        <f t="shared" si="29"/>
        <v>0</v>
      </c>
      <c r="L188" s="67"/>
      <c r="M188" s="67"/>
      <c r="N188" s="238">
        <v>1500.0</v>
      </c>
      <c r="O188" s="267">
        <v>-500.0</v>
      </c>
      <c r="P188" s="273"/>
      <c r="Q188" s="214">
        <f t="shared" si="30"/>
        <v>7300</v>
      </c>
      <c r="R188" s="71"/>
    </row>
    <row r="189" ht="14.25" customHeight="1">
      <c r="B189" s="68"/>
      <c r="C189" s="243" t="s">
        <v>69</v>
      </c>
      <c r="D189" s="241">
        <v>1.0</v>
      </c>
      <c r="E189" s="237">
        <v>2200.0</v>
      </c>
      <c r="F189" s="237">
        <v>450.0</v>
      </c>
      <c r="G189" s="67"/>
      <c r="H189" s="68"/>
      <c r="I189" s="237">
        <v>1225.0</v>
      </c>
      <c r="J189" s="67"/>
      <c r="K189" s="69">
        <f t="shared" si="29"/>
        <v>0</v>
      </c>
      <c r="L189" s="67"/>
      <c r="M189" s="237">
        <v>1425.0</v>
      </c>
      <c r="N189" s="238"/>
      <c r="O189" s="267">
        <v>-500.0</v>
      </c>
      <c r="P189" s="273"/>
      <c r="Q189" s="214">
        <f t="shared" si="30"/>
        <v>6800</v>
      </c>
      <c r="R189" s="71"/>
    </row>
    <row r="190" ht="14.25" customHeight="1">
      <c r="B190" s="81"/>
      <c r="C190" s="296" t="s">
        <v>68</v>
      </c>
      <c r="D190" s="299"/>
      <c r="E190" s="294"/>
      <c r="F190" s="294"/>
      <c r="G190" s="88"/>
      <c r="H190" s="81"/>
      <c r="I190" s="294"/>
      <c r="J190" s="88"/>
      <c r="K190" s="90"/>
      <c r="L190" s="88"/>
      <c r="M190" s="88"/>
      <c r="N190" s="295"/>
      <c r="O190" s="294"/>
      <c r="P190" s="323"/>
      <c r="Q190" s="194">
        <f t="shared" si="30"/>
        <v>6800</v>
      </c>
      <c r="R190" s="88"/>
    </row>
    <row r="191" ht="14.25" customHeight="1">
      <c r="B191" s="68"/>
      <c r="C191" s="243" t="s">
        <v>70</v>
      </c>
      <c r="D191" s="241">
        <v>2.0</v>
      </c>
      <c r="E191" s="237">
        <v>3300.0</v>
      </c>
      <c r="F191" s="237"/>
      <c r="G191" s="67"/>
      <c r="H191" s="68"/>
      <c r="I191" s="237">
        <v>1500.0</v>
      </c>
      <c r="J191" s="67"/>
      <c r="K191" s="69">
        <f t="shared" ref="K191:K194" si="31">E191-I191-L191-M191-N191-J191+F191</f>
        <v>0</v>
      </c>
      <c r="L191" s="67"/>
      <c r="M191" s="67"/>
      <c r="N191" s="238">
        <v>1800.0</v>
      </c>
      <c r="O191" s="267">
        <v>-500.0</v>
      </c>
      <c r="P191" s="273"/>
      <c r="Q191" s="214">
        <f t="shared" si="30"/>
        <v>8100</v>
      </c>
      <c r="R191" s="71"/>
    </row>
    <row r="192" ht="14.25" customHeight="1">
      <c r="B192" s="81"/>
      <c r="C192" s="296" t="s">
        <v>44</v>
      </c>
      <c r="D192" s="299"/>
      <c r="E192" s="294"/>
      <c r="F192" s="294"/>
      <c r="G192" s="88"/>
      <c r="H192" s="81"/>
      <c r="I192" s="294"/>
      <c r="J192" s="88"/>
      <c r="K192" s="90">
        <f t="shared" si="31"/>
        <v>0</v>
      </c>
      <c r="L192" s="88"/>
      <c r="M192" s="88"/>
      <c r="N192" s="295"/>
      <c r="O192" s="294"/>
      <c r="P192" s="323"/>
      <c r="Q192" s="194">
        <f t="shared" si="30"/>
        <v>8100</v>
      </c>
      <c r="R192" s="88"/>
    </row>
    <row r="193" ht="14.25" customHeight="1">
      <c r="B193" s="68"/>
      <c r="C193" s="243" t="s">
        <v>45</v>
      </c>
      <c r="D193" s="241">
        <v>1.0</v>
      </c>
      <c r="E193" s="237">
        <v>2000.0</v>
      </c>
      <c r="F193" s="237">
        <v>450.0</v>
      </c>
      <c r="G193" s="67"/>
      <c r="H193" s="68"/>
      <c r="I193" s="237">
        <v>2450.0</v>
      </c>
      <c r="J193" s="67"/>
      <c r="K193" s="69">
        <f t="shared" si="31"/>
        <v>0</v>
      </c>
      <c r="L193" s="67"/>
      <c r="M193" s="67"/>
      <c r="N193" s="238"/>
      <c r="O193" s="267">
        <v>-500.0</v>
      </c>
      <c r="P193" s="273"/>
      <c r="Q193" s="214">
        <f t="shared" si="30"/>
        <v>7600</v>
      </c>
      <c r="R193" s="71"/>
    </row>
    <row r="194" ht="14.25" customHeight="1">
      <c r="B194" s="68"/>
      <c r="C194" s="243" t="s">
        <v>47</v>
      </c>
      <c r="D194" s="241">
        <v>1.0</v>
      </c>
      <c r="E194" s="237">
        <v>2500.0</v>
      </c>
      <c r="F194" s="237"/>
      <c r="G194" s="67"/>
      <c r="H194" s="68"/>
      <c r="I194" s="237">
        <v>1000.0</v>
      </c>
      <c r="J194" s="67"/>
      <c r="K194" s="69">
        <f t="shared" si="31"/>
        <v>0</v>
      </c>
      <c r="L194" s="67"/>
      <c r="M194" s="67"/>
      <c r="N194" s="238">
        <v>1500.0</v>
      </c>
      <c r="O194" s="267">
        <v>-500.0</v>
      </c>
      <c r="P194" s="273"/>
      <c r="Q194" s="214">
        <f t="shared" si="30"/>
        <v>8600</v>
      </c>
      <c r="R194" s="71"/>
    </row>
    <row r="195" ht="14.25" customHeight="1">
      <c r="B195" s="81"/>
      <c r="C195" s="296" t="s">
        <v>48</v>
      </c>
      <c r="D195" s="299"/>
      <c r="E195" s="294"/>
      <c r="F195" s="88"/>
      <c r="G195" s="88"/>
      <c r="H195" s="81"/>
      <c r="I195" s="294"/>
      <c r="J195" s="88"/>
      <c r="K195" s="90"/>
      <c r="L195" s="88"/>
      <c r="M195" s="88"/>
      <c r="N195" s="295"/>
      <c r="O195" s="294"/>
      <c r="P195" s="323"/>
      <c r="Q195" s="194">
        <f t="shared" si="30"/>
        <v>8600</v>
      </c>
      <c r="R195" s="88"/>
    </row>
    <row r="196" ht="14.25" customHeight="1">
      <c r="B196" s="68"/>
      <c r="C196" s="243" t="s">
        <v>137</v>
      </c>
      <c r="D196" s="241">
        <v>2.0</v>
      </c>
      <c r="E196" s="237">
        <v>2800.0</v>
      </c>
      <c r="F196" s="67"/>
      <c r="G196" s="67"/>
      <c r="H196" s="68"/>
      <c r="I196" s="237">
        <v>1000.0</v>
      </c>
      <c r="J196" s="67"/>
      <c r="K196" s="69">
        <f t="shared" ref="K196:K199" si="32">E196-I196-L196-M196-N196-J196+F196</f>
        <v>0</v>
      </c>
      <c r="L196" s="67"/>
      <c r="M196" s="67"/>
      <c r="N196" s="238">
        <v>1800.0</v>
      </c>
      <c r="O196" s="267">
        <v>-500.0</v>
      </c>
      <c r="P196" s="273"/>
      <c r="Q196" s="214">
        <f t="shared" si="30"/>
        <v>9900</v>
      </c>
      <c r="R196" s="267" t="s">
        <v>158</v>
      </c>
    </row>
    <row r="197" ht="14.25" customHeight="1">
      <c r="B197" s="81"/>
      <c r="C197" s="296" t="s">
        <v>52</v>
      </c>
      <c r="D197" s="299"/>
      <c r="E197" s="294"/>
      <c r="F197" s="88"/>
      <c r="G197" s="88"/>
      <c r="H197" s="81"/>
      <c r="I197" s="294"/>
      <c r="J197" s="88"/>
      <c r="K197" s="90">
        <f t="shared" si="32"/>
        <v>0</v>
      </c>
      <c r="L197" s="88"/>
      <c r="M197" s="88"/>
      <c r="N197" s="295"/>
      <c r="O197" s="294"/>
      <c r="P197" s="323"/>
      <c r="Q197" s="194">
        <f t="shared" si="30"/>
        <v>9900</v>
      </c>
      <c r="R197" s="88"/>
    </row>
    <row r="198" ht="14.25" customHeight="1">
      <c r="B198" s="68"/>
      <c r="C198" s="243"/>
      <c r="D198" s="241"/>
      <c r="E198" s="237"/>
      <c r="F198" s="67"/>
      <c r="G198" s="67"/>
      <c r="H198" s="68"/>
      <c r="I198" s="237"/>
      <c r="J198" s="67"/>
      <c r="K198" s="69">
        <f t="shared" si="32"/>
        <v>0</v>
      </c>
      <c r="L198" s="67"/>
      <c r="M198" s="67"/>
      <c r="N198" s="238"/>
      <c r="O198" s="267"/>
      <c r="P198" s="273">
        <v>-3048.56</v>
      </c>
      <c r="Q198" s="214">
        <f t="shared" si="30"/>
        <v>6851.44</v>
      </c>
      <c r="R198" s="71" t="s">
        <v>55</v>
      </c>
    </row>
    <row r="199" ht="14.25" customHeight="1">
      <c r="B199" s="68"/>
      <c r="C199" s="243"/>
      <c r="D199" s="241"/>
      <c r="E199" s="237"/>
      <c r="F199" s="67"/>
      <c r="G199" s="67"/>
      <c r="H199" s="68"/>
      <c r="I199" s="237"/>
      <c r="J199" s="67"/>
      <c r="K199" s="69">
        <f t="shared" si="32"/>
        <v>0</v>
      </c>
      <c r="L199" s="67"/>
      <c r="M199" s="67"/>
      <c r="N199" s="238"/>
      <c r="O199" s="267"/>
      <c r="P199" s="273">
        <v>-5576.87</v>
      </c>
      <c r="Q199" s="214">
        <f t="shared" si="30"/>
        <v>1274.57</v>
      </c>
      <c r="R199" s="214" t="s">
        <v>59</v>
      </c>
      <c r="Z199" s="356"/>
    </row>
    <row r="200" ht="14.25" customHeight="1">
      <c r="B200" s="68"/>
      <c r="C200" s="243"/>
      <c r="D200" s="241"/>
      <c r="E200" s="237"/>
      <c r="F200" s="67"/>
      <c r="G200" s="67"/>
      <c r="H200" s="68"/>
      <c r="I200" s="237"/>
      <c r="J200" s="67"/>
      <c r="K200" s="69"/>
      <c r="L200" s="67"/>
      <c r="M200" s="67"/>
      <c r="N200" s="238"/>
      <c r="O200" s="267"/>
      <c r="P200" s="273">
        <v>-1500.0</v>
      </c>
      <c r="Q200" s="214">
        <f t="shared" si="30"/>
        <v>-225.43</v>
      </c>
      <c r="R200" s="346" t="s">
        <v>160</v>
      </c>
    </row>
    <row r="201" ht="14.25" customHeight="1">
      <c r="B201" s="68"/>
      <c r="C201" s="243"/>
      <c r="D201" s="241"/>
      <c r="E201" s="237"/>
      <c r="F201" s="67"/>
      <c r="G201" s="67"/>
      <c r="H201" s="68"/>
      <c r="I201" s="237"/>
      <c r="J201" s="67"/>
      <c r="K201" s="69">
        <f t="shared" ref="K201:K202" si="33">E201-I201-L201-M201-N201-J201+F201</f>
        <v>0</v>
      </c>
      <c r="L201" s="67"/>
      <c r="M201" s="67"/>
      <c r="N201" s="238"/>
      <c r="O201" s="267"/>
      <c r="P201" s="273">
        <v>-500.0</v>
      </c>
      <c r="Q201" s="214">
        <f t="shared" si="30"/>
        <v>-725.43</v>
      </c>
      <c r="R201" s="267" t="s">
        <v>93</v>
      </c>
    </row>
    <row r="202" ht="14.25" customHeight="1">
      <c r="B202" s="68"/>
      <c r="C202" s="243"/>
      <c r="D202" s="241"/>
      <c r="E202" s="237"/>
      <c r="F202" s="67"/>
      <c r="G202" s="67"/>
      <c r="H202" s="68"/>
      <c r="I202" s="237"/>
      <c r="J202" s="67"/>
      <c r="K202" s="69">
        <f t="shared" si="33"/>
        <v>0</v>
      </c>
      <c r="L202" s="67"/>
      <c r="M202" s="67"/>
      <c r="N202" s="238"/>
      <c r="O202" s="267"/>
      <c r="P202" s="273">
        <v>725.43</v>
      </c>
      <c r="Q202" s="214">
        <f t="shared" si="30"/>
        <v>0</v>
      </c>
      <c r="R202" s="267"/>
    </row>
    <row r="203" ht="14.25" customHeight="1">
      <c r="B203" s="283" t="s">
        <v>148</v>
      </c>
      <c r="C203" s="229" t="s">
        <v>66</v>
      </c>
      <c r="D203" s="228">
        <f t="shared" ref="D203:P203" si="34">sum(D177:D201)</f>
        <v>16</v>
      </c>
      <c r="E203" s="232">
        <f t="shared" si="34"/>
        <v>32200</v>
      </c>
      <c r="F203" s="232">
        <f t="shared" si="34"/>
        <v>900</v>
      </c>
      <c r="G203" s="232">
        <f t="shared" si="34"/>
        <v>0</v>
      </c>
      <c r="H203" s="232">
        <f t="shared" si="34"/>
        <v>0</v>
      </c>
      <c r="I203" s="232">
        <f t="shared" si="34"/>
        <v>15275</v>
      </c>
      <c r="J203" s="232">
        <f t="shared" si="34"/>
        <v>0</v>
      </c>
      <c r="K203" s="232">
        <f t="shared" si="34"/>
        <v>0</v>
      </c>
      <c r="L203" s="232">
        <f t="shared" si="34"/>
        <v>0</v>
      </c>
      <c r="M203" s="232">
        <f t="shared" si="34"/>
        <v>1425</v>
      </c>
      <c r="N203" s="232">
        <f t="shared" si="34"/>
        <v>16400</v>
      </c>
      <c r="O203" s="232">
        <f t="shared" si="34"/>
        <v>-6500</v>
      </c>
      <c r="P203" s="232">
        <f t="shared" si="34"/>
        <v>-10625.43</v>
      </c>
      <c r="Q203" s="233">
        <f>Q202</f>
        <v>0</v>
      </c>
      <c r="R203" s="234"/>
    </row>
    <row r="204" ht="14.25" customHeight="1">
      <c r="B204" s="235" t="s">
        <v>166</v>
      </c>
      <c r="C204" s="236">
        <v>45659.0</v>
      </c>
      <c r="D204" s="241">
        <v>1.0</v>
      </c>
      <c r="E204" s="237">
        <v>2000.0</v>
      </c>
      <c r="F204" s="237">
        <v>350.0</v>
      </c>
      <c r="G204" s="67"/>
      <c r="H204" s="68"/>
      <c r="I204" s="237">
        <v>1175.0</v>
      </c>
      <c r="J204" s="67"/>
      <c r="K204" s="69">
        <f t="shared" ref="K204:K223" si="35">E204-I204-L204-M204-N204-J204+F204</f>
        <v>0</v>
      </c>
      <c r="L204" s="67"/>
      <c r="M204" s="237"/>
      <c r="N204" s="238">
        <v>1175.0</v>
      </c>
      <c r="O204" s="267">
        <v>-500.0</v>
      </c>
      <c r="P204" s="273"/>
      <c r="Q204" s="214">
        <f t="shared" ref="Q204:Q223" si="36">Q203+N204+O204+P204</f>
        <v>675</v>
      </c>
      <c r="R204" s="71"/>
    </row>
    <row r="205" ht="14.25" customHeight="1">
      <c r="B205" s="68"/>
      <c r="C205" s="236">
        <v>45692.0</v>
      </c>
      <c r="D205" s="241">
        <v>2.0</v>
      </c>
      <c r="E205" s="237">
        <v>4200.0</v>
      </c>
      <c r="F205" s="237"/>
      <c r="G205" s="67"/>
      <c r="H205" s="68"/>
      <c r="I205" s="237">
        <v>1500.0</v>
      </c>
      <c r="J205" s="67"/>
      <c r="K205" s="69">
        <f t="shared" si="35"/>
        <v>0</v>
      </c>
      <c r="L205" s="67"/>
      <c r="M205" s="67"/>
      <c r="N205" s="238">
        <v>2700.0</v>
      </c>
      <c r="O205" s="267">
        <v>-500.0</v>
      </c>
      <c r="P205" s="273"/>
      <c r="Q205" s="214">
        <f t="shared" si="36"/>
        <v>2875</v>
      </c>
      <c r="R205" s="71"/>
      <c r="U205" s="358">
        <v>10064.93</v>
      </c>
    </row>
    <row r="206" ht="14.25" customHeight="1">
      <c r="B206" s="81"/>
      <c r="C206" s="239">
        <v>45754.0</v>
      </c>
      <c r="D206" s="299"/>
      <c r="E206" s="294"/>
      <c r="F206" s="294"/>
      <c r="G206" s="88"/>
      <c r="H206" s="81"/>
      <c r="I206" s="294"/>
      <c r="J206" s="88"/>
      <c r="K206" s="90">
        <f t="shared" si="35"/>
        <v>0</v>
      </c>
      <c r="L206" s="88"/>
      <c r="M206" s="88"/>
      <c r="N206" s="295"/>
      <c r="O206" s="294"/>
      <c r="P206" s="323"/>
      <c r="Q206" s="194">
        <f t="shared" si="36"/>
        <v>2875</v>
      </c>
      <c r="R206" s="88"/>
      <c r="U206" s="174">
        <v>5131.15</v>
      </c>
      <c r="W206" s="174" t="s">
        <v>168</v>
      </c>
    </row>
    <row r="207" ht="14.25" customHeight="1">
      <c r="B207" s="68"/>
      <c r="C207" s="236">
        <v>45846.0</v>
      </c>
      <c r="D207" s="241">
        <v>1.0</v>
      </c>
      <c r="E207" s="237">
        <v>1800.0</v>
      </c>
      <c r="F207" s="237"/>
      <c r="G207" s="67"/>
      <c r="H207" s="68"/>
      <c r="I207" s="237">
        <v>1000.0</v>
      </c>
      <c r="J207" s="67"/>
      <c r="K207" s="69">
        <f t="shared" si="35"/>
        <v>0</v>
      </c>
      <c r="L207" s="67"/>
      <c r="M207" s="67"/>
      <c r="N207" s="238">
        <v>800.0</v>
      </c>
      <c r="O207" s="267">
        <v>-500.0</v>
      </c>
      <c r="P207" s="273"/>
      <c r="Q207" s="214">
        <f t="shared" si="36"/>
        <v>3175</v>
      </c>
      <c r="R207" s="71"/>
      <c r="U207" s="122">
        <f>U205+U206</f>
        <v>15196.08</v>
      </c>
      <c r="W207" s="174" t="s">
        <v>169</v>
      </c>
    </row>
    <row r="208" ht="14.25" customHeight="1">
      <c r="B208" s="68"/>
      <c r="C208" s="236">
        <v>45878.0</v>
      </c>
      <c r="D208" s="241">
        <v>1.0</v>
      </c>
      <c r="E208" s="237">
        <v>2000.0</v>
      </c>
      <c r="F208" s="237"/>
      <c r="G208" s="67"/>
      <c r="H208" s="68"/>
      <c r="I208" s="237">
        <v>1000.0</v>
      </c>
      <c r="J208" s="67"/>
      <c r="K208" s="69">
        <f t="shared" si="35"/>
        <v>0</v>
      </c>
      <c r="L208" s="67"/>
      <c r="M208" s="67"/>
      <c r="N208" s="238">
        <v>1000.0</v>
      </c>
      <c r="O208" s="267">
        <v>-500.0</v>
      </c>
      <c r="P208" s="273"/>
      <c r="Q208" s="214">
        <f t="shared" si="36"/>
        <v>3675</v>
      </c>
      <c r="R208" s="71"/>
    </row>
    <row r="209" ht="14.25" customHeight="1">
      <c r="B209" s="68"/>
      <c r="C209" s="236">
        <v>45910.0</v>
      </c>
      <c r="D209" s="241">
        <v>1.0</v>
      </c>
      <c r="E209" s="237">
        <v>2700.0</v>
      </c>
      <c r="F209" s="237"/>
      <c r="G209" s="237">
        <v>200.0</v>
      </c>
      <c r="H209" s="68"/>
      <c r="I209" s="237">
        <v>501.0</v>
      </c>
      <c r="J209" s="67"/>
      <c r="K209" s="69">
        <f t="shared" si="35"/>
        <v>0</v>
      </c>
      <c r="L209" s="67"/>
      <c r="M209" s="67"/>
      <c r="N209" s="238">
        <v>2199.0</v>
      </c>
      <c r="O209" s="267">
        <v>-500.0</v>
      </c>
      <c r="P209" s="273"/>
      <c r="Q209" s="214">
        <f t="shared" si="36"/>
        <v>5374</v>
      </c>
      <c r="R209" s="71"/>
    </row>
    <row r="210" ht="14.25" customHeight="1">
      <c r="B210" s="81"/>
      <c r="C210" s="239">
        <v>45946.0</v>
      </c>
      <c r="D210" s="299"/>
      <c r="E210" s="294"/>
      <c r="F210" s="294"/>
      <c r="G210" s="88"/>
      <c r="H210" s="81"/>
      <c r="I210" s="294"/>
      <c r="J210" s="88"/>
      <c r="K210" s="90">
        <f t="shared" si="35"/>
        <v>0</v>
      </c>
      <c r="L210" s="88"/>
      <c r="M210" s="88"/>
      <c r="N210" s="295"/>
      <c r="O210" s="294"/>
      <c r="P210" s="323"/>
      <c r="Q210" s="194">
        <f t="shared" si="36"/>
        <v>5374</v>
      </c>
      <c r="R210" s="88"/>
    </row>
    <row r="211" ht="14.25" customHeight="1">
      <c r="B211" s="68"/>
      <c r="C211" s="243" t="s">
        <v>31</v>
      </c>
      <c r="D211" s="241">
        <v>1.0</v>
      </c>
      <c r="E211" s="237">
        <v>2500.0</v>
      </c>
      <c r="F211" s="237"/>
      <c r="G211" s="67"/>
      <c r="H211" s="68"/>
      <c r="I211" s="237">
        <v>1000.0</v>
      </c>
      <c r="J211" s="67"/>
      <c r="K211" s="69">
        <f t="shared" si="35"/>
        <v>0</v>
      </c>
      <c r="L211" s="67"/>
      <c r="M211" s="67"/>
      <c r="N211" s="238">
        <v>1500.0</v>
      </c>
      <c r="O211" s="267">
        <v>-500.0</v>
      </c>
      <c r="P211" s="273"/>
      <c r="Q211" s="214">
        <f t="shared" si="36"/>
        <v>6374</v>
      </c>
      <c r="R211" s="71"/>
    </row>
    <row r="212" ht="14.25" customHeight="1">
      <c r="B212" s="81"/>
      <c r="C212" s="296" t="s">
        <v>171</v>
      </c>
      <c r="D212" s="299"/>
      <c r="E212" s="294"/>
      <c r="F212" s="294"/>
      <c r="G212" s="88"/>
      <c r="H212" s="81"/>
      <c r="I212" s="294"/>
      <c r="J212" s="88"/>
      <c r="K212" s="90">
        <f t="shared" si="35"/>
        <v>0</v>
      </c>
      <c r="L212" s="88"/>
      <c r="M212" s="88"/>
      <c r="N212" s="295"/>
      <c r="O212" s="294"/>
      <c r="P212" s="323"/>
      <c r="Q212" s="194">
        <f t="shared" si="36"/>
        <v>6374</v>
      </c>
      <c r="R212" s="88"/>
    </row>
    <row r="213" ht="14.25" customHeight="1">
      <c r="B213" s="68"/>
      <c r="C213" s="243" t="s">
        <v>69</v>
      </c>
      <c r="D213" s="241">
        <v>1.0</v>
      </c>
      <c r="E213" s="237">
        <v>2000.0</v>
      </c>
      <c r="F213" s="237">
        <v>350.0</v>
      </c>
      <c r="G213" s="67"/>
      <c r="H213" s="68"/>
      <c r="I213" s="237">
        <v>1000.0</v>
      </c>
      <c r="J213" s="67"/>
      <c r="K213" s="69">
        <f t="shared" si="35"/>
        <v>0</v>
      </c>
      <c r="L213" s="67"/>
      <c r="M213" s="67"/>
      <c r="N213" s="238">
        <v>1350.0</v>
      </c>
      <c r="O213" s="267">
        <v>-500.0</v>
      </c>
      <c r="P213" s="273"/>
      <c r="Q213" s="214">
        <f t="shared" si="36"/>
        <v>7224</v>
      </c>
      <c r="R213" s="71"/>
    </row>
    <row r="214" ht="14.25" customHeight="1">
      <c r="B214" s="68"/>
      <c r="C214" s="243" t="s">
        <v>68</v>
      </c>
      <c r="D214" s="241">
        <v>1.0</v>
      </c>
      <c r="E214" s="237">
        <v>2000.0</v>
      </c>
      <c r="F214" s="237"/>
      <c r="G214" s="67"/>
      <c r="H214" s="68"/>
      <c r="I214" s="237">
        <v>1000.0</v>
      </c>
      <c r="J214" s="67"/>
      <c r="K214" s="69">
        <f t="shared" si="35"/>
        <v>0</v>
      </c>
      <c r="L214" s="67"/>
      <c r="M214" s="67"/>
      <c r="N214" s="238">
        <v>1000.0</v>
      </c>
      <c r="O214" s="267">
        <v>-500.0</v>
      </c>
      <c r="P214" s="273"/>
      <c r="Q214" s="214">
        <f t="shared" si="36"/>
        <v>7724</v>
      </c>
      <c r="R214" s="71"/>
      <c r="U214" s="364"/>
    </row>
    <row r="215" ht="14.25" customHeight="1">
      <c r="B215" s="68"/>
      <c r="C215" s="243" t="s">
        <v>37</v>
      </c>
      <c r="D215" s="241">
        <v>1.0</v>
      </c>
      <c r="E215" s="237">
        <v>2000.0</v>
      </c>
      <c r="F215" s="237"/>
      <c r="G215" s="67"/>
      <c r="H215" s="68"/>
      <c r="I215" s="237">
        <v>1000.0</v>
      </c>
      <c r="J215" s="67"/>
      <c r="K215" s="69">
        <f t="shared" si="35"/>
        <v>0</v>
      </c>
      <c r="L215" s="67"/>
      <c r="M215" s="67"/>
      <c r="N215" s="238">
        <v>1000.0</v>
      </c>
      <c r="O215" s="267">
        <v>-500.0</v>
      </c>
      <c r="P215" s="273"/>
      <c r="Q215" s="214">
        <f t="shared" si="36"/>
        <v>8224</v>
      </c>
      <c r="R215" s="71"/>
      <c r="U215" s="366" t="s">
        <v>173</v>
      </c>
    </row>
    <row r="216" ht="14.25" customHeight="1">
      <c r="B216" s="68"/>
      <c r="C216" s="243" t="s">
        <v>108</v>
      </c>
      <c r="D216" s="241">
        <v>2.0</v>
      </c>
      <c r="E216" s="237">
        <v>4200.0</v>
      </c>
      <c r="F216" s="237"/>
      <c r="G216" s="67"/>
      <c r="H216" s="68"/>
      <c r="I216" s="237">
        <v>1500.0</v>
      </c>
      <c r="J216" s="67"/>
      <c r="K216" s="69">
        <f t="shared" si="35"/>
        <v>0</v>
      </c>
      <c r="L216" s="67"/>
      <c r="M216" s="67"/>
      <c r="N216" s="238">
        <v>2700.0</v>
      </c>
      <c r="O216" s="267">
        <v>-500.0</v>
      </c>
      <c r="P216" s="273"/>
      <c r="Q216" s="214">
        <f t="shared" si="36"/>
        <v>10424</v>
      </c>
      <c r="R216" s="71"/>
      <c r="U216" s="174">
        <v>1931.0</v>
      </c>
      <c r="V216" s="367">
        <f>Q224</f>
        <v>0</v>
      </c>
    </row>
    <row r="217" ht="14.25" customHeight="1">
      <c r="B217" s="81"/>
      <c r="C217" s="296" t="s">
        <v>45</v>
      </c>
      <c r="D217" s="299"/>
      <c r="E217" s="294"/>
      <c r="F217" s="294"/>
      <c r="G217" s="88"/>
      <c r="H217" s="81"/>
      <c r="I217" s="294"/>
      <c r="J217" s="88"/>
      <c r="K217" s="90">
        <f t="shared" si="35"/>
        <v>0</v>
      </c>
      <c r="L217" s="88"/>
      <c r="M217" s="88"/>
      <c r="N217" s="295"/>
      <c r="O217" s="294"/>
      <c r="P217" s="323"/>
      <c r="Q217" s="194">
        <f t="shared" si="36"/>
        <v>10424</v>
      </c>
      <c r="R217" s="88"/>
      <c r="U217" s="174">
        <v>635.0</v>
      </c>
      <c r="V217" s="367">
        <f>'635'!Q162</f>
        <v>0</v>
      </c>
    </row>
    <row r="218" ht="14.25" customHeight="1">
      <c r="B218" s="68"/>
      <c r="C218" s="243" t="s">
        <v>86</v>
      </c>
      <c r="D218" s="241">
        <v>2.0</v>
      </c>
      <c r="E218" s="237">
        <v>3768.96</v>
      </c>
      <c r="F218" s="237"/>
      <c r="G218" s="67"/>
      <c r="H218" s="68"/>
      <c r="I218" s="237"/>
      <c r="J218" s="67"/>
      <c r="K218" s="69">
        <f t="shared" si="35"/>
        <v>0</v>
      </c>
      <c r="L218" s="237">
        <v>3768.96</v>
      </c>
      <c r="M218" s="67"/>
      <c r="N218" s="238"/>
      <c r="O218" s="267">
        <v>-500.0</v>
      </c>
      <c r="P218" s="273"/>
      <c r="Q218" s="214">
        <f t="shared" si="36"/>
        <v>9924</v>
      </c>
      <c r="R218" s="71"/>
      <c r="U218" s="174">
        <v>105.0</v>
      </c>
      <c r="V218" s="367">
        <f>'105'!Q148</f>
        <v>0</v>
      </c>
    </row>
    <row r="219" ht="14.25" customHeight="1">
      <c r="B219" s="68"/>
      <c r="C219" s="243" t="s">
        <v>88</v>
      </c>
      <c r="D219" s="241">
        <v>2.0</v>
      </c>
      <c r="E219" s="237">
        <v>4200.0</v>
      </c>
      <c r="F219" s="237"/>
      <c r="G219" s="67"/>
      <c r="H219" s="68"/>
      <c r="I219" s="237">
        <v>1500.0</v>
      </c>
      <c r="J219" s="67"/>
      <c r="K219" s="69">
        <f t="shared" si="35"/>
        <v>0</v>
      </c>
      <c r="L219" s="67"/>
      <c r="M219" s="67"/>
      <c r="N219" s="238">
        <v>2700.0</v>
      </c>
      <c r="O219" s="267">
        <v>-500.0</v>
      </c>
      <c r="P219" s="273"/>
      <c r="Q219" s="214">
        <f t="shared" si="36"/>
        <v>12124</v>
      </c>
      <c r="R219" s="71"/>
      <c r="U219" s="368" t="s">
        <v>66</v>
      </c>
      <c r="V219" s="369">
        <f>sum(V216:V218)</f>
        <v>0</v>
      </c>
    </row>
    <row r="220" ht="14.25" customHeight="1">
      <c r="B220" s="68"/>
      <c r="C220" s="243" t="s">
        <v>75</v>
      </c>
      <c r="D220" s="241">
        <v>2.0</v>
      </c>
      <c r="E220" s="237">
        <v>4500.0</v>
      </c>
      <c r="F220" s="237"/>
      <c r="G220" s="67"/>
      <c r="H220" s="68"/>
      <c r="I220" s="237">
        <v>1500.0</v>
      </c>
      <c r="J220" s="67"/>
      <c r="K220" s="69">
        <f t="shared" si="35"/>
        <v>0</v>
      </c>
      <c r="L220" s="67"/>
      <c r="M220" s="67"/>
      <c r="N220" s="238">
        <v>3000.0</v>
      </c>
      <c r="O220" s="267">
        <v>-500.0</v>
      </c>
      <c r="P220" s="273"/>
      <c r="Q220" s="214">
        <f t="shared" si="36"/>
        <v>14624</v>
      </c>
      <c r="R220" s="71"/>
      <c r="U220" s="174" t="s">
        <v>174</v>
      </c>
    </row>
    <row r="221" ht="14.25" customHeight="1">
      <c r="B221" s="68"/>
      <c r="C221" s="243"/>
      <c r="D221" s="241"/>
      <c r="E221" s="237"/>
      <c r="F221" s="67"/>
      <c r="G221" s="67"/>
      <c r="H221" s="68"/>
      <c r="I221" s="237"/>
      <c r="J221" s="67"/>
      <c r="K221" s="69">
        <f t="shared" si="35"/>
        <v>0</v>
      </c>
      <c r="L221" s="67"/>
      <c r="M221" s="67"/>
      <c r="N221" s="238"/>
      <c r="O221" s="267"/>
      <c r="P221" s="370"/>
      <c r="Q221" s="214">
        <f t="shared" si="36"/>
        <v>14624</v>
      </c>
      <c r="R221" s="71" t="s">
        <v>55</v>
      </c>
      <c r="U221" s="174" t="s">
        <v>175</v>
      </c>
      <c r="V221" s="174">
        <v>-2555.42</v>
      </c>
    </row>
    <row r="222" ht="14.25" customHeight="1">
      <c r="B222" s="68"/>
      <c r="C222" s="243"/>
      <c r="D222" s="241"/>
      <c r="E222" s="237"/>
      <c r="F222" s="67"/>
      <c r="G222" s="67"/>
      <c r="H222" s="68"/>
      <c r="I222" s="237"/>
      <c r="J222" s="67"/>
      <c r="K222" s="69">
        <f t="shared" si="35"/>
        <v>0</v>
      </c>
      <c r="L222" s="67"/>
      <c r="M222" s="67"/>
      <c r="N222" s="238"/>
      <c r="O222" s="267"/>
      <c r="P222" s="273">
        <v>-4727.04</v>
      </c>
      <c r="Q222" s="214">
        <f t="shared" si="36"/>
        <v>9896.96</v>
      </c>
      <c r="R222" s="214" t="s">
        <v>59</v>
      </c>
      <c r="U222" s="174" t="s">
        <v>176</v>
      </c>
      <c r="V222" s="358">
        <v>-3094.76</v>
      </c>
      <c r="Z222" s="356"/>
    </row>
    <row r="223" ht="14.25" customHeight="1">
      <c r="B223" s="68"/>
      <c r="C223" s="243"/>
      <c r="D223" s="241"/>
      <c r="E223" s="237"/>
      <c r="F223" s="67"/>
      <c r="G223" s="67"/>
      <c r="H223" s="68"/>
      <c r="I223" s="237"/>
      <c r="J223" s="67"/>
      <c r="K223" s="69">
        <f t="shared" si="35"/>
        <v>0</v>
      </c>
      <c r="L223" s="67"/>
      <c r="M223" s="67"/>
      <c r="N223" s="238"/>
      <c r="O223" s="267"/>
      <c r="P223" s="273">
        <v>-9896.96</v>
      </c>
      <c r="Q223" s="214">
        <f t="shared" si="36"/>
        <v>0</v>
      </c>
      <c r="R223" s="267"/>
      <c r="U223" s="174" t="s">
        <v>177</v>
      </c>
      <c r="V223" s="358">
        <v>-1352.25</v>
      </c>
    </row>
    <row r="224" ht="14.25" customHeight="1">
      <c r="B224" s="283" t="s">
        <v>166</v>
      </c>
      <c r="C224" s="229" t="s">
        <v>66</v>
      </c>
      <c r="D224" s="228">
        <f t="shared" ref="D224:P224" si="37">sum(D204:D223)</f>
        <v>18</v>
      </c>
      <c r="E224" s="232">
        <f t="shared" si="37"/>
        <v>37868.96</v>
      </c>
      <c r="F224" s="232">
        <f t="shared" si="37"/>
        <v>700</v>
      </c>
      <c r="G224" s="232">
        <f t="shared" si="37"/>
        <v>200</v>
      </c>
      <c r="H224" s="232">
        <f t="shared" si="37"/>
        <v>0</v>
      </c>
      <c r="I224" s="232">
        <f t="shared" si="37"/>
        <v>13676</v>
      </c>
      <c r="J224" s="232">
        <f t="shared" si="37"/>
        <v>0</v>
      </c>
      <c r="K224" s="232">
        <f t="shared" si="37"/>
        <v>0</v>
      </c>
      <c r="L224" s="232">
        <f t="shared" si="37"/>
        <v>3768.96</v>
      </c>
      <c r="M224" s="232">
        <f t="shared" si="37"/>
        <v>0</v>
      </c>
      <c r="N224" s="232">
        <f t="shared" si="37"/>
        <v>21124</v>
      </c>
      <c r="O224" s="232">
        <f t="shared" si="37"/>
        <v>-6500</v>
      </c>
      <c r="P224" s="232">
        <f t="shared" si="37"/>
        <v>-14624</v>
      </c>
      <c r="Q224" s="233">
        <f>Q223</f>
        <v>0</v>
      </c>
      <c r="R224" s="234"/>
      <c r="U224" s="368" t="s">
        <v>66</v>
      </c>
      <c r="V224" s="369">
        <f>sum(V219:V223)</f>
        <v>-7002.43</v>
      </c>
    </row>
    <row r="225" ht="14.25" customHeight="1">
      <c r="B225" s="354" t="s">
        <v>179</v>
      </c>
      <c r="C225" s="239">
        <v>45659.0</v>
      </c>
      <c r="D225" s="299"/>
      <c r="E225" s="294"/>
      <c r="F225" s="294"/>
      <c r="G225" s="88"/>
      <c r="H225" s="81"/>
      <c r="I225" s="294"/>
      <c r="J225" s="88"/>
      <c r="K225" s="90">
        <f t="shared" ref="K225:K239" si="38">E225-I225-L225-M225-N225-J225+F225</f>
        <v>0</v>
      </c>
      <c r="L225" s="88"/>
      <c r="M225" s="294"/>
      <c r="N225" s="295"/>
      <c r="O225" s="294"/>
      <c r="P225" s="323"/>
      <c r="Q225" s="194">
        <f t="shared" ref="Q225:Q245" si="39">Q224+N225+O225+P225</f>
        <v>0</v>
      </c>
      <c r="R225" s="88"/>
      <c r="U225" s="174" t="s">
        <v>110</v>
      </c>
      <c r="V225" s="174">
        <v>25000.0</v>
      </c>
    </row>
    <row r="226" ht="14.25" customHeight="1">
      <c r="B226" s="68"/>
      <c r="C226" s="236">
        <v>45691.0</v>
      </c>
      <c r="D226" s="241">
        <v>1.0</v>
      </c>
      <c r="E226" s="237">
        <v>2350.0</v>
      </c>
      <c r="F226" s="237"/>
      <c r="G226" s="67"/>
      <c r="H226" s="68"/>
      <c r="I226" s="237">
        <v>1000.0</v>
      </c>
      <c r="J226" s="67"/>
      <c r="K226" s="69">
        <f t="shared" si="38"/>
        <v>0</v>
      </c>
      <c r="L226" s="67"/>
      <c r="M226" s="67"/>
      <c r="N226" s="238">
        <v>1350.0</v>
      </c>
      <c r="O226" s="267">
        <v>-500.0</v>
      </c>
      <c r="P226" s="273"/>
      <c r="Q226" s="214">
        <f t="shared" si="39"/>
        <v>850</v>
      </c>
      <c r="R226" s="71"/>
      <c r="U226" s="174" t="s">
        <v>13</v>
      </c>
      <c r="V226" s="367">
        <f>V224-V225</f>
        <v>-32002.43</v>
      </c>
    </row>
    <row r="227" ht="14.25" customHeight="1">
      <c r="B227" s="81"/>
      <c r="C227" s="239">
        <v>45721.0</v>
      </c>
      <c r="D227" s="299"/>
      <c r="E227" s="294"/>
      <c r="F227" s="294"/>
      <c r="G227" s="88"/>
      <c r="H227" s="81"/>
      <c r="I227" s="294"/>
      <c r="J227" s="88"/>
      <c r="K227" s="90">
        <f t="shared" si="38"/>
        <v>0</v>
      </c>
      <c r="L227" s="88"/>
      <c r="M227" s="88"/>
      <c r="N227" s="295"/>
      <c r="O227" s="294"/>
      <c r="P227" s="323"/>
      <c r="Q227" s="194">
        <f t="shared" si="39"/>
        <v>850</v>
      </c>
      <c r="R227" s="88"/>
    </row>
    <row r="228" ht="14.25" customHeight="1">
      <c r="B228" s="68"/>
      <c r="C228" s="236">
        <v>45784.0</v>
      </c>
      <c r="D228" s="241">
        <v>1.0</v>
      </c>
      <c r="E228" s="237">
        <v>3768.96</v>
      </c>
      <c r="F228" s="237"/>
      <c r="G228" s="67"/>
      <c r="H228" s="68"/>
      <c r="I228" s="237"/>
      <c r="J228" s="67"/>
      <c r="K228" s="69">
        <f t="shared" si="38"/>
        <v>0</v>
      </c>
      <c r="L228" s="237">
        <v>3768.96</v>
      </c>
      <c r="M228" s="67"/>
      <c r="N228" s="238"/>
      <c r="O228" s="267">
        <v>-500.0</v>
      </c>
      <c r="P228" s="273"/>
      <c r="Q228" s="214">
        <f t="shared" si="39"/>
        <v>350</v>
      </c>
      <c r="R228" s="71"/>
    </row>
    <row r="229" ht="14.25" customHeight="1">
      <c r="B229" s="81"/>
      <c r="C229" s="239">
        <v>45846.0</v>
      </c>
      <c r="D229" s="299"/>
      <c r="E229" s="294"/>
      <c r="F229" s="294"/>
      <c r="G229" s="88"/>
      <c r="H229" s="81"/>
      <c r="I229" s="294"/>
      <c r="J229" s="88"/>
      <c r="K229" s="90">
        <f t="shared" si="38"/>
        <v>0</v>
      </c>
      <c r="L229" s="88"/>
      <c r="M229" s="88"/>
      <c r="N229" s="295"/>
      <c r="O229" s="294"/>
      <c r="P229" s="323"/>
      <c r="Q229" s="194">
        <f t="shared" si="39"/>
        <v>350</v>
      </c>
      <c r="R229" s="88"/>
    </row>
    <row r="230" ht="14.25" customHeight="1">
      <c r="B230" s="68"/>
      <c r="C230" s="236">
        <v>45878.0</v>
      </c>
      <c r="D230" s="241">
        <v>1.0</v>
      </c>
      <c r="E230" s="237">
        <v>1800.0</v>
      </c>
      <c r="F230" s="237"/>
      <c r="G230" s="237"/>
      <c r="H230" s="68"/>
      <c r="I230" s="237">
        <v>500.0</v>
      </c>
      <c r="J230" s="67"/>
      <c r="K230" s="69">
        <f t="shared" si="38"/>
        <v>0</v>
      </c>
      <c r="L230" s="67"/>
      <c r="M230" s="67"/>
      <c r="N230" s="238">
        <v>1300.0</v>
      </c>
      <c r="O230" s="267">
        <v>-500.0</v>
      </c>
      <c r="P230" s="273"/>
      <c r="Q230" s="214">
        <f t="shared" si="39"/>
        <v>1150</v>
      </c>
      <c r="R230" s="71"/>
    </row>
    <row r="231" ht="14.25" customHeight="1">
      <c r="B231" s="81"/>
      <c r="C231" s="239">
        <v>45911.0</v>
      </c>
      <c r="D231" s="299"/>
      <c r="E231" s="294"/>
      <c r="F231" s="294"/>
      <c r="G231" s="88"/>
      <c r="H231" s="81"/>
      <c r="I231" s="294"/>
      <c r="J231" s="88"/>
      <c r="K231" s="90">
        <f t="shared" si="38"/>
        <v>0</v>
      </c>
      <c r="L231" s="88"/>
      <c r="M231" s="88"/>
      <c r="N231" s="295"/>
      <c r="O231" s="294"/>
      <c r="P231" s="323"/>
      <c r="Q231" s="194">
        <f t="shared" si="39"/>
        <v>1150</v>
      </c>
      <c r="R231" s="88"/>
    </row>
    <row r="232" ht="14.25" customHeight="1">
      <c r="B232" s="68"/>
      <c r="C232" s="236">
        <v>45974.0</v>
      </c>
      <c r="D232" s="241">
        <v>2.0</v>
      </c>
      <c r="E232" s="237">
        <v>3700.0</v>
      </c>
      <c r="F232" s="237"/>
      <c r="G232" s="67"/>
      <c r="H232" s="68"/>
      <c r="I232" s="237">
        <v>1000.0</v>
      </c>
      <c r="J232" s="67"/>
      <c r="K232" s="69">
        <f t="shared" si="38"/>
        <v>0</v>
      </c>
      <c r="L232" s="67"/>
      <c r="M232" s="67"/>
      <c r="N232" s="238">
        <v>2700.0</v>
      </c>
      <c r="O232" s="267">
        <v>-500.0</v>
      </c>
      <c r="P232" s="273"/>
      <c r="Q232" s="214">
        <f t="shared" si="39"/>
        <v>3350</v>
      </c>
      <c r="R232" s="71"/>
    </row>
    <row r="233" ht="14.25" customHeight="1">
      <c r="B233" s="68"/>
      <c r="C233" s="243" t="s">
        <v>46</v>
      </c>
      <c r="D233" s="241">
        <v>1.0</v>
      </c>
      <c r="E233" s="237">
        <v>2416.0</v>
      </c>
      <c r="F233" s="237"/>
      <c r="G233" s="67"/>
      <c r="H233" s="68"/>
      <c r="I233" s="237"/>
      <c r="J233" s="67"/>
      <c r="K233" s="69">
        <f t="shared" si="38"/>
        <v>0</v>
      </c>
      <c r="L233" s="237">
        <v>2416.0</v>
      </c>
      <c r="M233" s="67"/>
      <c r="N233" s="238"/>
      <c r="O233" s="267">
        <v>-500.0</v>
      </c>
      <c r="P233" s="273"/>
      <c r="Q233" s="214">
        <f t="shared" si="39"/>
        <v>2850</v>
      </c>
      <c r="R233" s="71"/>
    </row>
    <row r="234" ht="14.25" customHeight="1">
      <c r="B234" s="81"/>
      <c r="C234" s="296" t="s">
        <v>29</v>
      </c>
      <c r="D234" s="299"/>
      <c r="E234" s="294"/>
      <c r="F234" s="294"/>
      <c r="G234" s="88"/>
      <c r="H234" s="81"/>
      <c r="I234" s="294"/>
      <c r="J234" s="88"/>
      <c r="K234" s="90">
        <f t="shared" si="38"/>
        <v>0</v>
      </c>
      <c r="L234" s="88"/>
      <c r="M234" s="88"/>
      <c r="N234" s="295"/>
      <c r="O234" s="294"/>
      <c r="P234" s="323"/>
      <c r="Q234" s="194">
        <f t="shared" si="39"/>
        <v>2850</v>
      </c>
      <c r="R234" s="88"/>
    </row>
    <row r="235" ht="14.25" customHeight="1">
      <c r="B235" s="68"/>
      <c r="C235" s="243" t="s">
        <v>30</v>
      </c>
      <c r="D235" s="241">
        <v>1.0</v>
      </c>
      <c r="E235" s="237">
        <v>2000.0</v>
      </c>
      <c r="F235" s="237"/>
      <c r="G235" s="67"/>
      <c r="H235" s="68"/>
      <c r="I235" s="237">
        <v>1000.0</v>
      </c>
      <c r="J235" s="67"/>
      <c r="K235" s="69">
        <f t="shared" si="38"/>
        <v>0</v>
      </c>
      <c r="L235" s="67"/>
      <c r="M235" s="67"/>
      <c r="N235" s="238">
        <v>1000.0</v>
      </c>
      <c r="O235" s="267">
        <v>-500.0</v>
      </c>
      <c r="P235" s="273"/>
      <c r="Q235" s="214">
        <f t="shared" si="39"/>
        <v>3350</v>
      </c>
      <c r="R235" s="71"/>
    </row>
    <row r="236" ht="14.25" customHeight="1">
      <c r="B236" s="81"/>
      <c r="C236" s="296" t="s">
        <v>184</v>
      </c>
      <c r="D236" s="299"/>
      <c r="E236" s="294"/>
      <c r="F236" s="294"/>
      <c r="G236" s="88"/>
      <c r="H236" s="81"/>
      <c r="I236" s="294"/>
      <c r="J236" s="88"/>
      <c r="K236" s="90">
        <f t="shared" si="38"/>
        <v>0</v>
      </c>
      <c r="L236" s="88"/>
      <c r="M236" s="88"/>
      <c r="N236" s="295"/>
      <c r="O236" s="294"/>
      <c r="P236" s="323"/>
      <c r="Q236" s="194">
        <f t="shared" si="39"/>
        <v>3350</v>
      </c>
      <c r="R236" s="88"/>
    </row>
    <row r="237" ht="14.25" customHeight="1">
      <c r="B237" s="68"/>
      <c r="C237" s="243" t="s">
        <v>69</v>
      </c>
      <c r="D237" s="241">
        <v>1.0</v>
      </c>
      <c r="E237" s="237">
        <v>2500.0</v>
      </c>
      <c r="F237" s="237"/>
      <c r="G237" s="67"/>
      <c r="H237" s="68"/>
      <c r="I237" s="237">
        <v>1000.0</v>
      </c>
      <c r="J237" s="67"/>
      <c r="K237" s="69">
        <f t="shared" si="38"/>
        <v>0</v>
      </c>
      <c r="L237" s="67"/>
      <c r="M237" s="67"/>
      <c r="N237" s="238">
        <v>1500.0</v>
      </c>
      <c r="O237" s="267">
        <v>-500.0</v>
      </c>
      <c r="P237" s="273"/>
      <c r="Q237" s="214">
        <f t="shared" si="39"/>
        <v>4350</v>
      </c>
      <c r="R237" s="71"/>
    </row>
    <row r="238" ht="14.25" customHeight="1">
      <c r="B238" s="81"/>
      <c r="C238" s="296" t="s">
        <v>68</v>
      </c>
      <c r="D238" s="299"/>
      <c r="E238" s="294"/>
      <c r="F238" s="294"/>
      <c r="G238" s="88"/>
      <c r="H238" s="81"/>
      <c r="I238" s="294"/>
      <c r="J238" s="88"/>
      <c r="K238" s="90">
        <f t="shared" si="38"/>
        <v>0</v>
      </c>
      <c r="L238" s="88"/>
      <c r="M238" s="88"/>
      <c r="N238" s="295"/>
      <c r="O238" s="294"/>
      <c r="P238" s="323"/>
      <c r="Q238" s="194">
        <f t="shared" si="39"/>
        <v>4350</v>
      </c>
      <c r="R238" s="88"/>
    </row>
    <row r="239" ht="14.25" customHeight="1">
      <c r="B239" s="68"/>
      <c r="C239" s="243" t="s">
        <v>37</v>
      </c>
      <c r="D239" s="241">
        <v>1.0</v>
      </c>
      <c r="E239" s="237">
        <v>2000.0</v>
      </c>
      <c r="F239" s="237"/>
      <c r="G239" s="67"/>
      <c r="H239" s="68"/>
      <c r="I239" s="237">
        <v>1000.0</v>
      </c>
      <c r="J239" s="67"/>
      <c r="K239" s="69">
        <f t="shared" si="38"/>
        <v>0</v>
      </c>
      <c r="L239" s="237"/>
      <c r="M239" s="67"/>
      <c r="N239" s="238">
        <v>1000.0</v>
      </c>
      <c r="O239" s="267">
        <v>-500.0</v>
      </c>
      <c r="P239" s="273"/>
      <c r="Q239" s="214">
        <f t="shared" si="39"/>
        <v>4850</v>
      </c>
      <c r="R239" s="71"/>
    </row>
    <row r="240" ht="14.25" customHeight="1">
      <c r="B240" s="81"/>
      <c r="C240" s="296" t="s">
        <v>185</v>
      </c>
      <c r="D240" s="299"/>
      <c r="E240" s="294"/>
      <c r="F240" s="294"/>
      <c r="G240" s="88"/>
      <c r="H240" s="81"/>
      <c r="I240" s="294"/>
      <c r="J240" s="88"/>
      <c r="K240" s="90"/>
      <c r="L240" s="88"/>
      <c r="M240" s="88"/>
      <c r="N240" s="295"/>
      <c r="O240" s="294"/>
      <c r="P240" s="323"/>
      <c r="Q240" s="194">
        <f t="shared" si="39"/>
        <v>4850</v>
      </c>
      <c r="R240" s="88"/>
    </row>
    <row r="241" ht="14.25" customHeight="1">
      <c r="B241" s="68"/>
      <c r="C241" s="243" t="s">
        <v>72</v>
      </c>
      <c r="D241" s="241">
        <v>1.0</v>
      </c>
      <c r="E241" s="237">
        <v>2500.0</v>
      </c>
      <c r="F241" s="237"/>
      <c r="G241" s="67"/>
      <c r="H241" s="68"/>
      <c r="I241" s="237">
        <v>1000.0</v>
      </c>
      <c r="J241" s="67"/>
      <c r="K241" s="69">
        <f t="shared" ref="K241:K244" si="40">E241-I241-L241-M241-N241-J241+F241</f>
        <v>0</v>
      </c>
      <c r="L241" s="67"/>
      <c r="M241" s="67"/>
      <c r="N241" s="238">
        <v>1500.0</v>
      </c>
      <c r="O241" s="267">
        <v>-500.0</v>
      </c>
      <c r="P241" s="273"/>
      <c r="Q241" s="214">
        <f t="shared" si="39"/>
        <v>5850</v>
      </c>
      <c r="R241" s="71"/>
    </row>
    <row r="242" ht="14.25" customHeight="1">
      <c r="B242" s="68"/>
      <c r="C242" s="243" t="s">
        <v>49</v>
      </c>
      <c r="D242" s="241">
        <v>1.0</v>
      </c>
      <c r="E242" s="237">
        <v>2150.0</v>
      </c>
      <c r="F242" s="67"/>
      <c r="G242" s="67"/>
      <c r="H242" s="68"/>
      <c r="I242" s="237">
        <v>501.0</v>
      </c>
      <c r="J242" s="67"/>
      <c r="K242" s="69">
        <f t="shared" si="40"/>
        <v>0</v>
      </c>
      <c r="L242" s="67"/>
      <c r="M242" s="67"/>
      <c r="N242" s="238">
        <v>1649.0</v>
      </c>
      <c r="O242" s="267">
        <v>-500.0</v>
      </c>
      <c r="P242" s="370"/>
      <c r="Q242" s="214">
        <f t="shared" si="39"/>
        <v>6999</v>
      </c>
      <c r="R242" s="71"/>
    </row>
    <row r="243" ht="14.25" customHeight="1">
      <c r="B243" s="68"/>
      <c r="C243" s="243"/>
      <c r="D243" s="241"/>
      <c r="E243" s="237"/>
      <c r="F243" s="67"/>
      <c r="G243" s="67"/>
      <c r="H243" s="68"/>
      <c r="I243" s="237"/>
      <c r="J243" s="67"/>
      <c r="K243" s="69">
        <f t="shared" si="40"/>
        <v>0</v>
      </c>
      <c r="L243" s="67"/>
      <c r="M243" s="67"/>
      <c r="N243" s="238"/>
      <c r="O243" s="267"/>
      <c r="P243" s="273"/>
      <c r="Q243" s="214">
        <f t="shared" si="39"/>
        <v>6999</v>
      </c>
      <c r="R243" s="214" t="s">
        <v>59</v>
      </c>
    </row>
    <row r="244" ht="14.25" customHeight="1">
      <c r="B244" s="68"/>
      <c r="C244" s="243"/>
      <c r="D244" s="241"/>
      <c r="E244" s="237"/>
      <c r="F244" s="67"/>
      <c r="G244" s="67"/>
      <c r="H244" s="68"/>
      <c r="I244" s="237"/>
      <c r="J244" s="67"/>
      <c r="K244" s="69">
        <f t="shared" si="40"/>
        <v>0</v>
      </c>
      <c r="L244" s="67"/>
      <c r="M244" s="67"/>
      <c r="N244" s="238"/>
      <c r="O244" s="267"/>
      <c r="P244" s="273"/>
      <c r="Q244" s="214">
        <f t="shared" si="39"/>
        <v>6999</v>
      </c>
      <c r="R244" s="267" t="s">
        <v>55</v>
      </c>
    </row>
    <row r="245" ht="14.25" customHeight="1">
      <c r="B245" s="373"/>
      <c r="C245" s="374"/>
      <c r="D245" s="375"/>
      <c r="E245" s="376"/>
      <c r="F245" s="377"/>
      <c r="G245" s="377"/>
      <c r="H245" s="373"/>
      <c r="I245" s="376"/>
      <c r="J245" s="377"/>
      <c r="K245" s="344"/>
      <c r="L245" s="377"/>
      <c r="M245" s="377"/>
      <c r="N245" s="378"/>
      <c r="O245" s="225"/>
      <c r="P245" s="379">
        <v>-6999.0</v>
      </c>
      <c r="Q245" s="214">
        <f t="shared" si="39"/>
        <v>0</v>
      </c>
      <c r="R245" s="225"/>
    </row>
    <row r="246" ht="14.25" customHeight="1">
      <c r="B246" s="283" t="s">
        <v>179</v>
      </c>
      <c r="C246" s="229" t="s">
        <v>66</v>
      </c>
      <c r="D246" s="228">
        <f t="shared" ref="D246:O246" si="41">sum(D225:D244)</f>
        <v>11</v>
      </c>
      <c r="E246" s="232">
        <f t="shared" si="41"/>
        <v>25184.96</v>
      </c>
      <c r="F246" s="232">
        <f t="shared" si="41"/>
        <v>0</v>
      </c>
      <c r="G246" s="232">
        <f t="shared" si="41"/>
        <v>0</v>
      </c>
      <c r="H246" s="232">
        <f t="shared" si="41"/>
        <v>0</v>
      </c>
      <c r="I246" s="232">
        <f t="shared" si="41"/>
        <v>7001</v>
      </c>
      <c r="J246" s="232">
        <f t="shared" si="41"/>
        <v>0</v>
      </c>
      <c r="K246" s="232">
        <f t="shared" si="41"/>
        <v>0</v>
      </c>
      <c r="L246" s="232">
        <f t="shared" si="41"/>
        <v>6184.96</v>
      </c>
      <c r="M246" s="232">
        <f t="shared" si="41"/>
        <v>0</v>
      </c>
      <c r="N246" s="232">
        <f t="shared" si="41"/>
        <v>11999</v>
      </c>
      <c r="O246" s="232">
        <f t="shared" si="41"/>
        <v>-5000</v>
      </c>
      <c r="P246" s="232">
        <f>sum(P225:P245)</f>
        <v>-6999</v>
      </c>
      <c r="Q246" s="233">
        <f>Q245</f>
        <v>0</v>
      </c>
      <c r="R246" s="234"/>
    </row>
    <row r="247" ht="14.25" customHeight="1">
      <c r="B247" s="68" t="s">
        <v>186</v>
      </c>
      <c r="C247" s="236">
        <v>45660.0</v>
      </c>
      <c r="D247" s="241">
        <v>2.0</v>
      </c>
      <c r="E247" s="237">
        <v>3700.0</v>
      </c>
      <c r="F247" s="237"/>
      <c r="G247" s="67"/>
      <c r="H247" s="68"/>
      <c r="I247" s="237">
        <v>1001.0</v>
      </c>
      <c r="J247" s="67"/>
      <c r="K247" s="69">
        <f t="shared" ref="K247:K263" si="42">E247-I247-L247-M247-N247-J247+F247</f>
        <v>0</v>
      </c>
      <c r="L247" s="67"/>
      <c r="M247" s="67"/>
      <c r="N247" s="238">
        <v>2699.0</v>
      </c>
      <c r="O247" s="267">
        <v>-500.0</v>
      </c>
      <c r="P247" s="273"/>
      <c r="Q247" s="214">
        <f t="shared" ref="Q247:Q268" si="43">Q246+N247+O247+P247</f>
        <v>2199</v>
      </c>
      <c r="R247" s="71"/>
      <c r="U247" s="174" t="s">
        <v>110</v>
      </c>
      <c r="V247" s="206">
        <v>25000.0</v>
      </c>
    </row>
    <row r="248" ht="14.25" customHeight="1">
      <c r="B248" s="81"/>
      <c r="C248" s="239">
        <v>45720.0</v>
      </c>
      <c r="D248" s="299"/>
      <c r="E248" s="294"/>
      <c r="F248" s="294"/>
      <c r="G248" s="88"/>
      <c r="H248" s="81"/>
      <c r="I248" s="294"/>
      <c r="J248" s="88"/>
      <c r="K248" s="90">
        <f t="shared" si="42"/>
        <v>0</v>
      </c>
      <c r="L248" s="88"/>
      <c r="M248" s="88"/>
      <c r="N248" s="295"/>
      <c r="O248" s="294"/>
      <c r="P248" s="323"/>
      <c r="Q248" s="194">
        <f t="shared" si="43"/>
        <v>2199</v>
      </c>
      <c r="R248" s="88"/>
      <c r="U248" s="206" t="s">
        <v>13</v>
      </c>
      <c r="V248" s="206">
        <f>V246-V247</f>
        <v>-25000</v>
      </c>
    </row>
    <row r="249" ht="14.25" customHeight="1">
      <c r="B249" s="68"/>
      <c r="C249" s="236">
        <v>45752.0</v>
      </c>
      <c r="D249" s="241">
        <v>1.0</v>
      </c>
      <c r="E249" s="237">
        <v>3050.0</v>
      </c>
      <c r="F249" s="237"/>
      <c r="G249" s="67"/>
      <c r="H249" s="68"/>
      <c r="I249" s="237">
        <v>1000.0</v>
      </c>
      <c r="J249" s="67"/>
      <c r="K249" s="69">
        <f t="shared" si="42"/>
        <v>0</v>
      </c>
      <c r="L249" s="67"/>
      <c r="M249" s="67"/>
      <c r="N249" s="238">
        <v>2050.0</v>
      </c>
      <c r="O249" s="267">
        <v>-500.0</v>
      </c>
      <c r="P249" s="273"/>
      <c r="Q249" s="214">
        <f t="shared" si="43"/>
        <v>3749</v>
      </c>
      <c r="R249" s="71"/>
      <c r="U249" s="174"/>
    </row>
    <row r="250" ht="14.25" customHeight="1">
      <c r="B250" s="81"/>
      <c r="C250" s="239">
        <v>45785.0</v>
      </c>
      <c r="D250" s="299"/>
      <c r="E250" s="294"/>
      <c r="F250" s="294"/>
      <c r="G250" s="88"/>
      <c r="H250" s="81"/>
      <c r="I250" s="294"/>
      <c r="J250" s="88"/>
      <c r="K250" s="90">
        <f t="shared" si="42"/>
        <v>0</v>
      </c>
      <c r="L250" s="88"/>
      <c r="M250" s="88"/>
      <c r="N250" s="295"/>
      <c r="O250" s="294"/>
      <c r="P250" s="323"/>
      <c r="Q250" s="194">
        <f t="shared" si="43"/>
        <v>3749</v>
      </c>
      <c r="R250" s="88"/>
    </row>
    <row r="251" ht="14.25" customHeight="1">
      <c r="B251" s="68"/>
      <c r="C251" s="236">
        <v>45878.0</v>
      </c>
      <c r="D251" s="241">
        <v>1.0</v>
      </c>
      <c r="E251" s="237">
        <v>2000.0</v>
      </c>
      <c r="F251" s="237">
        <v>350.0</v>
      </c>
      <c r="G251" s="237"/>
      <c r="H251" s="68"/>
      <c r="I251" s="237">
        <v>2175.0</v>
      </c>
      <c r="J251" s="67"/>
      <c r="K251" s="69">
        <f t="shared" si="42"/>
        <v>0</v>
      </c>
      <c r="L251" s="67"/>
      <c r="M251" s="67"/>
      <c r="N251" s="238">
        <v>175.0</v>
      </c>
      <c r="O251" s="267">
        <v>-500.0</v>
      </c>
      <c r="P251" s="273"/>
      <c r="Q251" s="214">
        <f t="shared" si="43"/>
        <v>3424</v>
      </c>
      <c r="R251" s="71"/>
    </row>
    <row r="252" ht="14.25" customHeight="1">
      <c r="B252" s="81"/>
      <c r="C252" s="239">
        <v>45911.0</v>
      </c>
      <c r="D252" s="299"/>
      <c r="E252" s="294"/>
      <c r="F252" s="294"/>
      <c r="G252" s="88"/>
      <c r="H252" s="81"/>
      <c r="I252" s="294"/>
      <c r="J252" s="88"/>
      <c r="K252" s="90">
        <f t="shared" si="42"/>
        <v>0</v>
      </c>
      <c r="L252" s="88"/>
      <c r="M252" s="88"/>
      <c r="N252" s="295"/>
      <c r="O252" s="294"/>
      <c r="P252" s="323"/>
      <c r="Q252" s="194">
        <f t="shared" si="43"/>
        <v>3424</v>
      </c>
      <c r="R252" s="88"/>
    </row>
    <row r="253" ht="14.25" customHeight="1">
      <c r="B253" s="68"/>
      <c r="C253" s="236">
        <v>45973.0</v>
      </c>
      <c r="D253" s="241">
        <v>1.0</v>
      </c>
      <c r="E253" s="237">
        <v>2700.0</v>
      </c>
      <c r="F253" s="237"/>
      <c r="G253" s="237"/>
      <c r="H253" s="68"/>
      <c r="I253" s="237">
        <v>501.0</v>
      </c>
      <c r="J253" s="67"/>
      <c r="K253" s="69">
        <f t="shared" si="42"/>
        <v>0</v>
      </c>
      <c r="L253" s="67"/>
      <c r="M253" s="67"/>
      <c r="N253" s="238">
        <v>2199.0</v>
      </c>
      <c r="O253" s="267">
        <v>-500.0</v>
      </c>
      <c r="P253" s="273"/>
      <c r="Q253" s="214">
        <f t="shared" si="43"/>
        <v>5123</v>
      </c>
      <c r="R253" s="71"/>
    </row>
    <row r="254" ht="14.25" customHeight="1">
      <c r="B254" s="68"/>
      <c r="C254" s="236">
        <v>46004.0</v>
      </c>
      <c r="D254" s="241">
        <v>1.0</v>
      </c>
      <c r="E254" s="237">
        <v>2200.0</v>
      </c>
      <c r="F254" s="237"/>
      <c r="G254" s="67"/>
      <c r="H254" s="68"/>
      <c r="I254" s="237">
        <v>1000.0</v>
      </c>
      <c r="J254" s="67"/>
      <c r="K254" s="69">
        <f t="shared" si="42"/>
        <v>0</v>
      </c>
      <c r="L254" s="67"/>
      <c r="M254" s="67"/>
      <c r="N254" s="238">
        <v>1200.0</v>
      </c>
      <c r="O254" s="267">
        <v>-500.0</v>
      </c>
      <c r="P254" s="273"/>
      <c r="Q254" s="214">
        <f t="shared" si="43"/>
        <v>5823</v>
      </c>
      <c r="R254" s="71"/>
    </row>
    <row r="255" ht="14.25" customHeight="1">
      <c r="B255" s="81"/>
      <c r="C255" s="296" t="s">
        <v>117</v>
      </c>
      <c r="D255" s="299"/>
      <c r="E255" s="294"/>
      <c r="F255" s="294"/>
      <c r="G255" s="88"/>
      <c r="H255" s="81"/>
      <c r="I255" s="294"/>
      <c r="J255" s="88"/>
      <c r="K255" s="90">
        <f t="shared" si="42"/>
        <v>0</v>
      </c>
      <c r="L255" s="88"/>
      <c r="M255" s="88"/>
      <c r="N255" s="295"/>
      <c r="O255" s="294"/>
      <c r="P255" s="323"/>
      <c r="Q255" s="194">
        <f t="shared" si="43"/>
        <v>5823</v>
      </c>
      <c r="R255" s="88"/>
    </row>
    <row r="256" ht="14.25" customHeight="1">
      <c r="B256" s="68"/>
      <c r="C256" s="243" t="s">
        <v>30</v>
      </c>
      <c r="D256" s="241">
        <v>1.0</v>
      </c>
      <c r="E256" s="237">
        <v>2000.0</v>
      </c>
      <c r="F256" s="237"/>
      <c r="G256" s="67"/>
      <c r="H256" s="68"/>
      <c r="I256" s="237">
        <v>800.0</v>
      </c>
      <c r="J256" s="67"/>
      <c r="K256" s="69">
        <f t="shared" si="42"/>
        <v>0</v>
      </c>
      <c r="L256" s="67"/>
      <c r="M256" s="67"/>
      <c r="N256" s="238">
        <v>1200.0</v>
      </c>
      <c r="O256" s="267">
        <v>-500.0</v>
      </c>
      <c r="P256" s="273"/>
      <c r="Q256" s="214">
        <f t="shared" si="43"/>
        <v>6523</v>
      </c>
      <c r="R256" s="71"/>
    </row>
    <row r="257" ht="14.25" customHeight="1">
      <c r="B257" s="68"/>
      <c r="C257" s="243" t="s">
        <v>102</v>
      </c>
      <c r="D257" s="241">
        <v>2.0</v>
      </c>
      <c r="E257" s="237">
        <v>4400.0</v>
      </c>
      <c r="F257" s="237"/>
      <c r="G257" s="67"/>
      <c r="H257" s="68"/>
      <c r="I257" s="237">
        <v>1500.0</v>
      </c>
      <c r="J257" s="67"/>
      <c r="K257" s="69">
        <f t="shared" si="42"/>
        <v>0</v>
      </c>
      <c r="L257" s="67"/>
      <c r="M257" s="67"/>
      <c r="N257" s="238">
        <v>2900.0</v>
      </c>
      <c r="O257" s="267">
        <v>-500.0</v>
      </c>
      <c r="P257" s="273"/>
      <c r="Q257" s="214">
        <f t="shared" si="43"/>
        <v>8923</v>
      </c>
      <c r="R257" s="71"/>
    </row>
    <row r="258" ht="14.25" customHeight="1">
      <c r="B258" s="68"/>
      <c r="C258" s="243" t="s">
        <v>33</v>
      </c>
      <c r="D258" s="241">
        <v>1.0</v>
      </c>
      <c r="E258" s="237">
        <v>2800.0</v>
      </c>
      <c r="F258" s="237"/>
      <c r="G258" s="67"/>
      <c r="H258" s="68"/>
      <c r="I258" s="237">
        <v>1000.0</v>
      </c>
      <c r="J258" s="67"/>
      <c r="K258" s="69">
        <f t="shared" si="42"/>
        <v>0</v>
      </c>
      <c r="L258" s="67"/>
      <c r="M258" s="67"/>
      <c r="N258" s="238">
        <v>1800.0</v>
      </c>
      <c r="O258" s="267">
        <v>-500.0</v>
      </c>
      <c r="P258" s="273"/>
      <c r="Q258" s="214">
        <f t="shared" si="43"/>
        <v>10223</v>
      </c>
      <c r="R258" s="71"/>
    </row>
    <row r="259" ht="14.25" customHeight="1">
      <c r="B259" s="81"/>
      <c r="C259" s="296" t="s">
        <v>188</v>
      </c>
      <c r="D259" s="299"/>
      <c r="E259" s="294"/>
      <c r="F259" s="294"/>
      <c r="G259" s="88"/>
      <c r="H259" s="81"/>
      <c r="I259" s="294"/>
      <c r="J259" s="88"/>
      <c r="K259" s="90">
        <f t="shared" si="42"/>
        <v>0</v>
      </c>
      <c r="L259" s="88"/>
      <c r="M259" s="88"/>
      <c r="N259" s="295"/>
      <c r="O259" s="294"/>
      <c r="P259" s="323"/>
      <c r="Q259" s="194">
        <f t="shared" si="43"/>
        <v>10223</v>
      </c>
      <c r="R259" s="88"/>
    </row>
    <row r="260" ht="14.25" customHeight="1">
      <c r="B260" s="68"/>
      <c r="C260" s="243" t="s">
        <v>45</v>
      </c>
      <c r="D260" s="241">
        <v>1.0</v>
      </c>
      <c r="E260" s="237">
        <v>2800.0</v>
      </c>
      <c r="F260" s="237"/>
      <c r="G260" s="67"/>
      <c r="H260" s="68"/>
      <c r="I260" s="237">
        <v>1000.0</v>
      </c>
      <c r="J260" s="67"/>
      <c r="K260" s="69">
        <f t="shared" si="42"/>
        <v>0</v>
      </c>
      <c r="L260" s="237"/>
      <c r="M260" s="67"/>
      <c r="N260" s="238">
        <v>1800.0</v>
      </c>
      <c r="O260" s="267">
        <v>-500.0</v>
      </c>
      <c r="P260" s="273"/>
      <c r="Q260" s="214">
        <f t="shared" si="43"/>
        <v>11523</v>
      </c>
      <c r="R260" s="71"/>
    </row>
    <row r="261" ht="14.25" customHeight="1">
      <c r="B261" s="81"/>
      <c r="C261" s="296" t="s">
        <v>86</v>
      </c>
      <c r="D261" s="299"/>
      <c r="E261" s="294">
        <v>1000.0</v>
      </c>
      <c r="F261" s="294"/>
      <c r="G261" s="88"/>
      <c r="H261" s="183" t="s">
        <v>189</v>
      </c>
      <c r="I261" s="294">
        <v>1000.0</v>
      </c>
      <c r="J261" s="88"/>
      <c r="K261" s="90">
        <f t="shared" si="42"/>
        <v>0</v>
      </c>
      <c r="L261" s="88"/>
      <c r="M261" s="88"/>
      <c r="N261" s="295"/>
      <c r="O261" s="294"/>
      <c r="P261" s="323"/>
      <c r="Q261" s="194">
        <f t="shared" si="43"/>
        <v>11523</v>
      </c>
      <c r="R261" s="88"/>
    </row>
    <row r="262" ht="14.25" customHeight="1">
      <c r="B262" s="68"/>
      <c r="C262" s="243" t="s">
        <v>73</v>
      </c>
      <c r="D262" s="241">
        <v>1.0</v>
      </c>
      <c r="E262" s="237">
        <v>2000.0</v>
      </c>
      <c r="F262" s="237"/>
      <c r="G262" s="67"/>
      <c r="H262" s="68"/>
      <c r="I262" s="237">
        <v>1000.0</v>
      </c>
      <c r="J262" s="67"/>
      <c r="K262" s="69">
        <f t="shared" si="42"/>
        <v>0</v>
      </c>
      <c r="L262" s="67"/>
      <c r="M262" s="67"/>
      <c r="N262" s="238">
        <v>1000.0</v>
      </c>
      <c r="O262" s="267">
        <v>-500.0</v>
      </c>
      <c r="P262" s="273"/>
      <c r="Q262" s="214">
        <f t="shared" si="43"/>
        <v>12023</v>
      </c>
      <c r="R262" s="71"/>
    </row>
    <row r="263" ht="14.25" customHeight="1">
      <c r="B263" s="68"/>
      <c r="C263" s="243" t="s">
        <v>49</v>
      </c>
      <c r="D263" s="241">
        <v>1.0</v>
      </c>
      <c r="E263" s="237">
        <v>2000.0</v>
      </c>
      <c r="F263" s="237"/>
      <c r="G263" s="67"/>
      <c r="H263" s="68"/>
      <c r="I263" s="237">
        <v>1000.0</v>
      </c>
      <c r="J263" s="67"/>
      <c r="K263" s="69">
        <f t="shared" si="42"/>
        <v>0</v>
      </c>
      <c r="L263" s="67"/>
      <c r="M263" s="67"/>
      <c r="N263" s="238">
        <v>1000.0</v>
      </c>
      <c r="O263" s="267">
        <v>-500.0</v>
      </c>
      <c r="P263" s="273"/>
      <c r="Q263" s="214">
        <f t="shared" si="43"/>
        <v>12523</v>
      </c>
      <c r="R263" s="71"/>
    </row>
    <row r="264" ht="14.25" customHeight="1">
      <c r="B264" s="68"/>
      <c r="C264" s="243" t="s">
        <v>50</v>
      </c>
      <c r="D264" s="241">
        <v>1.0</v>
      </c>
      <c r="E264" s="237">
        <v>2000.0</v>
      </c>
      <c r="F264" s="67"/>
      <c r="G264" s="67"/>
      <c r="H264" s="68"/>
      <c r="I264" s="237">
        <v>1000.0</v>
      </c>
      <c r="J264" s="67"/>
      <c r="K264" s="69"/>
      <c r="L264" s="67"/>
      <c r="M264" s="67"/>
      <c r="N264" s="238">
        <v>2000.0</v>
      </c>
      <c r="O264" s="267">
        <v>-500.0</v>
      </c>
      <c r="P264" s="370"/>
      <c r="Q264" s="214">
        <f t="shared" si="43"/>
        <v>14023</v>
      </c>
      <c r="R264" s="71"/>
    </row>
    <row r="265" ht="14.25" customHeight="1">
      <c r="B265" s="81"/>
      <c r="C265" s="296" t="s">
        <v>52</v>
      </c>
      <c r="D265" s="299"/>
      <c r="E265" s="294">
        <v>1500.0</v>
      </c>
      <c r="F265" s="294"/>
      <c r="G265" s="88"/>
      <c r="H265" s="183" t="s">
        <v>81</v>
      </c>
      <c r="I265" s="294">
        <v>1500.0</v>
      </c>
      <c r="J265" s="88"/>
      <c r="K265" s="90">
        <f>E265-I265-L265-M265-N265-J265+F265</f>
        <v>0</v>
      </c>
      <c r="L265" s="88"/>
      <c r="M265" s="88"/>
      <c r="N265" s="295"/>
      <c r="O265" s="294"/>
      <c r="P265" s="323"/>
      <c r="Q265" s="194">
        <f t="shared" si="43"/>
        <v>14023</v>
      </c>
      <c r="R265" s="88"/>
    </row>
    <row r="266" ht="14.25" customHeight="1">
      <c r="B266" s="68"/>
      <c r="C266" s="243"/>
      <c r="D266" s="241"/>
      <c r="E266" s="237"/>
      <c r="F266" s="67"/>
      <c r="G266" s="67"/>
      <c r="H266" s="68"/>
      <c r="I266" s="237"/>
      <c r="J266" s="67"/>
      <c r="K266" s="69"/>
      <c r="L266" s="67"/>
      <c r="M266" s="67"/>
      <c r="N266" s="238"/>
      <c r="O266" s="267"/>
      <c r="P266" s="273">
        <v>-4504.47</v>
      </c>
      <c r="Q266" s="214">
        <f t="shared" si="43"/>
        <v>9518.53</v>
      </c>
      <c r="R266" s="267" t="s">
        <v>59</v>
      </c>
    </row>
    <row r="267" ht="14.25" customHeight="1">
      <c r="B267" s="68"/>
      <c r="C267" s="243"/>
      <c r="D267" s="241"/>
      <c r="E267" s="237"/>
      <c r="F267" s="67"/>
      <c r="G267" s="67"/>
      <c r="H267" s="68"/>
      <c r="I267" s="237"/>
      <c r="J267" s="67"/>
      <c r="K267" s="69">
        <f t="shared" ref="K267:K268" si="44">E267-I267-L267-M267-N267-J267+F267</f>
        <v>0</v>
      </c>
      <c r="L267" s="67"/>
      <c r="M267" s="67"/>
      <c r="N267" s="238"/>
      <c r="O267" s="267"/>
      <c r="P267" s="273">
        <v>-2011.8</v>
      </c>
      <c r="Q267" s="214">
        <f t="shared" si="43"/>
        <v>7506.73</v>
      </c>
      <c r="R267" s="267" t="s">
        <v>55</v>
      </c>
    </row>
    <row r="268" ht="14.25" customHeight="1">
      <c r="B268" s="68"/>
      <c r="C268" s="243"/>
      <c r="D268" s="241"/>
      <c r="E268" s="237"/>
      <c r="F268" s="67"/>
      <c r="G268" s="67"/>
      <c r="H268" s="68"/>
      <c r="I268" s="237"/>
      <c r="J268" s="67"/>
      <c r="K268" s="69">
        <f t="shared" si="44"/>
        <v>0</v>
      </c>
      <c r="L268" s="67"/>
      <c r="M268" s="67"/>
      <c r="N268" s="238"/>
      <c r="O268" s="267"/>
      <c r="P268" s="273">
        <v>-7506.73</v>
      </c>
      <c r="Q268" s="214">
        <f t="shared" si="43"/>
        <v>0</v>
      </c>
      <c r="R268" s="267" t="s">
        <v>63</v>
      </c>
    </row>
    <row r="269" ht="14.25" customHeight="1">
      <c r="B269" s="283" t="s">
        <v>186</v>
      </c>
      <c r="C269" s="229" t="s">
        <v>66</v>
      </c>
      <c r="D269" s="228">
        <f t="shared" ref="D269:O269" si="45">sum(D247:D267)</f>
        <v>14</v>
      </c>
      <c r="E269" s="232">
        <f t="shared" si="45"/>
        <v>34150</v>
      </c>
      <c r="F269" s="232">
        <f t="shared" si="45"/>
        <v>350</v>
      </c>
      <c r="G269" s="232">
        <f t="shared" si="45"/>
        <v>0</v>
      </c>
      <c r="H269" s="232">
        <f t="shared" si="45"/>
        <v>0</v>
      </c>
      <c r="I269" s="232">
        <f t="shared" si="45"/>
        <v>15477</v>
      </c>
      <c r="J269" s="232">
        <f t="shared" si="45"/>
        <v>0</v>
      </c>
      <c r="K269" s="232">
        <f t="shared" si="45"/>
        <v>0</v>
      </c>
      <c r="L269" s="232">
        <f t="shared" si="45"/>
        <v>0</v>
      </c>
      <c r="M269" s="232">
        <f t="shared" si="45"/>
        <v>0</v>
      </c>
      <c r="N269" s="232">
        <f t="shared" si="45"/>
        <v>20023</v>
      </c>
      <c r="O269" s="232">
        <f t="shared" si="45"/>
        <v>-6000</v>
      </c>
      <c r="P269" s="232">
        <f>sum(P247:P268)</f>
        <v>-14023</v>
      </c>
      <c r="Q269" s="386">
        <f>Q268</f>
        <v>0</v>
      </c>
      <c r="R269" s="234"/>
    </row>
    <row r="270" ht="14.25" customHeight="1">
      <c r="B270" s="248" t="s">
        <v>197</v>
      </c>
      <c r="C270" s="236">
        <v>45659.0</v>
      </c>
      <c r="D270" s="241">
        <v>1.0</v>
      </c>
      <c r="E270" s="237">
        <v>2500.0</v>
      </c>
      <c r="F270" s="237"/>
      <c r="G270" s="67"/>
      <c r="H270" s="68"/>
      <c r="I270" s="237">
        <v>1000.0</v>
      </c>
      <c r="J270" s="67"/>
      <c r="K270" s="69">
        <f t="shared" ref="K270:K289" si="46">E270-I270-L270-M270-N270-J270+F270</f>
        <v>0</v>
      </c>
      <c r="L270" s="67"/>
      <c r="M270" s="67"/>
      <c r="N270" s="238">
        <v>1500.0</v>
      </c>
      <c r="O270" s="267">
        <v>-500.0</v>
      </c>
      <c r="P270" s="273"/>
      <c r="Q270" s="214">
        <f t="shared" ref="Q270:Q292" si="47">Q269+N270+O270+P270</f>
        <v>1000</v>
      </c>
      <c r="R270" s="71"/>
      <c r="U270" s="174" t="s">
        <v>110</v>
      </c>
      <c r="V270" s="206">
        <v>25000.0</v>
      </c>
    </row>
    <row r="271" ht="14.25" customHeight="1">
      <c r="B271" s="81"/>
      <c r="C271" s="239">
        <v>45693.0</v>
      </c>
      <c r="D271" s="299"/>
      <c r="E271" s="294"/>
      <c r="F271" s="294"/>
      <c r="G271" s="88"/>
      <c r="H271" s="81"/>
      <c r="I271" s="294"/>
      <c r="J271" s="88"/>
      <c r="K271" s="90">
        <f t="shared" si="46"/>
        <v>0</v>
      </c>
      <c r="L271" s="88"/>
      <c r="M271" s="88"/>
      <c r="N271" s="295"/>
      <c r="O271" s="294"/>
      <c r="P271" s="323"/>
      <c r="Q271" s="194">
        <f t="shared" si="47"/>
        <v>1000</v>
      </c>
      <c r="R271" s="88"/>
      <c r="U271" s="206" t="s">
        <v>13</v>
      </c>
      <c r="V271" s="206">
        <f>V269-V270</f>
        <v>-25000</v>
      </c>
    </row>
    <row r="272" ht="14.25" customHeight="1">
      <c r="B272" s="68"/>
      <c r="C272" s="236">
        <v>45783.0</v>
      </c>
      <c r="D272" s="241">
        <v>1.0</v>
      </c>
      <c r="E272" s="237">
        <v>1800.0</v>
      </c>
      <c r="F272" s="237">
        <v>350.0</v>
      </c>
      <c r="G272" s="67"/>
      <c r="H272" s="68"/>
      <c r="I272" s="237">
        <f>1175</f>
        <v>1175</v>
      </c>
      <c r="J272" s="67"/>
      <c r="K272" s="69">
        <f t="shared" si="46"/>
        <v>0</v>
      </c>
      <c r="L272" s="67"/>
      <c r="M272" s="67"/>
      <c r="N272" s="238">
        <v>975.0</v>
      </c>
      <c r="O272" s="267">
        <v>-500.0</v>
      </c>
      <c r="P272" s="273"/>
      <c r="Q272" s="214">
        <f t="shared" si="47"/>
        <v>1475</v>
      </c>
      <c r="R272" s="71"/>
      <c r="U272" s="174"/>
    </row>
    <row r="273" ht="14.25" customHeight="1">
      <c r="B273" s="81"/>
      <c r="C273" s="239">
        <v>45816.0</v>
      </c>
      <c r="D273" s="299"/>
      <c r="E273" s="294"/>
      <c r="F273" s="294"/>
      <c r="G273" s="88"/>
      <c r="H273" s="81"/>
      <c r="I273" s="294"/>
      <c r="J273" s="88"/>
      <c r="K273" s="90">
        <f t="shared" si="46"/>
        <v>0</v>
      </c>
      <c r="L273" s="88"/>
      <c r="M273" s="88"/>
      <c r="N273" s="295"/>
      <c r="O273" s="294"/>
      <c r="P273" s="323"/>
      <c r="Q273" s="194">
        <f t="shared" si="47"/>
        <v>1475</v>
      </c>
      <c r="R273" s="88"/>
    </row>
    <row r="274" ht="14.25" customHeight="1">
      <c r="B274" s="68"/>
      <c r="C274" s="236">
        <v>45878.0</v>
      </c>
      <c r="D274" s="241">
        <v>1.0</v>
      </c>
      <c r="E274" s="237">
        <v>2800.0</v>
      </c>
      <c r="F274" s="237"/>
      <c r="G274" s="237"/>
      <c r="H274" s="68"/>
      <c r="I274" s="237">
        <v>1000.0</v>
      </c>
      <c r="J274" s="67"/>
      <c r="K274" s="69">
        <f t="shared" si="46"/>
        <v>0</v>
      </c>
      <c r="L274" s="67"/>
      <c r="M274" s="237">
        <v>1800.0</v>
      </c>
      <c r="N274" s="238"/>
      <c r="O274" s="267">
        <v>-500.0</v>
      </c>
      <c r="P274" s="273"/>
      <c r="Q274" s="214">
        <f t="shared" si="47"/>
        <v>975</v>
      </c>
      <c r="R274" s="71"/>
    </row>
    <row r="275" ht="14.25" customHeight="1">
      <c r="B275" s="81"/>
      <c r="C275" s="239">
        <v>45912.0</v>
      </c>
      <c r="D275" s="299"/>
      <c r="E275" s="294"/>
      <c r="F275" s="294"/>
      <c r="G275" s="88"/>
      <c r="H275" s="81"/>
      <c r="I275" s="294"/>
      <c r="J275" s="88"/>
      <c r="K275" s="90">
        <f t="shared" si="46"/>
        <v>0</v>
      </c>
      <c r="L275" s="88"/>
      <c r="M275" s="88"/>
      <c r="N275" s="295"/>
      <c r="O275" s="294"/>
      <c r="P275" s="323"/>
      <c r="Q275" s="194">
        <f t="shared" si="47"/>
        <v>975</v>
      </c>
      <c r="R275" s="88"/>
    </row>
    <row r="276" ht="14.25" customHeight="1">
      <c r="B276" s="68"/>
      <c r="C276" s="236">
        <v>46005.0</v>
      </c>
      <c r="D276" s="241">
        <v>2.0</v>
      </c>
      <c r="E276" s="237">
        <v>3382.28</v>
      </c>
      <c r="F276" s="237"/>
      <c r="G276" s="237"/>
      <c r="H276" s="248" t="s">
        <v>42</v>
      </c>
      <c r="I276" s="237"/>
      <c r="J276" s="67"/>
      <c r="K276" s="69">
        <f t="shared" si="46"/>
        <v>0</v>
      </c>
      <c r="L276" s="237">
        <v>3382.28</v>
      </c>
      <c r="M276" s="67"/>
      <c r="N276" s="238"/>
      <c r="O276" s="267">
        <v>-500.0</v>
      </c>
      <c r="P276" s="273"/>
      <c r="Q276" s="214">
        <f t="shared" si="47"/>
        <v>475</v>
      </c>
      <c r="R276" s="267"/>
    </row>
    <row r="277" ht="14.25" customHeight="1">
      <c r="B277" s="81"/>
      <c r="C277" s="296" t="s">
        <v>29</v>
      </c>
      <c r="D277" s="299"/>
      <c r="E277" s="294"/>
      <c r="F277" s="294"/>
      <c r="G277" s="88"/>
      <c r="H277" s="81"/>
      <c r="I277" s="294"/>
      <c r="J277" s="88"/>
      <c r="K277" s="90">
        <f t="shared" si="46"/>
        <v>0</v>
      </c>
      <c r="L277" s="88"/>
      <c r="M277" s="88"/>
      <c r="N277" s="295"/>
      <c r="O277" s="294"/>
      <c r="P277" s="323"/>
      <c r="Q277" s="194">
        <f t="shared" si="47"/>
        <v>475</v>
      </c>
      <c r="R277" s="88"/>
    </row>
    <row r="278" ht="14.25" customHeight="1">
      <c r="B278" s="68"/>
      <c r="C278" s="243" t="s">
        <v>30</v>
      </c>
      <c r="D278" s="241">
        <v>1.0</v>
      </c>
      <c r="E278" s="237">
        <v>2800.0</v>
      </c>
      <c r="F278" s="237">
        <v>450.0</v>
      </c>
      <c r="G278" s="67"/>
      <c r="H278" s="68"/>
      <c r="I278" s="237">
        <v>1225.0</v>
      </c>
      <c r="J278" s="67"/>
      <c r="K278" s="69">
        <f t="shared" si="46"/>
        <v>0</v>
      </c>
      <c r="L278" s="67"/>
      <c r="M278" s="67"/>
      <c r="N278" s="238">
        <v>2025.0</v>
      </c>
      <c r="O278" s="267">
        <v>-500.0</v>
      </c>
      <c r="P278" s="273"/>
      <c r="Q278" s="214">
        <f t="shared" si="47"/>
        <v>2000</v>
      </c>
      <c r="R278" s="71"/>
    </row>
    <row r="279" ht="14.25" customHeight="1">
      <c r="B279" s="81"/>
      <c r="C279" s="296" t="s">
        <v>102</v>
      </c>
      <c r="D279" s="299"/>
      <c r="E279" s="294"/>
      <c r="F279" s="294"/>
      <c r="G279" s="88"/>
      <c r="H279" s="81"/>
      <c r="I279" s="294"/>
      <c r="J279" s="88"/>
      <c r="K279" s="90">
        <f t="shared" si="46"/>
        <v>0</v>
      </c>
      <c r="L279" s="88"/>
      <c r="M279" s="88"/>
      <c r="N279" s="295"/>
      <c r="O279" s="294"/>
      <c r="P279" s="323"/>
      <c r="Q279" s="194">
        <f t="shared" si="47"/>
        <v>2000</v>
      </c>
      <c r="R279" s="88"/>
    </row>
    <row r="280" ht="14.25" customHeight="1">
      <c r="B280" s="68"/>
      <c r="C280" s="243" t="s">
        <v>200</v>
      </c>
      <c r="D280" s="241">
        <v>3.0</v>
      </c>
      <c r="E280" s="237">
        <v>6300.0</v>
      </c>
      <c r="F280" s="237"/>
      <c r="G280" s="67"/>
      <c r="H280" s="68"/>
      <c r="I280" s="237">
        <v>2000.0</v>
      </c>
      <c r="J280" s="67"/>
      <c r="K280" s="69">
        <f t="shared" si="46"/>
        <v>0</v>
      </c>
      <c r="L280" s="67"/>
      <c r="M280" s="67"/>
      <c r="N280" s="238">
        <v>4300.0</v>
      </c>
      <c r="O280" s="267">
        <v>-500.0</v>
      </c>
      <c r="P280" s="273"/>
      <c r="Q280" s="214">
        <f t="shared" si="47"/>
        <v>5800</v>
      </c>
      <c r="R280" s="71"/>
    </row>
    <row r="281" ht="14.25" customHeight="1">
      <c r="B281" s="81"/>
      <c r="C281" s="296" t="s">
        <v>68</v>
      </c>
      <c r="D281" s="299"/>
      <c r="E281" s="294"/>
      <c r="F281" s="294"/>
      <c r="G281" s="88"/>
      <c r="H281" s="81"/>
      <c r="I281" s="294"/>
      <c r="J281" s="88"/>
      <c r="K281" s="90">
        <f t="shared" si="46"/>
        <v>0</v>
      </c>
      <c r="L281" s="88"/>
      <c r="M281" s="88"/>
      <c r="N281" s="295"/>
      <c r="O281" s="294"/>
      <c r="P281" s="323"/>
      <c r="Q281" s="194">
        <f t="shared" si="47"/>
        <v>5800</v>
      </c>
      <c r="R281" s="88"/>
    </row>
    <row r="282" ht="14.25" customHeight="1">
      <c r="B282" s="68"/>
      <c r="C282" s="243" t="s">
        <v>37</v>
      </c>
      <c r="D282" s="241">
        <v>1.0</v>
      </c>
      <c r="E282" s="237">
        <v>2800.0</v>
      </c>
      <c r="F282" s="237"/>
      <c r="G282" s="67"/>
      <c r="H282" s="68"/>
      <c r="I282" s="237">
        <v>1000.0</v>
      </c>
      <c r="J282" s="67"/>
      <c r="K282" s="69">
        <f t="shared" si="46"/>
        <v>0</v>
      </c>
      <c r="L282" s="237"/>
      <c r="M282" s="67"/>
      <c r="N282" s="238">
        <v>1800.0</v>
      </c>
      <c r="O282" s="267">
        <v>-500.0</v>
      </c>
      <c r="P282" s="273"/>
      <c r="Q282" s="214">
        <f t="shared" si="47"/>
        <v>7100</v>
      </c>
      <c r="R282" s="71"/>
    </row>
    <row r="283" ht="14.25" customHeight="1">
      <c r="B283" s="81"/>
      <c r="C283" s="296" t="s">
        <v>41</v>
      </c>
      <c r="D283" s="299"/>
      <c r="E283" s="294"/>
      <c r="F283" s="294"/>
      <c r="G283" s="88"/>
      <c r="H283" s="183"/>
      <c r="I283" s="294"/>
      <c r="J283" s="88"/>
      <c r="K283" s="90">
        <f t="shared" si="46"/>
        <v>0</v>
      </c>
      <c r="L283" s="88"/>
      <c r="M283" s="88"/>
      <c r="N283" s="295"/>
      <c r="O283" s="294"/>
      <c r="P283" s="323"/>
      <c r="Q283" s="194">
        <f t="shared" si="47"/>
        <v>7100</v>
      </c>
      <c r="R283" s="88"/>
    </row>
    <row r="284" ht="14.25" customHeight="1">
      <c r="B284" s="68"/>
      <c r="C284" s="243" t="s">
        <v>71</v>
      </c>
      <c r="D284" s="241">
        <v>2.0</v>
      </c>
      <c r="E284" s="237">
        <v>4300.0</v>
      </c>
      <c r="F284" s="237"/>
      <c r="G284" s="67"/>
      <c r="H284" s="68"/>
      <c r="I284" s="237">
        <v>1500.0</v>
      </c>
      <c r="J284" s="67"/>
      <c r="K284" s="69">
        <f t="shared" si="46"/>
        <v>0</v>
      </c>
      <c r="L284" s="67"/>
      <c r="M284" s="67"/>
      <c r="N284" s="238">
        <v>2800.0</v>
      </c>
      <c r="O284" s="267">
        <v>-500.0</v>
      </c>
      <c r="P284" s="273"/>
      <c r="Q284" s="214">
        <f t="shared" si="47"/>
        <v>9400</v>
      </c>
      <c r="R284" s="71"/>
    </row>
    <row r="285" ht="14.25" customHeight="1">
      <c r="B285" s="81"/>
      <c r="C285" s="296" t="s">
        <v>47</v>
      </c>
      <c r="D285" s="299"/>
      <c r="E285" s="294"/>
      <c r="F285" s="294"/>
      <c r="G285" s="88"/>
      <c r="H285" s="183"/>
      <c r="I285" s="294"/>
      <c r="J285" s="88"/>
      <c r="K285" s="90">
        <f t="shared" si="46"/>
        <v>0</v>
      </c>
      <c r="L285" s="88"/>
      <c r="M285" s="88"/>
      <c r="N285" s="295"/>
      <c r="O285" s="294"/>
      <c r="P285" s="323"/>
      <c r="Q285" s="194">
        <f t="shared" si="47"/>
        <v>9400</v>
      </c>
      <c r="R285" s="88"/>
    </row>
    <row r="286" ht="14.25" customHeight="1">
      <c r="B286" s="68"/>
      <c r="C286" s="243" t="s">
        <v>72</v>
      </c>
      <c r="D286" s="241">
        <v>1.0</v>
      </c>
      <c r="E286" s="237">
        <v>1800.0</v>
      </c>
      <c r="F286" s="237"/>
      <c r="G286" s="67"/>
      <c r="H286" s="68"/>
      <c r="I286" s="237"/>
      <c r="J286" s="237">
        <v>800.0</v>
      </c>
      <c r="K286" s="69">
        <f t="shared" si="46"/>
        <v>0</v>
      </c>
      <c r="L286" s="67"/>
      <c r="M286" s="67"/>
      <c r="N286" s="238">
        <v>1000.0</v>
      </c>
      <c r="O286" s="267">
        <v>-500.0</v>
      </c>
      <c r="P286" s="273">
        <v>50.0</v>
      </c>
      <c r="Q286" s="214">
        <f t="shared" si="47"/>
        <v>9950</v>
      </c>
      <c r="R286" s="267" t="s">
        <v>43</v>
      </c>
    </row>
    <row r="287" ht="14.25" customHeight="1">
      <c r="B287" s="68"/>
      <c r="C287" s="243" t="s">
        <v>73</v>
      </c>
      <c r="D287" s="241">
        <v>1.0</v>
      </c>
      <c r="E287" s="237">
        <v>2500.0</v>
      </c>
      <c r="F287" s="237">
        <v>350.0</v>
      </c>
      <c r="G287" s="67"/>
      <c r="H287" s="68"/>
      <c r="I287" s="237">
        <v>1350.0</v>
      </c>
      <c r="J287" s="67"/>
      <c r="K287" s="69">
        <f t="shared" si="46"/>
        <v>0</v>
      </c>
      <c r="L287" s="67"/>
      <c r="M287" s="67"/>
      <c r="N287" s="238">
        <v>1500.0</v>
      </c>
      <c r="O287" s="267">
        <v>-500.0</v>
      </c>
      <c r="P287" s="370"/>
      <c r="Q287" s="214">
        <f t="shared" si="47"/>
        <v>10950</v>
      </c>
      <c r="R287" s="71"/>
    </row>
    <row r="288" ht="14.25" customHeight="1">
      <c r="B288" s="68"/>
      <c r="C288" s="243" t="s">
        <v>49</v>
      </c>
      <c r="D288" s="241">
        <v>1.0</v>
      </c>
      <c r="E288" s="237">
        <v>2800.0</v>
      </c>
      <c r="F288" s="237"/>
      <c r="G288" s="67"/>
      <c r="H288" s="68"/>
      <c r="I288" s="237">
        <v>1000.0</v>
      </c>
      <c r="J288" s="67"/>
      <c r="K288" s="69">
        <f t="shared" si="46"/>
        <v>0</v>
      </c>
      <c r="L288" s="67"/>
      <c r="M288" s="67"/>
      <c r="N288" s="238">
        <v>1800.0</v>
      </c>
      <c r="O288" s="267">
        <v>-500.0</v>
      </c>
      <c r="P288" s="370"/>
      <c r="Q288" s="214">
        <f t="shared" si="47"/>
        <v>12250</v>
      </c>
      <c r="R288" s="71"/>
    </row>
    <row r="289" ht="14.25" customHeight="1">
      <c r="B289" s="68"/>
      <c r="C289" s="243" t="s">
        <v>75</v>
      </c>
      <c r="D289" s="241"/>
      <c r="E289" s="237"/>
      <c r="F289" s="237"/>
      <c r="G289" s="67"/>
      <c r="H289" s="68"/>
      <c r="I289" s="237"/>
      <c r="J289" s="67"/>
      <c r="K289" s="69">
        <f t="shared" si="46"/>
        <v>0</v>
      </c>
      <c r="L289" s="67"/>
      <c r="M289" s="67"/>
      <c r="N289" s="238"/>
      <c r="O289" s="267"/>
      <c r="P289" s="370"/>
      <c r="Q289" s="214">
        <f t="shared" si="47"/>
        <v>12250</v>
      </c>
      <c r="R289" s="71"/>
    </row>
    <row r="290" ht="14.25" customHeight="1">
      <c r="B290" s="68"/>
      <c r="C290" s="243"/>
      <c r="D290" s="241"/>
      <c r="E290" s="237"/>
      <c r="F290" s="67"/>
      <c r="G290" s="67"/>
      <c r="H290" s="68"/>
      <c r="I290" s="237"/>
      <c r="J290" s="67"/>
      <c r="K290" s="69"/>
      <c r="L290" s="67"/>
      <c r="M290" s="67"/>
      <c r="N290" s="238"/>
      <c r="O290" s="267"/>
      <c r="P290" s="273">
        <v>-4352.64</v>
      </c>
      <c r="Q290" s="390">
        <f t="shared" si="47"/>
        <v>7897.36</v>
      </c>
      <c r="R290" s="273" t="s">
        <v>59</v>
      </c>
    </row>
    <row r="291" ht="14.25" customHeight="1">
      <c r="B291" s="68"/>
      <c r="C291" s="243"/>
      <c r="D291" s="241"/>
      <c r="E291" s="237"/>
      <c r="F291" s="67"/>
      <c r="G291" s="67"/>
      <c r="H291" s="68"/>
      <c r="I291" s="237"/>
      <c r="J291" s="67"/>
      <c r="K291" s="69">
        <f t="shared" ref="K291:K292" si="48">E291-I291-L291-M291-N291-J291+F291</f>
        <v>0</v>
      </c>
      <c r="L291" s="67"/>
      <c r="M291" s="67"/>
      <c r="N291" s="238"/>
      <c r="O291" s="267"/>
      <c r="P291" s="273">
        <v>-2315.02</v>
      </c>
      <c r="Q291" s="390">
        <f t="shared" si="47"/>
        <v>5582.34</v>
      </c>
      <c r="R291" s="273" t="s">
        <v>55</v>
      </c>
    </row>
    <row r="292" ht="14.25" customHeight="1">
      <c r="B292" s="68"/>
      <c r="C292" s="243"/>
      <c r="D292" s="241"/>
      <c r="E292" s="237"/>
      <c r="F292" s="67"/>
      <c r="G292" s="67"/>
      <c r="H292" s="68"/>
      <c r="I292" s="237"/>
      <c r="J292" s="67"/>
      <c r="K292" s="69">
        <f t="shared" si="48"/>
        <v>0</v>
      </c>
      <c r="L292" s="67"/>
      <c r="M292" s="67"/>
      <c r="N292" s="238"/>
      <c r="O292" s="267"/>
      <c r="P292" s="273">
        <v>-5582.34</v>
      </c>
      <c r="Q292" s="390">
        <f t="shared" si="47"/>
        <v>0</v>
      </c>
      <c r="R292" s="273" t="s">
        <v>55</v>
      </c>
    </row>
    <row r="293" ht="14.25" customHeight="1">
      <c r="B293" s="283" t="s">
        <v>197</v>
      </c>
      <c r="C293" s="229" t="s">
        <v>66</v>
      </c>
      <c r="D293" s="228">
        <f t="shared" ref="D293:O293" si="49">sum(D270:D291)</f>
        <v>15</v>
      </c>
      <c r="E293" s="232">
        <f t="shared" si="49"/>
        <v>33782.28</v>
      </c>
      <c r="F293" s="232">
        <f t="shared" si="49"/>
        <v>1150</v>
      </c>
      <c r="G293" s="232">
        <f t="shared" si="49"/>
        <v>0</v>
      </c>
      <c r="H293" s="232">
        <f t="shared" si="49"/>
        <v>0</v>
      </c>
      <c r="I293" s="232">
        <f t="shared" si="49"/>
        <v>11250</v>
      </c>
      <c r="J293" s="232">
        <f t="shared" si="49"/>
        <v>800</v>
      </c>
      <c r="K293" s="232">
        <f t="shared" si="49"/>
        <v>0</v>
      </c>
      <c r="L293" s="232">
        <f t="shared" si="49"/>
        <v>3382.28</v>
      </c>
      <c r="M293" s="232">
        <f t="shared" si="49"/>
        <v>1800</v>
      </c>
      <c r="N293" s="232">
        <f t="shared" si="49"/>
        <v>17700</v>
      </c>
      <c r="O293" s="232">
        <f t="shared" si="49"/>
        <v>-5500</v>
      </c>
      <c r="P293" s="232">
        <f>sum(P270:P292)</f>
        <v>-12200</v>
      </c>
      <c r="Q293" s="386">
        <f>Q292</f>
        <v>0</v>
      </c>
      <c r="R293" s="234"/>
    </row>
    <row r="294" ht="14.25" customHeight="1">
      <c r="B294" s="248" t="s">
        <v>203</v>
      </c>
      <c r="C294" s="236">
        <v>45659.0</v>
      </c>
      <c r="D294" s="241">
        <v>1.0</v>
      </c>
      <c r="E294" s="237">
        <v>2300.0</v>
      </c>
      <c r="F294" s="237"/>
      <c r="G294" s="67"/>
      <c r="H294" s="68"/>
      <c r="I294" s="237">
        <v>1000.0</v>
      </c>
      <c r="J294" s="67"/>
      <c r="K294" s="69">
        <f t="shared" ref="K294:K299" si="50">E294-I294-L294-M294-N294-J294+F294</f>
        <v>0</v>
      </c>
      <c r="L294" s="67"/>
      <c r="M294" s="67"/>
      <c r="N294" s="238">
        <v>1300.0</v>
      </c>
      <c r="O294" s="267">
        <v>-500.0</v>
      </c>
      <c r="P294" s="273"/>
      <c r="Q294" s="214">
        <f t="shared" ref="Q294:Q337" si="51">Q293+N294+O294+P294</f>
        <v>800</v>
      </c>
      <c r="R294" s="71"/>
      <c r="U294" s="174" t="s">
        <v>110</v>
      </c>
      <c r="V294" s="206">
        <v>25000.0</v>
      </c>
    </row>
    <row r="295" ht="14.25" customHeight="1">
      <c r="B295" s="248"/>
      <c r="C295" s="236">
        <v>45691.0</v>
      </c>
      <c r="D295" s="241">
        <v>1.0</v>
      </c>
      <c r="E295" s="237">
        <v>2000.0</v>
      </c>
      <c r="F295" s="237"/>
      <c r="G295" s="67"/>
      <c r="H295" s="68"/>
      <c r="I295" s="237">
        <v>1000.0</v>
      </c>
      <c r="J295" s="67"/>
      <c r="K295" s="69">
        <f t="shared" si="50"/>
        <v>0</v>
      </c>
      <c r="L295" s="67"/>
      <c r="M295" s="67"/>
      <c r="N295" s="238">
        <v>1000.0</v>
      </c>
      <c r="O295" s="267">
        <v>-500.0</v>
      </c>
      <c r="P295" s="273"/>
      <c r="Q295" s="214">
        <f t="shared" si="51"/>
        <v>1300</v>
      </c>
      <c r="R295" s="71"/>
      <c r="U295" s="174" t="s">
        <v>110</v>
      </c>
      <c r="V295" s="206">
        <v>25000.0</v>
      </c>
    </row>
    <row r="296" ht="14.25" customHeight="1">
      <c r="B296" s="81"/>
      <c r="C296" s="239">
        <v>45721.0</v>
      </c>
      <c r="D296" s="299"/>
      <c r="E296" s="294"/>
      <c r="F296" s="294"/>
      <c r="G296" s="88"/>
      <c r="H296" s="81"/>
      <c r="I296" s="294"/>
      <c r="J296" s="88"/>
      <c r="K296" s="90">
        <f t="shared" si="50"/>
        <v>0</v>
      </c>
      <c r="L296" s="88"/>
      <c r="M296" s="88"/>
      <c r="N296" s="295"/>
      <c r="O296" s="294"/>
      <c r="P296" s="323"/>
      <c r="Q296" s="194">
        <f t="shared" si="51"/>
        <v>1300</v>
      </c>
      <c r="R296" s="88"/>
    </row>
    <row r="297" ht="14.25" customHeight="1">
      <c r="B297" s="68"/>
      <c r="C297" s="236">
        <v>45783.0</v>
      </c>
      <c r="D297" s="241">
        <v>1.0</v>
      </c>
      <c r="E297" s="237">
        <v>2300.0</v>
      </c>
      <c r="F297" s="237"/>
      <c r="G297" s="237"/>
      <c r="H297" s="68"/>
      <c r="I297" s="237">
        <v>530.0</v>
      </c>
      <c r="J297" s="67"/>
      <c r="K297" s="69">
        <f t="shared" si="50"/>
        <v>0</v>
      </c>
      <c r="L297" s="67"/>
      <c r="M297" s="237">
        <v>1770.0</v>
      </c>
      <c r="N297" s="238"/>
      <c r="O297" s="267">
        <v>-500.0</v>
      </c>
      <c r="P297" s="273"/>
      <c r="Q297" s="214">
        <f t="shared" si="51"/>
        <v>800</v>
      </c>
      <c r="R297" s="71"/>
    </row>
    <row r="298" ht="14.25" customHeight="1">
      <c r="B298" s="68"/>
      <c r="C298" s="236">
        <v>45815.0</v>
      </c>
      <c r="D298" s="241">
        <v>1.0</v>
      </c>
      <c r="E298" s="237">
        <v>3000.0</v>
      </c>
      <c r="F298" s="237"/>
      <c r="G298" s="237"/>
      <c r="H298" s="68"/>
      <c r="I298" s="237">
        <v>1000.0</v>
      </c>
      <c r="J298" s="67"/>
      <c r="K298" s="69">
        <f t="shared" si="50"/>
        <v>0</v>
      </c>
      <c r="L298" s="67"/>
      <c r="M298" s="237"/>
      <c r="N298" s="238">
        <v>2000.0</v>
      </c>
      <c r="O298" s="267">
        <v>-500.0</v>
      </c>
      <c r="P298" s="273"/>
      <c r="Q298" s="214">
        <f t="shared" si="51"/>
        <v>2300</v>
      </c>
      <c r="R298" s="71"/>
    </row>
    <row r="299" ht="14.25" customHeight="1">
      <c r="B299" s="68"/>
      <c r="C299" s="236">
        <v>45846.0</v>
      </c>
      <c r="D299" s="241">
        <v>1.0</v>
      </c>
      <c r="E299" s="237">
        <v>2800.0</v>
      </c>
      <c r="F299" s="237"/>
      <c r="G299" s="237"/>
      <c r="H299" s="68"/>
      <c r="I299" s="237">
        <v>1000.0</v>
      </c>
      <c r="J299" s="67"/>
      <c r="K299" s="69">
        <f t="shared" si="50"/>
        <v>0</v>
      </c>
      <c r="L299" s="67"/>
      <c r="M299" s="237"/>
      <c r="N299" s="238">
        <v>1800.0</v>
      </c>
      <c r="O299" s="267">
        <v>-500.0</v>
      </c>
      <c r="P299" s="273"/>
      <c r="Q299" s="214">
        <f t="shared" si="51"/>
        <v>3600</v>
      </c>
      <c r="R299" s="71"/>
    </row>
    <row r="300" ht="14.25" customHeight="1">
      <c r="B300" s="68"/>
      <c r="C300" s="236">
        <v>46275.0</v>
      </c>
      <c r="D300" s="241"/>
      <c r="E300" s="237"/>
      <c r="F300" s="237"/>
      <c r="G300" s="237"/>
      <c r="H300" s="68"/>
      <c r="I300" s="237"/>
      <c r="J300" s="67"/>
      <c r="K300" s="69"/>
      <c r="L300" s="67"/>
      <c r="M300" s="237"/>
      <c r="N300" s="238"/>
      <c r="O300" s="267">
        <v>-500.0</v>
      </c>
      <c r="P300" s="273"/>
      <c r="Q300" s="214">
        <f t="shared" si="51"/>
        <v>3100</v>
      </c>
      <c r="R300" s="71"/>
    </row>
    <row r="301" ht="14.25" customHeight="1">
      <c r="B301" s="81"/>
      <c r="C301" s="239">
        <v>45881.0</v>
      </c>
      <c r="D301" s="299"/>
      <c r="E301" s="294"/>
      <c r="F301" s="294"/>
      <c r="G301" s="88"/>
      <c r="H301" s="81"/>
      <c r="I301" s="294"/>
      <c r="J301" s="88"/>
      <c r="K301" s="90">
        <f t="shared" ref="K301:K314" si="52">E301-I301-L301-M301-N301-J301+F301</f>
        <v>0</v>
      </c>
      <c r="L301" s="88"/>
      <c r="M301" s="88"/>
      <c r="N301" s="295"/>
      <c r="O301" s="294"/>
      <c r="P301" s="323"/>
      <c r="Q301" s="194">
        <f t="shared" si="51"/>
        <v>3100</v>
      </c>
      <c r="R301" s="88"/>
    </row>
    <row r="302" ht="14.25" customHeight="1">
      <c r="B302" s="68"/>
      <c r="C302" s="236">
        <v>46005.0</v>
      </c>
      <c r="D302" s="241">
        <v>2.0</v>
      </c>
      <c r="E302" s="237">
        <v>5100.0</v>
      </c>
      <c r="F302" s="237"/>
      <c r="G302" s="67"/>
      <c r="H302" s="68"/>
      <c r="I302" s="237">
        <v>1500.0</v>
      </c>
      <c r="J302" s="67"/>
      <c r="K302" s="69">
        <f t="shared" si="52"/>
        <v>0</v>
      </c>
      <c r="L302" s="67"/>
      <c r="M302" s="67"/>
      <c r="N302" s="238">
        <v>3600.0</v>
      </c>
      <c r="O302" s="267">
        <v>-500.0</v>
      </c>
      <c r="P302" s="273"/>
      <c r="Q302" s="214">
        <f t="shared" si="51"/>
        <v>6200</v>
      </c>
      <c r="R302" s="71"/>
    </row>
    <row r="303" ht="14.25" customHeight="1">
      <c r="B303" s="81"/>
      <c r="C303" s="296" t="s">
        <v>29</v>
      </c>
      <c r="D303" s="299"/>
      <c r="E303" s="294"/>
      <c r="F303" s="294"/>
      <c r="G303" s="88"/>
      <c r="H303" s="81"/>
      <c r="I303" s="294"/>
      <c r="J303" s="88"/>
      <c r="K303" s="90">
        <f t="shared" si="52"/>
        <v>0</v>
      </c>
      <c r="L303" s="88"/>
      <c r="M303" s="88"/>
      <c r="N303" s="295"/>
      <c r="O303" s="294"/>
      <c r="P303" s="323"/>
      <c r="Q303" s="194">
        <f t="shared" si="51"/>
        <v>6200</v>
      </c>
      <c r="R303" s="88"/>
    </row>
    <row r="304" ht="14.25" customHeight="1">
      <c r="B304" s="68"/>
      <c r="C304" s="243" t="s">
        <v>30</v>
      </c>
      <c r="D304" s="241">
        <v>1.0</v>
      </c>
      <c r="E304" s="237">
        <v>2200.0</v>
      </c>
      <c r="F304" s="237"/>
      <c r="G304" s="67"/>
      <c r="H304" s="68"/>
      <c r="I304" s="237"/>
      <c r="J304" s="67"/>
      <c r="K304" s="69">
        <f t="shared" si="52"/>
        <v>0</v>
      </c>
      <c r="L304" s="67"/>
      <c r="M304" s="67"/>
      <c r="N304" s="238">
        <v>2200.0</v>
      </c>
      <c r="O304" s="267">
        <v>-500.0</v>
      </c>
      <c r="P304" s="273"/>
      <c r="Q304" s="214">
        <f t="shared" si="51"/>
        <v>7900</v>
      </c>
      <c r="R304" s="71"/>
    </row>
    <row r="305" ht="14.25" customHeight="1">
      <c r="B305" s="68"/>
      <c r="C305" s="243" t="s">
        <v>31</v>
      </c>
      <c r="D305" s="241">
        <v>1.0</v>
      </c>
      <c r="E305" s="237">
        <v>2300.0</v>
      </c>
      <c r="F305" s="237"/>
      <c r="G305" s="67"/>
      <c r="H305" s="68"/>
      <c r="I305" s="237">
        <v>1000.0</v>
      </c>
      <c r="J305" s="67"/>
      <c r="K305" s="69">
        <f t="shared" si="52"/>
        <v>0</v>
      </c>
      <c r="L305" s="67"/>
      <c r="M305" s="67"/>
      <c r="N305" s="238">
        <v>1300.0</v>
      </c>
      <c r="O305" s="267">
        <v>-500.0</v>
      </c>
      <c r="P305" s="273"/>
      <c r="Q305" s="214">
        <f t="shared" si="51"/>
        <v>8700</v>
      </c>
      <c r="R305" s="71"/>
    </row>
    <row r="306" ht="14.25" customHeight="1">
      <c r="B306" s="68"/>
      <c r="C306" s="243" t="s">
        <v>198</v>
      </c>
      <c r="D306" s="241">
        <v>4.0</v>
      </c>
      <c r="E306" s="237">
        <v>8658.94</v>
      </c>
      <c r="F306" s="237"/>
      <c r="G306" s="237" t="s">
        <v>42</v>
      </c>
      <c r="H306" s="68"/>
      <c r="I306" s="237"/>
      <c r="J306" s="67"/>
      <c r="K306" s="69">
        <f t="shared" si="52"/>
        <v>0</v>
      </c>
      <c r="L306" s="237">
        <v>8658.94</v>
      </c>
      <c r="M306" s="67"/>
      <c r="N306" s="238"/>
      <c r="O306" s="267">
        <v>-500.0</v>
      </c>
      <c r="P306" s="273"/>
      <c r="Q306" s="214">
        <f t="shared" si="51"/>
        <v>8200</v>
      </c>
      <c r="R306" s="71"/>
    </row>
    <row r="307" ht="14.25" customHeight="1">
      <c r="B307" s="68"/>
      <c r="C307" s="243" t="s">
        <v>68</v>
      </c>
      <c r="D307" s="241">
        <v>1.0</v>
      </c>
      <c r="E307" s="237">
        <v>2500.0</v>
      </c>
      <c r="F307" s="237"/>
      <c r="G307" s="67"/>
      <c r="H307" s="68"/>
      <c r="I307" s="237">
        <v>1000.0</v>
      </c>
      <c r="J307" s="67"/>
      <c r="K307" s="69">
        <f t="shared" si="52"/>
        <v>0</v>
      </c>
      <c r="L307" s="237"/>
      <c r="M307" s="67"/>
      <c r="N307" s="238">
        <v>1500.0</v>
      </c>
      <c r="O307" s="267">
        <v>-500.0</v>
      </c>
      <c r="P307" s="273"/>
      <c r="Q307" s="214">
        <f t="shared" si="51"/>
        <v>9200</v>
      </c>
      <c r="R307" s="71"/>
    </row>
    <row r="308" ht="14.25" customHeight="1">
      <c r="B308" s="68"/>
      <c r="C308" s="243" t="s">
        <v>70</v>
      </c>
      <c r="D308" s="241">
        <v>2.0</v>
      </c>
      <c r="E308" s="237">
        <v>4700.0</v>
      </c>
      <c r="F308" s="237"/>
      <c r="G308" s="67"/>
      <c r="H308" s="68"/>
      <c r="I308" s="237">
        <v>2000.0</v>
      </c>
      <c r="J308" s="67"/>
      <c r="K308" s="69">
        <f t="shared" si="52"/>
        <v>0</v>
      </c>
      <c r="L308" s="237"/>
      <c r="M308" s="67"/>
      <c r="N308" s="238">
        <v>2700.0</v>
      </c>
      <c r="O308" s="267">
        <v>-500.0</v>
      </c>
      <c r="P308" s="273"/>
      <c r="Q308" s="214">
        <f t="shared" si="51"/>
        <v>11400</v>
      </c>
      <c r="R308" s="71"/>
    </row>
    <row r="309" ht="14.25" customHeight="1">
      <c r="B309" s="68"/>
      <c r="C309" s="243" t="s">
        <v>71</v>
      </c>
      <c r="D309" s="241">
        <v>2.0</v>
      </c>
      <c r="E309" s="237">
        <v>6700.0</v>
      </c>
      <c r="F309" s="237"/>
      <c r="G309" s="67"/>
      <c r="H309" s="68"/>
      <c r="I309" s="237">
        <v>2000.0</v>
      </c>
      <c r="J309" s="67"/>
      <c r="K309" s="69">
        <f t="shared" si="52"/>
        <v>0</v>
      </c>
      <c r="L309" s="67"/>
      <c r="M309" s="67"/>
      <c r="N309" s="391">
        <v>4700.0</v>
      </c>
      <c r="O309" s="267">
        <v>-500.0</v>
      </c>
      <c r="P309" s="273"/>
      <c r="Q309" s="214">
        <f t="shared" si="51"/>
        <v>15600</v>
      </c>
      <c r="R309" s="71"/>
    </row>
    <row r="310" ht="14.25" customHeight="1">
      <c r="B310" s="68"/>
      <c r="C310" s="243" t="s">
        <v>47</v>
      </c>
      <c r="D310" s="241">
        <v>1.0</v>
      </c>
      <c r="E310" s="237">
        <v>2800.0</v>
      </c>
      <c r="F310" s="237"/>
      <c r="G310" s="67"/>
      <c r="H310" s="68"/>
      <c r="I310" s="237">
        <v>1000.0</v>
      </c>
      <c r="J310" s="67"/>
      <c r="K310" s="69">
        <f t="shared" si="52"/>
        <v>0</v>
      </c>
      <c r="L310" s="67"/>
      <c r="M310" s="67"/>
      <c r="N310" s="238">
        <v>1800.0</v>
      </c>
      <c r="O310" s="267">
        <v>-500.0</v>
      </c>
      <c r="P310" s="273"/>
      <c r="Q310" s="214">
        <f t="shared" si="51"/>
        <v>16900</v>
      </c>
      <c r="R310" s="71"/>
    </row>
    <row r="311" ht="14.25" customHeight="1">
      <c r="B311" s="68"/>
      <c r="C311" s="243" t="s">
        <v>72</v>
      </c>
      <c r="D311" s="241">
        <v>1.0</v>
      </c>
      <c r="E311" s="237">
        <v>3000.0</v>
      </c>
      <c r="F311" s="237"/>
      <c r="G311" s="67"/>
      <c r="H311" s="68"/>
      <c r="I311" s="237">
        <v>1000.0</v>
      </c>
      <c r="J311" s="237"/>
      <c r="K311" s="69">
        <f t="shared" si="52"/>
        <v>0</v>
      </c>
      <c r="L311" s="67"/>
      <c r="M311" s="67"/>
      <c r="N311" s="238">
        <v>2000.0</v>
      </c>
      <c r="O311" s="267">
        <v>-500.0</v>
      </c>
      <c r="P311" s="273"/>
      <c r="Q311" s="214">
        <f t="shared" si="51"/>
        <v>18400</v>
      </c>
      <c r="R311" s="267"/>
    </row>
    <row r="312" ht="14.25" customHeight="1">
      <c r="B312" s="68"/>
      <c r="C312" s="243" t="s">
        <v>88</v>
      </c>
      <c r="D312" s="241">
        <v>2.0</v>
      </c>
      <c r="E312" s="237">
        <v>4900.0</v>
      </c>
      <c r="F312" s="237"/>
      <c r="G312" s="67"/>
      <c r="H312" s="68"/>
      <c r="I312" s="237">
        <v>2000.0</v>
      </c>
      <c r="J312" s="67"/>
      <c r="K312" s="69">
        <f t="shared" si="52"/>
        <v>0</v>
      </c>
      <c r="L312" s="67"/>
      <c r="M312" s="67"/>
      <c r="N312" s="238">
        <v>2900.0</v>
      </c>
      <c r="O312" s="267">
        <v>-500.0</v>
      </c>
      <c r="P312" s="370"/>
      <c r="Q312" s="214">
        <f t="shared" si="51"/>
        <v>20800</v>
      </c>
      <c r="R312" s="71"/>
    </row>
    <row r="313" ht="14.25" customHeight="1">
      <c r="B313" s="81"/>
      <c r="C313" s="296" t="s">
        <v>50</v>
      </c>
      <c r="D313" s="299"/>
      <c r="E313" s="294"/>
      <c r="F313" s="294"/>
      <c r="G313" s="88"/>
      <c r="H313" s="81"/>
      <c r="I313" s="294"/>
      <c r="J313" s="88"/>
      <c r="K313" s="90">
        <f t="shared" si="52"/>
        <v>0</v>
      </c>
      <c r="L313" s="88"/>
      <c r="M313" s="88"/>
      <c r="N313" s="295"/>
      <c r="O313" s="294"/>
      <c r="P313" s="323"/>
      <c r="Q313" s="194">
        <f t="shared" si="51"/>
        <v>20800</v>
      </c>
      <c r="R313" s="88"/>
    </row>
    <row r="314" ht="14.25" customHeight="1">
      <c r="B314" s="68"/>
      <c r="C314" s="243" t="s">
        <v>89</v>
      </c>
      <c r="D314" s="241">
        <v>2.0</v>
      </c>
      <c r="E314" s="237">
        <v>5595.46</v>
      </c>
      <c r="F314" s="237">
        <v>1000.0</v>
      </c>
      <c r="G314" s="237" t="s">
        <v>42</v>
      </c>
      <c r="H314" s="68"/>
      <c r="I314" s="237">
        <v>500.0</v>
      </c>
      <c r="J314" s="67"/>
      <c r="K314" s="69">
        <f t="shared" si="52"/>
        <v>0</v>
      </c>
      <c r="L314" s="237">
        <v>5595.46</v>
      </c>
      <c r="M314" s="67"/>
      <c r="N314" s="238">
        <v>500.0</v>
      </c>
      <c r="O314" s="267">
        <v>-500.0</v>
      </c>
      <c r="P314" s="370"/>
      <c r="Q314" s="214">
        <f t="shared" si="51"/>
        <v>20800</v>
      </c>
      <c r="R314" s="267" t="s">
        <v>43</v>
      </c>
    </row>
    <row r="315" ht="14.25" customHeight="1">
      <c r="B315" s="68"/>
      <c r="C315" s="243"/>
      <c r="D315" s="241"/>
      <c r="E315" s="237"/>
      <c r="F315" s="67"/>
      <c r="G315" s="67"/>
      <c r="H315" s="68"/>
      <c r="I315" s="237"/>
      <c r="J315" s="67"/>
      <c r="K315" s="69"/>
      <c r="L315" s="67"/>
      <c r="M315" s="67"/>
      <c r="N315" s="238"/>
      <c r="O315" s="267"/>
      <c r="P315" s="273"/>
      <c r="Q315" s="214">
        <f t="shared" si="51"/>
        <v>20800</v>
      </c>
      <c r="R315" s="273"/>
    </row>
    <row r="316" ht="14.25" customHeight="1">
      <c r="B316" s="68"/>
      <c r="C316" s="243"/>
      <c r="D316" s="241"/>
      <c r="E316" s="237"/>
      <c r="F316" s="67"/>
      <c r="G316" s="67"/>
      <c r="H316" s="68"/>
      <c r="I316" s="237"/>
      <c r="J316" s="67"/>
      <c r="K316" s="69"/>
      <c r="L316" s="67"/>
      <c r="M316" s="67"/>
      <c r="N316" s="238"/>
      <c r="O316" s="267"/>
      <c r="P316" s="273">
        <v>-4196.8</v>
      </c>
      <c r="Q316" s="214">
        <f t="shared" si="51"/>
        <v>16603.2</v>
      </c>
      <c r="R316" s="273" t="s">
        <v>59</v>
      </c>
    </row>
    <row r="317" ht="14.25" customHeight="1">
      <c r="B317" s="68"/>
      <c r="C317" s="243"/>
      <c r="D317" s="241"/>
      <c r="E317" s="237"/>
      <c r="F317" s="67"/>
      <c r="G317" s="67"/>
      <c r="H317" s="68"/>
      <c r="I317" s="237"/>
      <c r="J317" s="67"/>
      <c r="K317" s="69">
        <f>E317-I317-L317-M317-N317-J317+F317</f>
        <v>0</v>
      </c>
      <c r="L317" s="67"/>
      <c r="M317" s="67"/>
      <c r="N317" s="238"/>
      <c r="O317" s="267"/>
      <c r="P317" s="273">
        <v>-3169.76</v>
      </c>
      <c r="Q317" s="390">
        <f t="shared" si="51"/>
        <v>13433.44</v>
      </c>
      <c r="R317" s="273" t="s">
        <v>55</v>
      </c>
    </row>
    <row r="318" ht="14.25" customHeight="1">
      <c r="B318" s="373"/>
      <c r="C318" s="374"/>
      <c r="D318" s="375"/>
      <c r="E318" s="376"/>
      <c r="F318" s="377"/>
      <c r="G318" s="377"/>
      <c r="H318" s="373"/>
      <c r="I318" s="376"/>
      <c r="J318" s="377"/>
      <c r="K318" s="344"/>
      <c r="L318" s="377"/>
      <c r="M318" s="377"/>
      <c r="N318" s="378"/>
      <c r="O318" s="225"/>
      <c r="P318" s="379">
        <v>-13433.44</v>
      </c>
      <c r="Q318" s="390">
        <f t="shared" si="51"/>
        <v>0</v>
      </c>
      <c r="R318" s="379"/>
    </row>
    <row r="319" ht="14.25" customHeight="1">
      <c r="B319" s="283" t="s">
        <v>203</v>
      </c>
      <c r="C319" s="229" t="s">
        <v>66</v>
      </c>
      <c r="D319" s="228">
        <f t="shared" ref="D319:O319" si="53">sum(D294:D317)</f>
        <v>24</v>
      </c>
      <c r="E319" s="232">
        <f t="shared" si="53"/>
        <v>60854.4</v>
      </c>
      <c r="F319" s="232">
        <f t="shared" si="53"/>
        <v>1000</v>
      </c>
      <c r="G319" s="232">
        <f t="shared" si="53"/>
        <v>0</v>
      </c>
      <c r="H319" s="232">
        <f t="shared" si="53"/>
        <v>0</v>
      </c>
      <c r="I319" s="232">
        <f t="shared" si="53"/>
        <v>16530</v>
      </c>
      <c r="J319" s="232">
        <f t="shared" si="53"/>
        <v>0</v>
      </c>
      <c r="K319" s="232">
        <f t="shared" si="53"/>
        <v>0</v>
      </c>
      <c r="L319" s="232">
        <f t="shared" si="53"/>
        <v>14254.4</v>
      </c>
      <c r="M319" s="232">
        <f t="shared" si="53"/>
        <v>1770</v>
      </c>
      <c r="N319" s="232">
        <f t="shared" si="53"/>
        <v>29300</v>
      </c>
      <c r="O319" s="232">
        <f t="shared" si="53"/>
        <v>-8500</v>
      </c>
      <c r="P319" s="232">
        <f>sum(P294:P318)</f>
        <v>-20800</v>
      </c>
      <c r="Q319" s="386">
        <f t="shared" si="51"/>
        <v>0</v>
      </c>
      <c r="R319" s="234"/>
    </row>
    <row r="320" ht="14.25" customHeight="1">
      <c r="B320" s="248" t="s">
        <v>21</v>
      </c>
      <c r="C320" s="236">
        <v>46057.0</v>
      </c>
      <c r="D320" s="241">
        <v>2.0</v>
      </c>
      <c r="E320" s="237">
        <v>5000.0</v>
      </c>
      <c r="F320" s="237"/>
      <c r="G320" s="67"/>
      <c r="H320" s="68"/>
      <c r="I320" s="237">
        <v>1500.0</v>
      </c>
      <c r="J320" s="67"/>
      <c r="K320" s="69">
        <f t="shared" ref="K320:K334" si="54">E320-I320-L320-M320-N320-J320+F320</f>
        <v>0</v>
      </c>
      <c r="L320" s="67"/>
      <c r="M320" s="67"/>
      <c r="N320" s="238">
        <v>3500.0</v>
      </c>
      <c r="O320" s="267">
        <v>-500.0</v>
      </c>
      <c r="P320" s="273"/>
      <c r="Q320" s="214">
        <f t="shared" si="51"/>
        <v>3000</v>
      </c>
      <c r="R320" s="71"/>
      <c r="U320" s="174" t="s">
        <v>110</v>
      </c>
      <c r="V320" s="206">
        <v>25000.0</v>
      </c>
    </row>
    <row r="321" ht="14.25" customHeight="1">
      <c r="B321" s="81"/>
      <c r="C321" s="239">
        <v>46118.0</v>
      </c>
      <c r="D321" s="299"/>
      <c r="E321" s="294"/>
      <c r="F321" s="294"/>
      <c r="G321" s="88"/>
      <c r="H321" s="81"/>
      <c r="I321" s="294"/>
      <c r="J321" s="88"/>
      <c r="K321" s="90">
        <f t="shared" si="54"/>
        <v>0</v>
      </c>
      <c r="L321" s="88"/>
      <c r="M321" s="88"/>
      <c r="N321" s="295"/>
      <c r="O321" s="294"/>
      <c r="P321" s="323"/>
      <c r="Q321" s="194">
        <f t="shared" si="51"/>
        <v>3000</v>
      </c>
      <c r="R321" s="88"/>
      <c r="U321" s="206" t="s">
        <v>110</v>
      </c>
      <c r="V321" s="206">
        <v>25000.0</v>
      </c>
    </row>
    <row r="322" ht="14.25" customHeight="1">
      <c r="B322" s="68"/>
      <c r="C322" s="236">
        <v>46180.0</v>
      </c>
      <c r="D322" s="241">
        <v>1.0</v>
      </c>
      <c r="E322" s="237">
        <v>2200.0</v>
      </c>
      <c r="F322" s="237"/>
      <c r="G322" s="237"/>
      <c r="H322" s="68"/>
      <c r="I322" s="237">
        <v>1000.0</v>
      </c>
      <c r="J322" s="67"/>
      <c r="K322" s="69">
        <f t="shared" si="54"/>
        <v>0</v>
      </c>
      <c r="L322" s="67"/>
      <c r="M322" s="237"/>
      <c r="N322" s="238">
        <v>1200.0</v>
      </c>
      <c r="O322" s="267">
        <v>-500.0</v>
      </c>
      <c r="P322" s="273"/>
      <c r="Q322" s="214">
        <f t="shared" si="51"/>
        <v>3700</v>
      </c>
      <c r="R322" s="71"/>
    </row>
    <row r="323" ht="14.25" customHeight="1">
      <c r="B323" s="81"/>
      <c r="C323" s="239">
        <v>46213.0</v>
      </c>
      <c r="D323" s="299"/>
      <c r="E323" s="294"/>
      <c r="F323" s="294"/>
      <c r="G323" s="88"/>
      <c r="H323" s="81"/>
      <c r="I323" s="294"/>
      <c r="J323" s="88"/>
      <c r="K323" s="90">
        <f t="shared" si="54"/>
        <v>0</v>
      </c>
      <c r="L323" s="88"/>
      <c r="M323" s="88"/>
      <c r="N323" s="295"/>
      <c r="O323" s="294"/>
      <c r="P323" s="323"/>
      <c r="Q323" s="194">
        <f t="shared" si="51"/>
        <v>3700</v>
      </c>
      <c r="R323" s="88"/>
    </row>
    <row r="324" ht="14.25" customHeight="1">
      <c r="B324" s="68"/>
      <c r="C324" s="236">
        <v>46306.0</v>
      </c>
      <c r="D324" s="241">
        <v>1.0</v>
      </c>
      <c r="E324" s="237">
        <v>2800.0</v>
      </c>
      <c r="F324" s="237">
        <v>350.0</v>
      </c>
      <c r="G324" s="67"/>
      <c r="H324" s="68"/>
      <c r="I324" s="237">
        <v>1125.0</v>
      </c>
      <c r="J324" s="67"/>
      <c r="K324" s="69">
        <f t="shared" si="54"/>
        <v>0</v>
      </c>
      <c r="L324" s="67"/>
      <c r="M324" s="67"/>
      <c r="N324" s="238">
        <v>2025.0</v>
      </c>
      <c r="O324" s="267">
        <v>-500.0</v>
      </c>
      <c r="P324" s="273"/>
      <c r="Q324" s="214">
        <f t="shared" si="51"/>
        <v>5225</v>
      </c>
      <c r="R324" s="71"/>
    </row>
    <row r="325" ht="14.25" customHeight="1">
      <c r="B325" s="81"/>
      <c r="C325" s="239">
        <v>46339.0</v>
      </c>
      <c r="D325" s="299"/>
      <c r="E325" s="294"/>
      <c r="F325" s="294"/>
      <c r="G325" s="88"/>
      <c r="H325" s="81"/>
      <c r="I325" s="294"/>
      <c r="J325" s="88"/>
      <c r="K325" s="90">
        <f t="shared" si="54"/>
        <v>0</v>
      </c>
      <c r="L325" s="88"/>
      <c r="M325" s="88"/>
      <c r="N325" s="295"/>
      <c r="O325" s="294"/>
      <c r="P325" s="323"/>
      <c r="Q325" s="194">
        <f t="shared" si="51"/>
        <v>5225</v>
      </c>
      <c r="R325" s="88"/>
    </row>
    <row r="326" ht="14.25" customHeight="1">
      <c r="B326" s="68"/>
      <c r="C326" s="243" t="s">
        <v>117</v>
      </c>
      <c r="D326" s="241">
        <v>2.0</v>
      </c>
      <c r="E326" s="237">
        <v>5200.0</v>
      </c>
      <c r="F326" s="237"/>
      <c r="G326" s="237"/>
      <c r="H326" s="68"/>
      <c r="I326" s="237">
        <v>1500.0</v>
      </c>
      <c r="J326" s="67"/>
      <c r="K326" s="69">
        <f t="shared" si="54"/>
        <v>0</v>
      </c>
      <c r="L326" s="67"/>
      <c r="M326" s="237">
        <v>3700.0</v>
      </c>
      <c r="N326" s="238"/>
      <c r="O326" s="267">
        <v>-500.0</v>
      </c>
      <c r="P326" s="273"/>
      <c r="Q326" s="214">
        <f t="shared" si="51"/>
        <v>4725</v>
      </c>
      <c r="R326" s="71"/>
    </row>
    <row r="327" ht="14.25" customHeight="1">
      <c r="B327" s="81"/>
      <c r="C327" s="296" t="s">
        <v>54</v>
      </c>
      <c r="D327" s="299"/>
      <c r="E327" s="294"/>
      <c r="F327" s="294"/>
      <c r="G327" s="88"/>
      <c r="H327" s="81"/>
      <c r="I327" s="294"/>
      <c r="J327" s="88"/>
      <c r="K327" s="90">
        <f t="shared" si="54"/>
        <v>0</v>
      </c>
      <c r="L327" s="88"/>
      <c r="M327" s="88"/>
      <c r="N327" s="295"/>
      <c r="O327" s="294"/>
      <c r="P327" s="323"/>
      <c r="Q327" s="194">
        <f t="shared" si="51"/>
        <v>4725</v>
      </c>
      <c r="R327" s="88"/>
    </row>
    <row r="328" ht="14.25" customHeight="1">
      <c r="B328" s="68"/>
      <c r="C328" s="243" t="s">
        <v>32</v>
      </c>
      <c r="D328" s="241">
        <v>1.0</v>
      </c>
      <c r="E328" s="237">
        <v>3150.0</v>
      </c>
      <c r="F328" s="237"/>
      <c r="G328" s="67"/>
      <c r="H328" s="68"/>
      <c r="I328" s="237">
        <v>1000.0</v>
      </c>
      <c r="J328" s="67"/>
      <c r="K328" s="69">
        <f t="shared" si="54"/>
        <v>0</v>
      </c>
      <c r="L328" s="67"/>
      <c r="M328" s="67"/>
      <c r="N328" s="238">
        <v>2150.0</v>
      </c>
      <c r="O328" s="267">
        <v>-500.0</v>
      </c>
      <c r="P328" s="273"/>
      <c r="Q328" s="214">
        <f t="shared" si="51"/>
        <v>6375</v>
      </c>
      <c r="R328" s="71"/>
    </row>
    <row r="329" ht="14.25" customHeight="1">
      <c r="B329" s="81"/>
      <c r="C329" s="296" t="s">
        <v>212</v>
      </c>
      <c r="D329" s="299"/>
      <c r="E329" s="294"/>
      <c r="F329" s="294"/>
      <c r="G329" s="88"/>
      <c r="H329" s="81"/>
      <c r="I329" s="294"/>
      <c r="J329" s="88"/>
      <c r="K329" s="90">
        <f t="shared" si="54"/>
        <v>0</v>
      </c>
      <c r="L329" s="88"/>
      <c r="M329" s="88"/>
      <c r="N329" s="295"/>
      <c r="O329" s="294"/>
      <c r="P329" s="323"/>
      <c r="Q329" s="194">
        <f t="shared" si="51"/>
        <v>6375</v>
      </c>
      <c r="R329" s="88"/>
    </row>
    <row r="330" ht="14.25" customHeight="1">
      <c r="B330" s="68"/>
      <c r="C330" s="243" t="s">
        <v>44</v>
      </c>
      <c r="D330" s="241">
        <v>1.0</v>
      </c>
      <c r="E330" s="237">
        <v>2800.0</v>
      </c>
      <c r="F330" s="237">
        <v>350.0</v>
      </c>
      <c r="G330" s="67"/>
      <c r="H330" s="68"/>
      <c r="I330" s="237">
        <v>1175.0</v>
      </c>
      <c r="J330" s="67"/>
      <c r="K330" s="69">
        <f t="shared" si="54"/>
        <v>0</v>
      </c>
      <c r="L330" s="67"/>
      <c r="M330" s="67"/>
      <c r="N330" s="238">
        <v>1975.0</v>
      </c>
      <c r="O330" s="267">
        <v>-500.0</v>
      </c>
      <c r="P330" s="273"/>
      <c r="Q330" s="214">
        <f t="shared" si="51"/>
        <v>7850</v>
      </c>
      <c r="R330" s="71"/>
    </row>
    <row r="331" ht="14.25" customHeight="1">
      <c r="B331" s="81"/>
      <c r="C331" s="296" t="s">
        <v>47</v>
      </c>
      <c r="D331" s="299"/>
      <c r="E331" s="294"/>
      <c r="F331" s="294"/>
      <c r="G331" s="88"/>
      <c r="H331" s="81"/>
      <c r="I331" s="294"/>
      <c r="J331" s="88"/>
      <c r="K331" s="90">
        <f t="shared" si="54"/>
        <v>0</v>
      </c>
      <c r="L331" s="88"/>
      <c r="M331" s="88"/>
      <c r="N331" s="295"/>
      <c r="O331" s="294"/>
      <c r="P331" s="323"/>
      <c r="Q331" s="194">
        <f t="shared" si="51"/>
        <v>7850</v>
      </c>
      <c r="R331" s="88"/>
    </row>
    <row r="332" ht="14.25" customHeight="1">
      <c r="B332" s="68"/>
      <c r="C332" s="243" t="s">
        <v>48</v>
      </c>
      <c r="D332" s="241">
        <v>2.0</v>
      </c>
      <c r="E332" s="237">
        <v>4000.0</v>
      </c>
      <c r="F332" s="237"/>
      <c r="G332" s="237"/>
      <c r="H332" s="68"/>
      <c r="I332" s="237">
        <v>1500.0</v>
      </c>
      <c r="J332" s="67"/>
      <c r="K332" s="69">
        <f t="shared" si="54"/>
        <v>0</v>
      </c>
      <c r="L332" s="237"/>
      <c r="M332" s="67"/>
      <c r="N332" s="238">
        <v>2500.0</v>
      </c>
      <c r="O332" s="267">
        <v>-500.0</v>
      </c>
      <c r="P332" s="273"/>
      <c r="Q332" s="214">
        <f t="shared" si="51"/>
        <v>9850</v>
      </c>
      <c r="R332" s="71"/>
    </row>
    <row r="333" ht="14.25" customHeight="1">
      <c r="B333" s="81"/>
      <c r="C333" s="296" t="s">
        <v>137</v>
      </c>
      <c r="D333" s="299"/>
      <c r="E333" s="294"/>
      <c r="F333" s="294"/>
      <c r="G333" s="88"/>
      <c r="H333" s="81"/>
      <c r="I333" s="294"/>
      <c r="J333" s="88"/>
      <c r="K333" s="90">
        <f t="shared" si="54"/>
        <v>0</v>
      </c>
      <c r="L333" s="88"/>
      <c r="M333" s="88"/>
      <c r="N333" s="295"/>
      <c r="O333" s="294"/>
      <c r="P333" s="323"/>
      <c r="Q333" s="194">
        <f t="shared" si="51"/>
        <v>9850</v>
      </c>
      <c r="R333" s="88"/>
    </row>
    <row r="334" ht="14.25" customHeight="1">
      <c r="B334" s="68"/>
      <c r="C334" s="243" t="s">
        <v>52</v>
      </c>
      <c r="D334" s="241">
        <v>1.0</v>
      </c>
      <c r="E334" s="237">
        <v>2800.0</v>
      </c>
      <c r="F334" s="237"/>
      <c r="G334" s="67"/>
      <c r="H334" s="68"/>
      <c r="I334" s="237">
        <v>1000.0</v>
      </c>
      <c r="J334" s="67"/>
      <c r="K334" s="69">
        <f t="shared" si="54"/>
        <v>0</v>
      </c>
      <c r="L334" s="237"/>
      <c r="M334" s="67"/>
      <c r="N334" s="238">
        <v>1800.0</v>
      </c>
      <c r="O334" s="267">
        <v>-500.0</v>
      </c>
      <c r="P334" s="273"/>
      <c r="Q334" s="214">
        <f t="shared" si="51"/>
        <v>11150</v>
      </c>
      <c r="R334" s="71"/>
    </row>
    <row r="335" ht="14.25" customHeight="1">
      <c r="B335" s="68"/>
      <c r="C335" s="243"/>
      <c r="D335" s="241"/>
      <c r="E335" s="237"/>
      <c r="F335" s="67"/>
      <c r="G335" s="67"/>
      <c r="H335" s="68"/>
      <c r="I335" s="237"/>
      <c r="J335" s="67"/>
      <c r="K335" s="69"/>
      <c r="L335" s="67"/>
      <c r="M335" s="67"/>
      <c r="N335" s="238"/>
      <c r="O335" s="267"/>
      <c r="P335" s="273">
        <v>-5357.08</v>
      </c>
      <c r="Q335" s="214">
        <f t="shared" si="51"/>
        <v>5792.92</v>
      </c>
      <c r="R335" s="273" t="s">
        <v>59</v>
      </c>
    </row>
    <row r="336" ht="14.25" customHeight="1">
      <c r="B336" s="68"/>
      <c r="C336" s="243"/>
      <c r="D336" s="241"/>
      <c r="E336" s="237"/>
      <c r="F336" s="67"/>
      <c r="G336" s="67"/>
      <c r="H336" s="68"/>
      <c r="I336" s="237"/>
      <c r="J336" s="67"/>
      <c r="K336" s="69"/>
      <c r="L336" s="67"/>
      <c r="M336" s="67"/>
      <c r="N336" s="238"/>
      <c r="O336" s="267"/>
      <c r="P336" s="273"/>
      <c r="Q336" s="214">
        <f t="shared" si="51"/>
        <v>5792.92</v>
      </c>
      <c r="R336" s="273" t="s">
        <v>55</v>
      </c>
    </row>
    <row r="337" ht="14.25" customHeight="1">
      <c r="B337" s="68"/>
      <c r="C337" s="243"/>
      <c r="D337" s="241"/>
      <c r="E337" s="237"/>
      <c r="F337" s="67"/>
      <c r="G337" s="67"/>
      <c r="H337" s="68"/>
      <c r="I337" s="237"/>
      <c r="J337" s="67"/>
      <c r="K337" s="69">
        <f>E337-I337-L337-M337-N337-J337+F337</f>
        <v>0</v>
      </c>
      <c r="L337" s="67"/>
      <c r="M337" s="67"/>
      <c r="N337" s="238"/>
      <c r="O337" s="267"/>
      <c r="P337" s="273">
        <v>-5792.92</v>
      </c>
      <c r="Q337" s="214">
        <f t="shared" si="51"/>
        <v>0</v>
      </c>
      <c r="R337" s="273"/>
    </row>
    <row r="338" ht="14.25" customHeight="1">
      <c r="B338" s="283" t="s">
        <v>21</v>
      </c>
      <c r="C338" s="229" t="s">
        <v>66</v>
      </c>
      <c r="D338" s="228">
        <f t="shared" ref="D338:P338" si="55">sum(D320:D337)</f>
        <v>11</v>
      </c>
      <c r="E338" s="232">
        <f t="shared" si="55"/>
        <v>27950</v>
      </c>
      <c r="F338" s="232">
        <f t="shared" si="55"/>
        <v>700</v>
      </c>
      <c r="G338" s="232">
        <f t="shared" si="55"/>
        <v>0</v>
      </c>
      <c r="H338" s="232">
        <f t="shared" si="55"/>
        <v>0</v>
      </c>
      <c r="I338" s="232">
        <f t="shared" si="55"/>
        <v>9800</v>
      </c>
      <c r="J338" s="232">
        <f t="shared" si="55"/>
        <v>0</v>
      </c>
      <c r="K338" s="232">
        <f t="shared" si="55"/>
        <v>0</v>
      </c>
      <c r="L338" s="232">
        <f t="shared" si="55"/>
        <v>0</v>
      </c>
      <c r="M338" s="232">
        <f t="shared" si="55"/>
        <v>3700</v>
      </c>
      <c r="N338" s="232">
        <f t="shared" si="55"/>
        <v>15150</v>
      </c>
      <c r="O338" s="232">
        <f t="shared" si="55"/>
        <v>-4000</v>
      </c>
      <c r="P338" s="232">
        <f t="shared" si="55"/>
        <v>-11150</v>
      </c>
      <c r="Q338" s="386">
        <f>Q337</f>
        <v>0</v>
      </c>
      <c r="R338" s="234"/>
    </row>
    <row r="339" ht="14.25" customHeight="1">
      <c r="B339" s="81" t="s">
        <v>38</v>
      </c>
      <c r="C339" s="239">
        <v>46057.0</v>
      </c>
      <c r="D339" s="299"/>
      <c r="E339" s="294"/>
      <c r="F339" s="294"/>
      <c r="G339" s="88"/>
      <c r="H339" s="81"/>
      <c r="I339" s="294"/>
      <c r="J339" s="88"/>
      <c r="K339" s="90">
        <f t="shared" ref="K339:K356" si="56">E339-I339-L339-M339-N339-J339+F339</f>
        <v>0</v>
      </c>
      <c r="L339" s="88"/>
      <c r="M339" s="88"/>
      <c r="N339" s="295"/>
      <c r="O339" s="294"/>
      <c r="P339" s="323"/>
      <c r="Q339" s="194">
        <f t="shared" ref="Q339:Q359" si="57">Q338+N339+O339+P339</f>
        <v>0</v>
      </c>
      <c r="R339" s="88"/>
      <c r="U339" s="206" t="s">
        <v>110</v>
      </c>
      <c r="V339" s="206">
        <v>25000.0</v>
      </c>
    </row>
    <row r="340" ht="14.25" customHeight="1">
      <c r="B340" s="68"/>
      <c r="C340" s="236">
        <v>46086.0</v>
      </c>
      <c r="D340" s="241">
        <v>2.0</v>
      </c>
      <c r="E340" s="237">
        <v>3276.1</v>
      </c>
      <c r="F340" s="237"/>
      <c r="G340" s="237"/>
      <c r="H340" s="248" t="s">
        <v>42</v>
      </c>
      <c r="I340" s="237"/>
      <c r="J340" s="67"/>
      <c r="K340" s="69">
        <f t="shared" si="56"/>
        <v>0</v>
      </c>
      <c r="L340" s="237">
        <v>3276.1</v>
      </c>
      <c r="M340" s="237"/>
      <c r="N340" s="238"/>
      <c r="O340" s="267">
        <v>-500.0</v>
      </c>
      <c r="P340" s="273"/>
      <c r="Q340" s="214">
        <f t="shared" si="57"/>
        <v>-500</v>
      </c>
      <c r="R340" s="71"/>
      <c r="U340" s="206" t="s">
        <v>110</v>
      </c>
      <c r="V340" s="206">
        <v>25000.0</v>
      </c>
    </row>
    <row r="341" ht="14.25" customHeight="1">
      <c r="B341" s="81"/>
      <c r="C341" s="239">
        <v>46149.0</v>
      </c>
      <c r="D341" s="299"/>
      <c r="E341" s="294"/>
      <c r="F341" s="294"/>
      <c r="G341" s="88"/>
      <c r="H341" s="81"/>
      <c r="I341" s="294"/>
      <c r="J341" s="88"/>
      <c r="K341" s="90">
        <f t="shared" si="56"/>
        <v>0</v>
      </c>
      <c r="L341" s="88"/>
      <c r="M341" s="88"/>
      <c r="N341" s="295"/>
      <c r="O341" s="294"/>
      <c r="P341" s="323"/>
      <c r="Q341" s="194">
        <f t="shared" si="57"/>
        <v>-500</v>
      </c>
      <c r="R341" s="88"/>
    </row>
    <row r="342" ht="14.25" customHeight="1">
      <c r="B342" s="68"/>
      <c r="C342" s="236">
        <v>46211.0</v>
      </c>
      <c r="D342" s="241">
        <v>1.0</v>
      </c>
      <c r="E342" s="237">
        <v>3000.0</v>
      </c>
      <c r="F342" s="237"/>
      <c r="G342" s="67"/>
      <c r="H342" s="68"/>
      <c r="I342" s="237">
        <v>1000.0</v>
      </c>
      <c r="J342" s="67"/>
      <c r="K342" s="69">
        <f t="shared" si="56"/>
        <v>0</v>
      </c>
      <c r="L342" s="67"/>
      <c r="M342" s="67"/>
      <c r="N342" s="238">
        <v>2000.0</v>
      </c>
      <c r="O342" s="267">
        <v>-500.0</v>
      </c>
      <c r="P342" s="273"/>
      <c r="Q342" s="214">
        <f t="shared" si="57"/>
        <v>1000</v>
      </c>
      <c r="R342" s="71"/>
    </row>
    <row r="343" ht="14.25" customHeight="1">
      <c r="B343" s="81"/>
      <c r="C343" s="239">
        <v>46244.0</v>
      </c>
      <c r="D343" s="299"/>
      <c r="E343" s="294"/>
      <c r="F343" s="294"/>
      <c r="G343" s="88"/>
      <c r="H343" s="81"/>
      <c r="I343" s="294"/>
      <c r="J343" s="88"/>
      <c r="K343" s="90">
        <f t="shared" si="56"/>
        <v>0</v>
      </c>
      <c r="L343" s="88"/>
      <c r="M343" s="88"/>
      <c r="N343" s="295"/>
      <c r="O343" s="294"/>
      <c r="P343" s="323"/>
      <c r="Q343" s="194">
        <f t="shared" si="57"/>
        <v>1000</v>
      </c>
      <c r="R343" s="88"/>
    </row>
    <row r="344" ht="14.25" customHeight="1">
      <c r="B344" s="68"/>
      <c r="C344" s="236">
        <v>46307.0</v>
      </c>
      <c r="D344" s="241">
        <v>2.0</v>
      </c>
      <c r="E344" s="237">
        <v>3276.02</v>
      </c>
      <c r="F344" s="237"/>
      <c r="G344" s="237"/>
      <c r="H344" s="248" t="s">
        <v>42</v>
      </c>
      <c r="I344" s="237"/>
      <c r="J344" s="67"/>
      <c r="K344" s="69">
        <f t="shared" si="56"/>
        <v>0</v>
      </c>
      <c r="L344" s="237">
        <v>3276.02</v>
      </c>
      <c r="M344" s="237"/>
      <c r="N344" s="238"/>
      <c r="O344" s="267">
        <v>-500.0</v>
      </c>
      <c r="P344" s="273"/>
      <c r="Q344" s="214">
        <f t="shared" si="57"/>
        <v>500</v>
      </c>
      <c r="R344" s="71"/>
    </row>
    <row r="345" ht="14.25" customHeight="1">
      <c r="B345" s="81"/>
      <c r="C345" s="239">
        <v>46369.0</v>
      </c>
      <c r="D345" s="299"/>
      <c r="E345" s="294"/>
      <c r="F345" s="294"/>
      <c r="G345" s="88"/>
      <c r="H345" s="81"/>
      <c r="I345" s="294"/>
      <c r="J345" s="88"/>
      <c r="K345" s="90">
        <f t="shared" si="56"/>
        <v>0</v>
      </c>
      <c r="L345" s="88"/>
      <c r="M345" s="88"/>
      <c r="N345" s="295"/>
      <c r="O345" s="294"/>
      <c r="P345" s="323"/>
      <c r="Q345" s="194">
        <f t="shared" si="57"/>
        <v>500</v>
      </c>
      <c r="R345" s="88"/>
    </row>
    <row r="346" ht="14.25" customHeight="1">
      <c r="B346" s="68"/>
      <c r="C346" s="243" t="s">
        <v>46</v>
      </c>
      <c r="D346" s="241">
        <v>1.0</v>
      </c>
      <c r="E346" s="237">
        <v>2500.0</v>
      </c>
      <c r="F346" s="237"/>
      <c r="G346" s="67"/>
      <c r="H346" s="68"/>
      <c r="I346" s="237">
        <v>1000.0</v>
      </c>
      <c r="J346" s="67"/>
      <c r="K346" s="69">
        <f t="shared" si="56"/>
        <v>0</v>
      </c>
      <c r="L346" s="67"/>
      <c r="M346" s="67"/>
      <c r="N346" s="238">
        <v>1500.0</v>
      </c>
      <c r="O346" s="267">
        <v>-500.0</v>
      </c>
      <c r="P346" s="273"/>
      <c r="Q346" s="214">
        <f t="shared" si="57"/>
        <v>1500</v>
      </c>
      <c r="R346" s="71"/>
    </row>
    <row r="347" ht="14.25" customHeight="1">
      <c r="B347" s="68"/>
      <c r="C347" s="243" t="s">
        <v>29</v>
      </c>
      <c r="D347" s="241">
        <v>1.0</v>
      </c>
      <c r="E347" s="237">
        <v>3150.0</v>
      </c>
      <c r="F347" s="237"/>
      <c r="G347" s="67"/>
      <c r="H347" s="68"/>
      <c r="I347" s="237">
        <v>1000.0</v>
      </c>
      <c r="J347" s="67"/>
      <c r="K347" s="69">
        <f t="shared" si="56"/>
        <v>0</v>
      </c>
      <c r="L347" s="67"/>
      <c r="M347" s="67"/>
      <c r="N347" s="238">
        <v>2150.0</v>
      </c>
      <c r="O347" s="267">
        <v>-500.0</v>
      </c>
      <c r="P347" s="273"/>
      <c r="Q347" s="214">
        <f t="shared" si="57"/>
        <v>3150</v>
      </c>
      <c r="R347" s="71"/>
    </row>
    <row r="348" ht="14.25" customHeight="1">
      <c r="B348" s="68"/>
      <c r="C348" s="243" t="s">
        <v>30</v>
      </c>
      <c r="D348" s="241">
        <v>1.0</v>
      </c>
      <c r="E348" s="237">
        <v>2300.0</v>
      </c>
      <c r="F348" s="237"/>
      <c r="G348" s="67"/>
      <c r="H348" s="68"/>
      <c r="I348" s="237">
        <v>1000.0</v>
      </c>
      <c r="J348" s="67"/>
      <c r="K348" s="69">
        <f t="shared" si="56"/>
        <v>0</v>
      </c>
      <c r="L348" s="67"/>
      <c r="M348" s="67"/>
      <c r="N348" s="238">
        <v>1300.0</v>
      </c>
      <c r="O348" s="267">
        <v>-500.0</v>
      </c>
      <c r="P348" s="273"/>
      <c r="Q348" s="214">
        <f t="shared" si="57"/>
        <v>3950</v>
      </c>
      <c r="R348" s="71"/>
    </row>
    <row r="349" ht="14.25" customHeight="1">
      <c r="B349" s="68"/>
      <c r="C349" s="243" t="s">
        <v>102</v>
      </c>
      <c r="D349" s="241">
        <v>2.0</v>
      </c>
      <c r="E349" s="237">
        <v>3900.0</v>
      </c>
      <c r="F349" s="237"/>
      <c r="G349" s="67"/>
      <c r="H349" s="68"/>
      <c r="I349" s="237">
        <v>1500.0</v>
      </c>
      <c r="J349" s="67"/>
      <c r="K349" s="69">
        <f t="shared" si="56"/>
        <v>0</v>
      </c>
      <c r="L349" s="67"/>
      <c r="M349" s="67"/>
      <c r="N349" s="238">
        <v>2400.0</v>
      </c>
      <c r="O349" s="267">
        <v>-500.0</v>
      </c>
      <c r="P349" s="273"/>
      <c r="Q349" s="214">
        <f t="shared" si="57"/>
        <v>5850</v>
      </c>
      <c r="R349" s="71"/>
    </row>
    <row r="350" ht="14.25" customHeight="1">
      <c r="B350" s="81"/>
      <c r="C350" s="296" t="s">
        <v>120</v>
      </c>
      <c r="D350" s="299"/>
      <c r="E350" s="294"/>
      <c r="F350" s="294"/>
      <c r="G350" s="88"/>
      <c r="H350" s="81"/>
      <c r="I350" s="294"/>
      <c r="J350" s="88"/>
      <c r="K350" s="90">
        <f t="shared" si="56"/>
        <v>0</v>
      </c>
      <c r="L350" s="88"/>
      <c r="M350" s="88"/>
      <c r="N350" s="295"/>
      <c r="O350" s="294"/>
      <c r="P350" s="323"/>
      <c r="Q350" s="194">
        <f t="shared" si="57"/>
        <v>5850</v>
      </c>
      <c r="R350" s="88"/>
    </row>
    <row r="351" ht="14.25" customHeight="1">
      <c r="B351" s="68"/>
      <c r="C351" s="243" t="s">
        <v>69</v>
      </c>
      <c r="D351" s="241">
        <v>2.0</v>
      </c>
      <c r="E351" s="237">
        <v>2300.0</v>
      </c>
      <c r="F351" s="237">
        <v>350.0</v>
      </c>
      <c r="G351" s="237"/>
      <c r="H351" s="68"/>
      <c r="I351" s="237">
        <v>1175.0</v>
      </c>
      <c r="J351" s="67"/>
      <c r="K351" s="69">
        <f t="shared" si="56"/>
        <v>0</v>
      </c>
      <c r="L351" s="237"/>
      <c r="M351" s="67"/>
      <c r="N351" s="238">
        <v>1475.0</v>
      </c>
      <c r="O351" s="267">
        <v>-500.0</v>
      </c>
      <c r="P351" s="273"/>
      <c r="Q351" s="214">
        <f t="shared" si="57"/>
        <v>6825</v>
      </c>
      <c r="R351" s="71"/>
    </row>
    <row r="352" ht="14.25" customHeight="1">
      <c r="B352" s="68"/>
      <c r="C352" s="243" t="s">
        <v>68</v>
      </c>
      <c r="D352" s="241">
        <v>1.0</v>
      </c>
      <c r="E352" s="237">
        <v>2800.0</v>
      </c>
      <c r="F352" s="237"/>
      <c r="G352" s="67"/>
      <c r="H352" s="68"/>
      <c r="I352" s="237">
        <v>1000.0</v>
      </c>
      <c r="J352" s="67"/>
      <c r="K352" s="69">
        <f t="shared" si="56"/>
        <v>0</v>
      </c>
      <c r="L352" s="237"/>
      <c r="M352" s="67"/>
      <c r="N352" s="238">
        <v>1800.0</v>
      </c>
      <c r="O352" s="267">
        <v>-500.0</v>
      </c>
      <c r="P352" s="273"/>
      <c r="Q352" s="214">
        <f t="shared" si="57"/>
        <v>8125</v>
      </c>
      <c r="R352" s="71"/>
    </row>
    <row r="353" ht="14.25" customHeight="1">
      <c r="B353" s="81"/>
      <c r="C353" s="296" t="s">
        <v>37</v>
      </c>
      <c r="D353" s="299"/>
      <c r="E353" s="294"/>
      <c r="F353" s="294"/>
      <c r="G353" s="88"/>
      <c r="H353" s="81"/>
      <c r="I353" s="294"/>
      <c r="J353" s="88"/>
      <c r="K353" s="90">
        <f t="shared" si="56"/>
        <v>0</v>
      </c>
      <c r="L353" s="88"/>
      <c r="M353" s="88"/>
      <c r="N353" s="295"/>
      <c r="O353" s="294"/>
      <c r="P353" s="323"/>
      <c r="Q353" s="194">
        <f t="shared" si="57"/>
        <v>8125</v>
      </c>
      <c r="R353" s="88"/>
    </row>
    <row r="354" ht="14.25" customHeight="1">
      <c r="B354" s="68"/>
      <c r="C354" s="243" t="s">
        <v>41</v>
      </c>
      <c r="D354" s="241">
        <v>1.0</v>
      </c>
      <c r="E354" s="237">
        <v>2800.0</v>
      </c>
      <c r="F354" s="67"/>
      <c r="G354" s="67"/>
      <c r="H354" s="68"/>
      <c r="I354" s="237">
        <v>1000.0</v>
      </c>
      <c r="J354" s="67"/>
      <c r="K354" s="69">
        <f t="shared" si="56"/>
        <v>0</v>
      </c>
      <c r="L354" s="67"/>
      <c r="M354" s="67"/>
      <c r="N354" s="238">
        <v>1800.0</v>
      </c>
      <c r="O354" s="267">
        <v>-500.0</v>
      </c>
      <c r="P354" s="273"/>
      <c r="Q354" s="214">
        <f t="shared" si="57"/>
        <v>9425</v>
      </c>
      <c r="R354" s="273"/>
    </row>
    <row r="355" ht="14.25" customHeight="1">
      <c r="B355" s="81"/>
      <c r="C355" s="296" t="s">
        <v>216</v>
      </c>
      <c r="D355" s="299"/>
      <c r="E355" s="294"/>
      <c r="F355" s="294"/>
      <c r="G355" s="88"/>
      <c r="H355" s="81"/>
      <c r="I355" s="294"/>
      <c r="J355" s="88"/>
      <c r="K355" s="90">
        <f t="shared" si="56"/>
        <v>0</v>
      </c>
      <c r="L355" s="88"/>
      <c r="M355" s="88"/>
      <c r="N355" s="295"/>
      <c r="O355" s="294"/>
      <c r="P355" s="323"/>
      <c r="Q355" s="194">
        <f t="shared" si="57"/>
        <v>9425</v>
      </c>
      <c r="R355" s="88"/>
    </row>
    <row r="356" ht="14.25" customHeight="1">
      <c r="B356" s="68"/>
      <c r="C356" s="243" t="s">
        <v>74</v>
      </c>
      <c r="D356" s="241">
        <v>1.0</v>
      </c>
      <c r="E356" s="237">
        <v>2700.0</v>
      </c>
      <c r="F356" s="67"/>
      <c r="G356" s="67"/>
      <c r="H356" s="68"/>
      <c r="I356" s="237">
        <v>1000.0</v>
      </c>
      <c r="J356" s="67"/>
      <c r="K356" s="69">
        <f t="shared" si="56"/>
        <v>0</v>
      </c>
      <c r="L356" s="67"/>
      <c r="M356" s="67"/>
      <c r="N356" s="238">
        <v>1700.0</v>
      </c>
      <c r="O356" s="267">
        <v>-500.0</v>
      </c>
      <c r="P356" s="273"/>
      <c r="Q356" s="214">
        <f t="shared" si="57"/>
        <v>10625</v>
      </c>
      <c r="R356" s="273"/>
    </row>
    <row r="357" ht="14.25" customHeight="1">
      <c r="B357" s="68"/>
      <c r="C357" s="243"/>
      <c r="D357" s="241"/>
      <c r="E357" s="237"/>
      <c r="F357" s="67"/>
      <c r="G357" s="67"/>
      <c r="H357" s="68"/>
      <c r="I357" s="237"/>
      <c r="J357" s="67"/>
      <c r="K357" s="69"/>
      <c r="L357" s="67"/>
      <c r="M357" s="67"/>
      <c r="N357" s="238"/>
      <c r="O357" s="267"/>
      <c r="P357" s="273"/>
      <c r="Q357" s="214">
        <f t="shared" si="57"/>
        <v>10625</v>
      </c>
      <c r="R357" s="273" t="s">
        <v>59</v>
      </c>
    </row>
    <row r="358" ht="14.25" customHeight="1">
      <c r="B358" s="68"/>
      <c r="C358" s="243"/>
      <c r="D358" s="241"/>
      <c r="E358" s="237"/>
      <c r="F358" s="67"/>
      <c r="G358" s="67"/>
      <c r="H358" s="68"/>
      <c r="I358" s="237"/>
      <c r="J358" s="67"/>
      <c r="K358" s="69"/>
      <c r="L358" s="67"/>
      <c r="M358" s="67"/>
      <c r="N358" s="238"/>
      <c r="O358" s="267"/>
      <c r="P358" s="273"/>
      <c r="Q358" s="214">
        <f t="shared" si="57"/>
        <v>10625</v>
      </c>
      <c r="R358" s="273" t="s">
        <v>55</v>
      </c>
    </row>
    <row r="359" ht="14.25" customHeight="1">
      <c r="B359" s="68"/>
      <c r="C359" s="243"/>
      <c r="D359" s="241"/>
      <c r="E359" s="237"/>
      <c r="F359" s="67"/>
      <c r="G359" s="67"/>
      <c r="H359" s="68"/>
      <c r="I359" s="237"/>
      <c r="J359" s="67"/>
      <c r="K359" s="69">
        <f>E359-I359-L359-M359-N359-J359+F359</f>
        <v>0</v>
      </c>
      <c r="L359" s="67"/>
      <c r="M359" s="67"/>
      <c r="N359" s="238"/>
      <c r="O359" s="267"/>
      <c r="P359" s="273">
        <v>-10625.0</v>
      </c>
      <c r="Q359" s="214">
        <f t="shared" si="57"/>
        <v>0</v>
      </c>
      <c r="R359" s="273"/>
    </row>
    <row r="360" ht="14.25" customHeight="1">
      <c r="B360" s="283" t="s">
        <v>38</v>
      </c>
      <c r="C360" s="229" t="s">
        <v>66</v>
      </c>
      <c r="D360" s="228">
        <f t="shared" ref="D360:P360" si="58">sum(D339:D359)</f>
        <v>15</v>
      </c>
      <c r="E360" s="232">
        <f t="shared" si="58"/>
        <v>32002.12</v>
      </c>
      <c r="F360" s="232">
        <f t="shared" si="58"/>
        <v>350</v>
      </c>
      <c r="G360" s="232">
        <f t="shared" si="58"/>
        <v>0</v>
      </c>
      <c r="H360" s="232">
        <f t="shared" si="58"/>
        <v>0</v>
      </c>
      <c r="I360" s="232">
        <f t="shared" si="58"/>
        <v>9675</v>
      </c>
      <c r="J360" s="232">
        <f t="shared" si="58"/>
        <v>0</v>
      </c>
      <c r="K360" s="232">
        <f t="shared" si="58"/>
        <v>0</v>
      </c>
      <c r="L360" s="232">
        <f t="shared" si="58"/>
        <v>6552.12</v>
      </c>
      <c r="M360" s="232">
        <f t="shared" si="58"/>
        <v>0</v>
      </c>
      <c r="N360" s="232">
        <f t="shared" si="58"/>
        <v>16125</v>
      </c>
      <c r="O360" s="232">
        <f t="shared" si="58"/>
        <v>-5500</v>
      </c>
      <c r="P360" s="232">
        <f t="shared" si="58"/>
        <v>-10625</v>
      </c>
      <c r="Q360" s="386">
        <f>Q359</f>
        <v>0</v>
      </c>
      <c r="R360" s="234"/>
    </row>
    <row r="361" ht="14.25" customHeight="1">
      <c r="B361" s="183" t="s">
        <v>91</v>
      </c>
      <c r="C361" s="239">
        <v>46026.0</v>
      </c>
      <c r="D361" s="299"/>
      <c r="E361" s="294"/>
      <c r="F361" s="294"/>
      <c r="G361" s="88"/>
      <c r="H361" s="81"/>
      <c r="I361" s="294"/>
      <c r="J361" s="88"/>
      <c r="K361" s="90">
        <f t="shared" ref="K361:K374" si="59">E361-I361-L361-M361-N361-J361+F361</f>
        <v>0</v>
      </c>
      <c r="L361" s="88"/>
      <c r="M361" s="88"/>
      <c r="N361" s="295"/>
      <c r="O361" s="294"/>
      <c r="P361" s="323"/>
      <c r="Q361" s="194">
        <f t="shared" ref="Q361:Q377" si="60">Q360+N361+O361+P361</f>
        <v>0</v>
      </c>
      <c r="R361" s="88"/>
      <c r="U361" s="206" t="s">
        <v>110</v>
      </c>
      <c r="V361" s="206">
        <v>25000.0</v>
      </c>
    </row>
    <row r="362" ht="14.25" customHeight="1">
      <c r="B362" s="68"/>
      <c r="C362" s="236">
        <v>46117.0</v>
      </c>
      <c r="D362" s="241">
        <v>1.0</v>
      </c>
      <c r="E362" s="237">
        <v>2100.0</v>
      </c>
      <c r="F362" s="237"/>
      <c r="G362" s="237"/>
      <c r="H362" s="248"/>
      <c r="I362" s="237">
        <v>1000.0</v>
      </c>
      <c r="J362" s="67"/>
      <c r="K362" s="69">
        <f t="shared" si="59"/>
        <v>0</v>
      </c>
      <c r="L362" s="237"/>
      <c r="M362" s="237"/>
      <c r="N362" s="238">
        <v>1100.0</v>
      </c>
      <c r="O362" s="267">
        <v>-500.0</v>
      </c>
      <c r="P362" s="273"/>
      <c r="Q362" s="214">
        <f t="shared" si="60"/>
        <v>600</v>
      </c>
      <c r="R362" s="71"/>
      <c r="U362" s="206" t="s">
        <v>110</v>
      </c>
      <c r="V362" s="206">
        <v>25000.0</v>
      </c>
    </row>
    <row r="363" ht="14.25" customHeight="1">
      <c r="B363" s="81"/>
      <c r="C363" s="239">
        <v>46149.0</v>
      </c>
      <c r="D363" s="299"/>
      <c r="E363" s="294"/>
      <c r="F363" s="294"/>
      <c r="G363" s="88"/>
      <c r="H363" s="81"/>
      <c r="I363" s="294"/>
      <c r="J363" s="88"/>
      <c r="K363" s="90">
        <f t="shared" si="59"/>
        <v>0</v>
      </c>
      <c r="L363" s="88"/>
      <c r="M363" s="88"/>
      <c r="N363" s="295"/>
      <c r="O363" s="294"/>
      <c r="P363" s="323"/>
      <c r="Q363" s="194">
        <f t="shared" si="60"/>
        <v>600</v>
      </c>
      <c r="R363" s="88"/>
    </row>
    <row r="364" ht="14.25" customHeight="1">
      <c r="B364" s="68"/>
      <c r="C364" s="236">
        <v>46212.0</v>
      </c>
      <c r="D364" s="241">
        <v>2.0</v>
      </c>
      <c r="E364" s="237">
        <v>5000.0</v>
      </c>
      <c r="F364" s="237"/>
      <c r="G364" s="67"/>
      <c r="H364" s="68"/>
      <c r="I364" s="237">
        <v>2000.0</v>
      </c>
      <c r="J364" s="67"/>
      <c r="K364" s="69">
        <f t="shared" si="59"/>
        <v>0</v>
      </c>
      <c r="L364" s="67"/>
      <c r="M364" s="67"/>
      <c r="N364" s="238">
        <v>3000.0</v>
      </c>
      <c r="O364" s="267">
        <v>-500.0</v>
      </c>
      <c r="P364" s="273"/>
      <c r="Q364" s="214">
        <f t="shared" si="60"/>
        <v>3100</v>
      </c>
      <c r="R364" s="71"/>
    </row>
    <row r="365" ht="14.25" customHeight="1">
      <c r="B365" s="81"/>
      <c r="C365" s="239">
        <v>46279.0</v>
      </c>
      <c r="D365" s="299"/>
      <c r="E365" s="294"/>
      <c r="F365" s="294"/>
      <c r="G365" s="88"/>
      <c r="H365" s="81"/>
      <c r="I365" s="294"/>
      <c r="J365" s="88"/>
      <c r="K365" s="90">
        <f t="shared" si="59"/>
        <v>0</v>
      </c>
      <c r="L365" s="88"/>
      <c r="M365" s="88"/>
      <c r="N365" s="295"/>
      <c r="O365" s="294"/>
      <c r="P365" s="323"/>
      <c r="Q365" s="194">
        <f t="shared" si="60"/>
        <v>3100</v>
      </c>
      <c r="R365" s="88"/>
    </row>
    <row r="366" ht="14.25" customHeight="1">
      <c r="B366" s="68"/>
      <c r="C366" s="243" t="s">
        <v>29</v>
      </c>
      <c r="D366" s="241">
        <v>1.0</v>
      </c>
      <c r="E366" s="237">
        <v>2200.0</v>
      </c>
      <c r="F366" s="237"/>
      <c r="G366" s="237"/>
      <c r="H366" s="248"/>
      <c r="I366" s="237">
        <v>200.0</v>
      </c>
      <c r="J366" s="67"/>
      <c r="K366" s="69">
        <f t="shared" si="59"/>
        <v>0</v>
      </c>
      <c r="L366" s="237"/>
      <c r="M366" s="237"/>
      <c r="N366" s="238">
        <v>2000.0</v>
      </c>
      <c r="O366" s="267">
        <v>-500.0</v>
      </c>
      <c r="P366" s="273"/>
      <c r="Q366" s="214">
        <f t="shared" si="60"/>
        <v>4600</v>
      </c>
      <c r="R366" s="71"/>
    </row>
    <row r="367" ht="14.25" customHeight="1">
      <c r="B367" s="81"/>
      <c r="C367" s="296" t="s">
        <v>219</v>
      </c>
      <c r="D367" s="299"/>
      <c r="E367" s="294"/>
      <c r="F367" s="294"/>
      <c r="G367" s="88"/>
      <c r="H367" s="81"/>
      <c r="I367" s="294"/>
      <c r="J367" s="88"/>
      <c r="K367" s="90">
        <f t="shared" si="59"/>
        <v>0</v>
      </c>
      <c r="L367" s="88"/>
      <c r="M367" s="88"/>
      <c r="N367" s="295"/>
      <c r="O367" s="294"/>
      <c r="P367" s="323"/>
      <c r="Q367" s="194">
        <f t="shared" si="60"/>
        <v>4600</v>
      </c>
      <c r="R367" s="88"/>
    </row>
    <row r="368" ht="14.25" customHeight="1">
      <c r="B368" s="68"/>
      <c r="C368" s="243" t="s">
        <v>64</v>
      </c>
      <c r="D368" s="241">
        <v>2.0</v>
      </c>
      <c r="E368" s="237">
        <v>4000.0</v>
      </c>
      <c r="F368" s="237">
        <v>900.0</v>
      </c>
      <c r="G368" s="67"/>
      <c r="H368" s="68"/>
      <c r="I368" s="237">
        <v>1950.0</v>
      </c>
      <c r="J368" s="67"/>
      <c r="K368" s="69">
        <f t="shared" si="59"/>
        <v>0</v>
      </c>
      <c r="L368" s="67"/>
      <c r="M368" s="237">
        <v>2950.0</v>
      </c>
      <c r="N368" s="238"/>
      <c r="O368" s="267">
        <v>-500.0</v>
      </c>
      <c r="P368" s="273"/>
      <c r="Q368" s="214">
        <f t="shared" si="60"/>
        <v>4100</v>
      </c>
      <c r="R368" s="71"/>
    </row>
    <row r="369" ht="14.25" customHeight="1">
      <c r="B369" s="68"/>
      <c r="C369" s="243" t="s">
        <v>68</v>
      </c>
      <c r="D369" s="241">
        <v>1.0</v>
      </c>
      <c r="E369" s="237">
        <v>2850.0</v>
      </c>
      <c r="F369" s="237">
        <v>450.0</v>
      </c>
      <c r="G369" s="67"/>
      <c r="H369" s="68"/>
      <c r="I369" s="237">
        <v>1000.0</v>
      </c>
      <c r="J369" s="67"/>
      <c r="K369" s="69">
        <f t="shared" si="59"/>
        <v>0</v>
      </c>
      <c r="L369" s="67"/>
      <c r="M369" s="67"/>
      <c r="N369" s="238">
        <v>2300.0</v>
      </c>
      <c r="O369" s="267">
        <v>-500.0</v>
      </c>
      <c r="P369" s="273"/>
      <c r="Q369" s="214">
        <f t="shared" si="60"/>
        <v>5900</v>
      </c>
      <c r="R369" s="71"/>
    </row>
    <row r="370" ht="14.25" customHeight="1">
      <c r="B370" s="81"/>
      <c r="C370" s="296" t="s">
        <v>37</v>
      </c>
      <c r="D370" s="299"/>
      <c r="E370" s="294"/>
      <c r="F370" s="294"/>
      <c r="G370" s="88"/>
      <c r="H370" s="81"/>
      <c r="I370" s="294"/>
      <c r="J370" s="88"/>
      <c r="K370" s="90">
        <f t="shared" si="59"/>
        <v>0</v>
      </c>
      <c r="L370" s="88"/>
      <c r="M370" s="88"/>
      <c r="N370" s="295"/>
      <c r="O370" s="294"/>
      <c r="P370" s="323"/>
      <c r="Q370" s="194">
        <f t="shared" si="60"/>
        <v>5900</v>
      </c>
      <c r="R370" s="88"/>
    </row>
    <row r="371" ht="14.25" customHeight="1">
      <c r="B371" s="68"/>
      <c r="C371" s="243" t="s">
        <v>108</v>
      </c>
      <c r="D371" s="241">
        <v>2.0</v>
      </c>
      <c r="E371" s="237">
        <v>2801.85</v>
      </c>
      <c r="F371" s="237">
        <v>450.0</v>
      </c>
      <c r="G371" s="67"/>
      <c r="H371" s="68"/>
      <c r="I371" s="237"/>
      <c r="J371" s="67"/>
      <c r="K371" s="69">
        <f t="shared" si="59"/>
        <v>0</v>
      </c>
      <c r="L371" s="237">
        <v>2801.85</v>
      </c>
      <c r="M371" s="67"/>
      <c r="N371" s="238">
        <v>450.0</v>
      </c>
      <c r="O371" s="267">
        <v>-500.0</v>
      </c>
      <c r="P371" s="273"/>
      <c r="Q371" s="214">
        <f t="shared" si="60"/>
        <v>5850</v>
      </c>
      <c r="R371" s="267" t="s">
        <v>43</v>
      </c>
    </row>
    <row r="372" ht="14.25" customHeight="1">
      <c r="B372" s="81"/>
      <c r="C372" s="296" t="s">
        <v>201</v>
      </c>
      <c r="D372" s="299"/>
      <c r="E372" s="294"/>
      <c r="F372" s="294"/>
      <c r="G372" s="88"/>
      <c r="H372" s="81"/>
      <c r="I372" s="294"/>
      <c r="J372" s="88"/>
      <c r="K372" s="90">
        <f t="shared" si="59"/>
        <v>0</v>
      </c>
      <c r="L372" s="88"/>
      <c r="M372" s="88"/>
      <c r="N372" s="295"/>
      <c r="O372" s="294"/>
      <c r="P372" s="323"/>
      <c r="Q372" s="194">
        <f t="shared" si="60"/>
        <v>5850</v>
      </c>
      <c r="R372" s="88"/>
    </row>
    <row r="373" ht="14.25" customHeight="1">
      <c r="B373" s="68"/>
      <c r="C373" s="243" t="s">
        <v>73</v>
      </c>
      <c r="D373" s="241">
        <v>1.0</v>
      </c>
      <c r="E373" s="237">
        <v>3000.0</v>
      </c>
      <c r="F373" s="237">
        <v>400.0</v>
      </c>
      <c r="G373" s="237"/>
      <c r="H373" s="68"/>
      <c r="I373" s="237">
        <v>1200.0</v>
      </c>
      <c r="J373" s="67"/>
      <c r="K373" s="69">
        <f t="shared" si="59"/>
        <v>0</v>
      </c>
      <c r="L373" s="237"/>
      <c r="M373" s="67"/>
      <c r="N373" s="238">
        <v>2200.0</v>
      </c>
      <c r="O373" s="267">
        <v>-500.0</v>
      </c>
      <c r="P373" s="273"/>
      <c r="Q373" s="214">
        <f t="shared" si="60"/>
        <v>7550</v>
      </c>
      <c r="R373" s="71"/>
    </row>
    <row r="374" ht="14.25" customHeight="1">
      <c r="B374" s="81"/>
      <c r="C374" s="296" t="s">
        <v>137</v>
      </c>
      <c r="D374" s="299"/>
      <c r="E374" s="294"/>
      <c r="F374" s="294"/>
      <c r="G374" s="88"/>
      <c r="H374" s="81"/>
      <c r="I374" s="294"/>
      <c r="J374" s="88"/>
      <c r="K374" s="90">
        <f t="shared" si="59"/>
        <v>0</v>
      </c>
      <c r="L374" s="88"/>
      <c r="M374" s="88"/>
      <c r="N374" s="295"/>
      <c r="O374" s="294"/>
      <c r="P374" s="323"/>
      <c r="Q374" s="194">
        <f t="shared" si="60"/>
        <v>7550</v>
      </c>
      <c r="R374" s="88"/>
    </row>
    <row r="375" ht="14.25" customHeight="1">
      <c r="B375" s="68"/>
      <c r="C375" s="243"/>
      <c r="D375" s="241"/>
      <c r="E375" s="237"/>
      <c r="F375" s="67"/>
      <c r="G375" s="67"/>
      <c r="H375" s="68"/>
      <c r="I375" s="237"/>
      <c r="J375" s="67"/>
      <c r="K375" s="69"/>
      <c r="L375" s="67"/>
      <c r="M375" s="67"/>
      <c r="N375" s="238"/>
      <c r="O375" s="267"/>
      <c r="P375" s="273"/>
      <c r="Q375" s="214">
        <f t="shared" si="60"/>
        <v>7550</v>
      </c>
      <c r="R375" s="273" t="s">
        <v>59</v>
      </c>
    </row>
    <row r="376" ht="14.25" customHeight="1">
      <c r="B376" s="68"/>
      <c r="C376" s="243"/>
      <c r="D376" s="241"/>
      <c r="E376" s="237"/>
      <c r="F376" s="67"/>
      <c r="G376" s="67"/>
      <c r="H376" s="68"/>
      <c r="I376" s="237"/>
      <c r="J376" s="67"/>
      <c r="K376" s="69"/>
      <c r="L376" s="67"/>
      <c r="M376" s="67"/>
      <c r="N376" s="238"/>
      <c r="O376" s="267"/>
      <c r="P376" s="273"/>
      <c r="Q376" s="214">
        <f t="shared" si="60"/>
        <v>7550</v>
      </c>
      <c r="R376" s="273" t="s">
        <v>55</v>
      </c>
    </row>
    <row r="377" ht="14.25" customHeight="1">
      <c r="B377" s="68"/>
      <c r="C377" s="243"/>
      <c r="D377" s="241"/>
      <c r="E377" s="237"/>
      <c r="F377" s="67"/>
      <c r="G377" s="67"/>
      <c r="H377" s="68"/>
      <c r="I377" s="237"/>
      <c r="J377" s="67"/>
      <c r="K377" s="69">
        <f>E377-I377-L377-M377-N377-J377+F377</f>
        <v>0</v>
      </c>
      <c r="L377" s="67"/>
      <c r="M377" s="67"/>
      <c r="N377" s="238"/>
      <c r="O377" s="267"/>
      <c r="P377" s="273">
        <v>-7550.0</v>
      </c>
      <c r="Q377" s="214">
        <f t="shared" si="60"/>
        <v>0</v>
      </c>
      <c r="R377" s="273"/>
    </row>
    <row r="378" ht="14.25" customHeight="1">
      <c r="B378" s="283" t="s">
        <v>91</v>
      </c>
      <c r="C378" s="229" t="s">
        <v>66</v>
      </c>
      <c r="D378" s="228">
        <f t="shared" ref="D378:P378" si="61">sum(D361:D377)</f>
        <v>10</v>
      </c>
      <c r="E378" s="232">
        <f t="shared" si="61"/>
        <v>21951.85</v>
      </c>
      <c r="F378" s="232">
        <f t="shared" si="61"/>
        <v>2200</v>
      </c>
      <c r="G378" s="232">
        <f t="shared" si="61"/>
        <v>0</v>
      </c>
      <c r="H378" s="232">
        <f t="shared" si="61"/>
        <v>0</v>
      </c>
      <c r="I378" s="232">
        <f t="shared" si="61"/>
        <v>7350</v>
      </c>
      <c r="J378" s="232">
        <f t="shared" si="61"/>
        <v>0</v>
      </c>
      <c r="K378" s="232">
        <f t="shared" si="61"/>
        <v>0</v>
      </c>
      <c r="L378" s="232">
        <f t="shared" si="61"/>
        <v>2801.85</v>
      </c>
      <c r="M378" s="232">
        <f t="shared" si="61"/>
        <v>2950</v>
      </c>
      <c r="N378" s="232">
        <f t="shared" si="61"/>
        <v>11050</v>
      </c>
      <c r="O378" s="232">
        <f t="shared" si="61"/>
        <v>-3500</v>
      </c>
      <c r="P378" s="232">
        <f t="shared" si="61"/>
        <v>-7550</v>
      </c>
      <c r="Q378" s="386">
        <f>Q377</f>
        <v>0</v>
      </c>
      <c r="R378" s="234"/>
    </row>
    <row r="379" ht="14.25" customHeight="1">
      <c r="B379" s="68" t="s">
        <v>112</v>
      </c>
      <c r="C379" s="236">
        <v>46024.0</v>
      </c>
      <c r="D379" s="241">
        <v>1.0</v>
      </c>
      <c r="E379" s="237">
        <v>2850.0</v>
      </c>
      <c r="F379" s="237">
        <v>400.0</v>
      </c>
      <c r="G379" s="237"/>
      <c r="H379" s="248"/>
      <c r="I379" s="237">
        <v>1000.0</v>
      </c>
      <c r="J379" s="67"/>
      <c r="K379" s="69">
        <f t="shared" ref="K379:K384" si="62">E379-I379-L379-M379-N379-J379+F379</f>
        <v>0</v>
      </c>
      <c r="L379" s="237"/>
      <c r="M379" s="237">
        <v>400.0</v>
      </c>
      <c r="N379" s="238">
        <v>1850.0</v>
      </c>
      <c r="O379" s="267">
        <v>-500.0</v>
      </c>
      <c r="P379" s="273"/>
      <c r="Q379" s="214">
        <f t="shared" ref="Q379:Q398" si="63">Q378+N379+O379+P379</f>
        <v>1350</v>
      </c>
      <c r="R379" s="71"/>
      <c r="U379" s="206" t="s">
        <v>110</v>
      </c>
      <c r="V379" s="206">
        <v>25000.0</v>
      </c>
    </row>
    <row r="380" ht="14.25" customHeight="1">
      <c r="B380" s="68"/>
      <c r="C380" s="236">
        <v>46057.0</v>
      </c>
      <c r="D380" s="241">
        <v>2.0</v>
      </c>
      <c r="E380" s="237">
        <v>5700.0</v>
      </c>
      <c r="F380" s="237"/>
      <c r="G380" s="237"/>
      <c r="H380" s="248"/>
      <c r="I380" s="237">
        <v>1500.0</v>
      </c>
      <c r="J380" s="67"/>
      <c r="K380" s="69">
        <f t="shared" si="62"/>
        <v>0</v>
      </c>
      <c r="L380" s="237"/>
      <c r="M380" s="237"/>
      <c r="N380" s="238">
        <v>4200.0</v>
      </c>
      <c r="O380" s="267">
        <v>-500.0</v>
      </c>
      <c r="P380" s="273"/>
      <c r="Q380" s="214">
        <f t="shared" si="63"/>
        <v>5050</v>
      </c>
      <c r="R380" s="71"/>
      <c r="U380" s="206" t="s">
        <v>110</v>
      </c>
      <c r="V380" s="206">
        <v>25000.0</v>
      </c>
    </row>
    <row r="381" ht="14.25" customHeight="1">
      <c r="B381" s="68"/>
      <c r="C381" s="236">
        <v>46117.0</v>
      </c>
      <c r="D381" s="241">
        <v>1.0</v>
      </c>
      <c r="E381" s="237">
        <v>3000.0</v>
      </c>
      <c r="F381" s="237"/>
      <c r="G381" s="67"/>
      <c r="H381" s="68"/>
      <c r="I381" s="237">
        <v>1000.0</v>
      </c>
      <c r="J381" s="67"/>
      <c r="K381" s="69">
        <f t="shared" si="62"/>
        <v>0</v>
      </c>
      <c r="L381" s="67"/>
      <c r="M381" s="67"/>
      <c r="N381" s="238">
        <v>2000.0</v>
      </c>
      <c r="O381" s="267">
        <v>-500.0</v>
      </c>
      <c r="P381" s="273"/>
      <c r="Q381" s="214">
        <f t="shared" si="63"/>
        <v>6550</v>
      </c>
      <c r="R381" s="71"/>
    </row>
    <row r="382" ht="14.25" customHeight="1">
      <c r="B382" s="81"/>
      <c r="C382" s="239">
        <v>46152.0</v>
      </c>
      <c r="D382" s="299"/>
      <c r="E382" s="294"/>
      <c r="F382" s="294"/>
      <c r="G382" s="88"/>
      <c r="H382" s="81"/>
      <c r="I382" s="294"/>
      <c r="J382" s="88"/>
      <c r="K382" s="90">
        <f t="shared" si="62"/>
        <v>0</v>
      </c>
      <c r="L382" s="88"/>
      <c r="M382" s="88"/>
      <c r="N382" s="295"/>
      <c r="O382" s="294"/>
      <c r="P382" s="323"/>
      <c r="Q382" s="194">
        <f t="shared" si="63"/>
        <v>6550</v>
      </c>
      <c r="R382" s="88"/>
    </row>
    <row r="383" ht="14.25" customHeight="1">
      <c r="B383" s="68"/>
      <c r="C383" s="236">
        <v>46306.0</v>
      </c>
      <c r="D383" s="241">
        <v>1.0</v>
      </c>
      <c r="E383" s="237">
        <v>2500.0</v>
      </c>
      <c r="F383" s="237"/>
      <c r="G383" s="237"/>
      <c r="H383" s="248"/>
      <c r="I383" s="237">
        <v>1000.0</v>
      </c>
      <c r="J383" s="67"/>
      <c r="K383" s="69">
        <f t="shared" si="62"/>
        <v>0</v>
      </c>
      <c r="L383" s="237"/>
      <c r="M383" s="237"/>
      <c r="N383" s="238">
        <v>1500.0</v>
      </c>
      <c r="O383" s="267">
        <v>-500.0</v>
      </c>
      <c r="P383" s="273"/>
      <c r="Q383" s="214">
        <f t="shared" si="63"/>
        <v>7550</v>
      </c>
      <c r="R383" s="71"/>
    </row>
    <row r="384" ht="14.25" customHeight="1">
      <c r="B384" s="81"/>
      <c r="C384" s="239">
        <v>46343.0</v>
      </c>
      <c r="D384" s="299"/>
      <c r="E384" s="294"/>
      <c r="F384" s="294"/>
      <c r="G384" s="88"/>
      <c r="H384" s="183" t="s">
        <v>224</v>
      </c>
      <c r="I384" s="294"/>
      <c r="J384" s="88"/>
      <c r="K384" s="90">
        <f t="shared" si="62"/>
        <v>0</v>
      </c>
      <c r="L384" s="88"/>
      <c r="M384" s="88"/>
      <c r="N384" s="295"/>
      <c r="O384" s="294"/>
      <c r="P384" s="323"/>
      <c r="Q384" s="194">
        <f t="shared" si="63"/>
        <v>7550</v>
      </c>
      <c r="R384" s="88"/>
    </row>
    <row r="385" ht="14.25" customHeight="1">
      <c r="B385" s="68"/>
      <c r="C385" s="243" t="s">
        <v>32</v>
      </c>
      <c r="D385" s="241">
        <v>1.0</v>
      </c>
      <c r="E385" s="237">
        <v>2000.0</v>
      </c>
      <c r="F385" s="237"/>
      <c r="G385" s="67"/>
      <c r="H385" s="68"/>
      <c r="I385" s="237">
        <v>500.0</v>
      </c>
      <c r="J385" s="67"/>
      <c r="K385" s="69"/>
      <c r="L385" s="67"/>
      <c r="M385" s="237"/>
      <c r="N385" s="238">
        <v>1500.0</v>
      </c>
      <c r="O385" s="267">
        <v>-500.0</v>
      </c>
      <c r="P385" s="273"/>
      <c r="Q385" s="214">
        <f t="shared" si="63"/>
        <v>8550</v>
      </c>
      <c r="R385" s="71"/>
    </row>
    <row r="386" ht="14.25" customHeight="1">
      <c r="B386" s="68"/>
      <c r="C386" s="243" t="s">
        <v>33</v>
      </c>
      <c r="D386" s="241">
        <v>1.0</v>
      </c>
      <c r="E386" s="237">
        <v>3150.0</v>
      </c>
      <c r="F386" s="237"/>
      <c r="G386" s="67"/>
      <c r="H386" s="68"/>
      <c r="I386" s="237">
        <v>1000.0</v>
      </c>
      <c r="J386" s="67"/>
      <c r="K386" s="69">
        <f t="shared" ref="K386:K393" si="64">E386-I386-L386-M386-N386-J386+F386</f>
        <v>0</v>
      </c>
      <c r="L386" s="67"/>
      <c r="M386" s="237"/>
      <c r="N386" s="238">
        <v>2150.0</v>
      </c>
      <c r="O386" s="267">
        <v>-500.0</v>
      </c>
      <c r="P386" s="273"/>
      <c r="Q386" s="214">
        <f t="shared" si="63"/>
        <v>10200</v>
      </c>
      <c r="R386" s="71"/>
    </row>
    <row r="387" ht="14.25" customHeight="1">
      <c r="B387" s="81"/>
      <c r="C387" s="296" t="s">
        <v>34</v>
      </c>
      <c r="D387" s="299"/>
      <c r="E387" s="294"/>
      <c r="F387" s="294"/>
      <c r="G387" s="88"/>
      <c r="H387" s="81"/>
      <c r="I387" s="294"/>
      <c r="J387" s="88"/>
      <c r="K387" s="90">
        <f t="shared" si="64"/>
        <v>0</v>
      </c>
      <c r="L387" s="88"/>
      <c r="M387" s="88"/>
      <c r="N387" s="295"/>
      <c r="O387" s="294"/>
      <c r="P387" s="323"/>
      <c r="Q387" s="194">
        <f t="shared" si="63"/>
        <v>10200</v>
      </c>
      <c r="R387" s="88"/>
    </row>
    <row r="388" ht="14.25" customHeight="1">
      <c r="B388" s="68"/>
      <c r="C388" s="243" t="s">
        <v>69</v>
      </c>
      <c r="D388" s="241">
        <v>1.0</v>
      </c>
      <c r="E388" s="237">
        <v>2350.0</v>
      </c>
      <c r="F388" s="237"/>
      <c r="G388" s="67"/>
      <c r="H388" s="68"/>
      <c r="I388" s="237">
        <v>1000.0</v>
      </c>
      <c r="J388" s="67"/>
      <c r="K388" s="69">
        <f t="shared" si="64"/>
        <v>0</v>
      </c>
      <c r="L388" s="237"/>
      <c r="M388" s="67"/>
      <c r="N388" s="238">
        <v>1350.0</v>
      </c>
      <c r="O388" s="267">
        <v>-500.0</v>
      </c>
      <c r="P388" s="273"/>
      <c r="Q388" s="214">
        <f t="shared" si="63"/>
        <v>11050</v>
      </c>
      <c r="R388" s="267"/>
    </row>
    <row r="389" ht="14.25" customHeight="1">
      <c r="B389" s="68"/>
      <c r="C389" s="243" t="s">
        <v>78</v>
      </c>
      <c r="D389" s="241">
        <v>2.0</v>
      </c>
      <c r="E389" s="237">
        <v>3700.0</v>
      </c>
      <c r="F389" s="237"/>
      <c r="G389" s="67"/>
      <c r="H389" s="68"/>
      <c r="I389" s="237">
        <v>1500.0</v>
      </c>
      <c r="J389" s="67"/>
      <c r="K389" s="69">
        <f t="shared" si="64"/>
        <v>0</v>
      </c>
      <c r="L389" s="237"/>
      <c r="M389" s="67"/>
      <c r="N389" s="238">
        <v>2200.0</v>
      </c>
      <c r="O389" s="267">
        <v>-500.0</v>
      </c>
      <c r="P389" s="273"/>
      <c r="Q389" s="214">
        <f t="shared" si="63"/>
        <v>12750</v>
      </c>
      <c r="R389" s="267"/>
    </row>
    <row r="390" ht="14.25" customHeight="1">
      <c r="B390" s="68"/>
      <c r="C390" s="243" t="s">
        <v>41</v>
      </c>
      <c r="D390" s="241">
        <v>1.0</v>
      </c>
      <c r="E390" s="237">
        <v>2000.0</v>
      </c>
      <c r="F390" s="237"/>
      <c r="G390" s="237"/>
      <c r="H390" s="68" t="s">
        <v>227</v>
      </c>
      <c r="I390" s="237"/>
      <c r="J390" s="67"/>
      <c r="K390" s="69">
        <f t="shared" si="64"/>
        <v>0</v>
      </c>
      <c r="L390" s="237"/>
      <c r="M390" s="67"/>
      <c r="N390" s="238">
        <v>2000.0</v>
      </c>
      <c r="O390" s="267">
        <v>-500.0</v>
      </c>
      <c r="P390" s="273"/>
      <c r="Q390" s="214">
        <f t="shared" si="63"/>
        <v>14250</v>
      </c>
      <c r="R390" s="71"/>
    </row>
    <row r="391" ht="14.25" customHeight="1">
      <c r="B391" s="68"/>
      <c r="C391" s="243" t="s">
        <v>44</v>
      </c>
      <c r="D391" s="241">
        <v>1.0</v>
      </c>
      <c r="E391" s="237">
        <v>2500.0</v>
      </c>
      <c r="F391" s="237">
        <v>0.0</v>
      </c>
      <c r="G391" s="237"/>
      <c r="H391" s="68"/>
      <c r="I391" s="237">
        <v>1000.0</v>
      </c>
      <c r="J391" s="67"/>
      <c r="K391" s="69">
        <f t="shared" si="64"/>
        <v>0</v>
      </c>
      <c r="L391" s="237"/>
      <c r="M391" s="67"/>
      <c r="N391" s="238">
        <v>1500.0</v>
      </c>
      <c r="O391" s="267">
        <v>-500.0</v>
      </c>
      <c r="P391" s="273"/>
      <c r="Q391" s="214">
        <f t="shared" si="63"/>
        <v>15250</v>
      </c>
      <c r="R391" s="71"/>
    </row>
    <row r="392" ht="14.25" customHeight="1">
      <c r="B392" s="68"/>
      <c r="C392" s="243" t="s">
        <v>45</v>
      </c>
      <c r="D392" s="241">
        <v>1.0</v>
      </c>
      <c r="E392" s="237">
        <v>3350.0</v>
      </c>
      <c r="F392" s="237"/>
      <c r="G392" s="67"/>
      <c r="H392" s="68"/>
      <c r="I392" s="237">
        <v>1000.0</v>
      </c>
      <c r="J392" s="67"/>
      <c r="K392" s="69">
        <f t="shared" si="64"/>
        <v>0</v>
      </c>
      <c r="L392" s="67"/>
      <c r="M392" s="67"/>
      <c r="N392" s="238">
        <v>2350.0</v>
      </c>
      <c r="O392" s="267">
        <v>-500.0</v>
      </c>
      <c r="P392" s="273"/>
      <c r="Q392" s="214">
        <f t="shared" si="63"/>
        <v>17100</v>
      </c>
      <c r="R392" s="273"/>
    </row>
    <row r="393" ht="14.25" customHeight="1">
      <c r="B393" s="68"/>
      <c r="C393" s="243" t="s">
        <v>47</v>
      </c>
      <c r="D393" s="241">
        <v>1.0</v>
      </c>
      <c r="E393" s="237">
        <v>2500.0</v>
      </c>
      <c r="F393" s="237">
        <v>500.0</v>
      </c>
      <c r="G393" s="67"/>
      <c r="H393" s="68"/>
      <c r="I393" s="237">
        <v>1250.0</v>
      </c>
      <c r="J393" s="67"/>
      <c r="K393" s="69">
        <f t="shared" si="64"/>
        <v>0</v>
      </c>
      <c r="L393" s="67"/>
      <c r="M393" s="67"/>
      <c r="N393" s="238">
        <v>1750.0</v>
      </c>
      <c r="O393" s="267">
        <v>-500.0</v>
      </c>
      <c r="P393" s="273"/>
      <c r="Q393" s="214">
        <f t="shared" si="63"/>
        <v>18350</v>
      </c>
      <c r="R393" s="273"/>
    </row>
    <row r="394" ht="14.25" customHeight="1">
      <c r="B394" s="81"/>
      <c r="C394" s="296" t="s">
        <v>143</v>
      </c>
      <c r="D394" s="299"/>
      <c r="E394" s="294"/>
      <c r="F394" s="294"/>
      <c r="G394" s="88"/>
      <c r="H394" s="81"/>
      <c r="I394" s="294"/>
      <c r="J394" s="88"/>
      <c r="K394" s="90"/>
      <c r="L394" s="88"/>
      <c r="M394" s="88"/>
      <c r="N394" s="295"/>
      <c r="O394" s="294"/>
      <c r="P394" s="323"/>
      <c r="Q394" s="194">
        <f t="shared" si="63"/>
        <v>18350</v>
      </c>
      <c r="R394" s="88"/>
    </row>
    <row r="395" ht="14.25" customHeight="1">
      <c r="B395" s="68"/>
      <c r="C395" s="243" t="s">
        <v>75</v>
      </c>
      <c r="D395" s="241">
        <v>1.0</v>
      </c>
      <c r="E395" s="237">
        <v>2000.0</v>
      </c>
      <c r="F395" s="237">
        <v>350.0</v>
      </c>
      <c r="G395" s="67"/>
      <c r="H395" s="68"/>
      <c r="I395" s="237">
        <v>1000.0</v>
      </c>
      <c r="J395" s="67"/>
      <c r="K395" s="69"/>
      <c r="L395" s="67"/>
      <c r="M395" s="67"/>
      <c r="N395" s="238">
        <v>1350.0</v>
      </c>
      <c r="O395" s="267">
        <v>-500.0</v>
      </c>
      <c r="P395" s="273">
        <v>-400.0</v>
      </c>
      <c r="Q395" s="214">
        <f t="shared" si="63"/>
        <v>18800</v>
      </c>
      <c r="R395" s="273" t="s">
        <v>231</v>
      </c>
    </row>
    <row r="396" ht="14.25" customHeight="1">
      <c r="B396" s="68"/>
      <c r="C396" s="243"/>
      <c r="D396" s="241"/>
      <c r="E396" s="237"/>
      <c r="F396" s="67"/>
      <c r="G396" s="67"/>
      <c r="H396" s="68"/>
      <c r="I396" s="237"/>
      <c r="J396" s="67"/>
      <c r="K396" s="69"/>
      <c r="L396" s="67"/>
      <c r="M396" s="67"/>
      <c r="N396" s="238"/>
      <c r="O396" s="267"/>
      <c r="P396" s="273">
        <v>-4653.21</v>
      </c>
      <c r="Q396" s="214">
        <f t="shared" si="63"/>
        <v>14146.79</v>
      </c>
      <c r="R396" s="273" t="s">
        <v>59</v>
      </c>
    </row>
    <row r="397" ht="14.25" customHeight="1">
      <c r="B397" s="68"/>
      <c r="C397" s="243"/>
      <c r="D397" s="241"/>
      <c r="E397" s="237"/>
      <c r="F397" s="67"/>
      <c r="G397" s="67"/>
      <c r="H397" s="68"/>
      <c r="I397" s="237"/>
      <c r="J397" s="67"/>
      <c r="K397" s="69"/>
      <c r="L397" s="67"/>
      <c r="M397" s="67"/>
      <c r="N397" s="238"/>
      <c r="O397" s="267"/>
      <c r="P397" s="273">
        <v>-2005.83</v>
      </c>
      <c r="Q397" s="214">
        <f t="shared" si="63"/>
        <v>12140.96</v>
      </c>
      <c r="R397" s="273" t="s">
        <v>55</v>
      </c>
    </row>
    <row r="398" ht="14.25" customHeight="1">
      <c r="B398" s="68"/>
      <c r="C398" s="243"/>
      <c r="D398" s="241"/>
      <c r="E398" s="237"/>
      <c r="F398" s="67"/>
      <c r="G398" s="67"/>
      <c r="H398" s="68"/>
      <c r="I398" s="237"/>
      <c r="J398" s="67"/>
      <c r="K398" s="69">
        <f>E398-I398-L398-M398-N398-J398+F398</f>
        <v>0</v>
      </c>
      <c r="L398" s="67"/>
      <c r="M398" s="67"/>
      <c r="N398" s="238"/>
      <c r="O398" s="267"/>
      <c r="P398" s="273">
        <v>-12140.96</v>
      </c>
      <c r="Q398" s="214">
        <f t="shared" si="63"/>
        <v>0</v>
      </c>
      <c r="R398" s="273"/>
    </row>
    <row r="399" ht="14.25" customHeight="1">
      <c r="B399" s="283" t="s">
        <v>112</v>
      </c>
      <c r="C399" s="229" t="s">
        <v>66</v>
      </c>
      <c r="D399" s="228">
        <f t="shared" ref="D399:P399" si="65">sum(D379:D398)</f>
        <v>15</v>
      </c>
      <c r="E399" s="232">
        <f t="shared" si="65"/>
        <v>37600</v>
      </c>
      <c r="F399" s="232">
        <f t="shared" si="65"/>
        <v>1250</v>
      </c>
      <c r="G399" s="232">
        <f t="shared" si="65"/>
        <v>0</v>
      </c>
      <c r="H399" s="232">
        <f t="shared" si="65"/>
        <v>0</v>
      </c>
      <c r="I399" s="232">
        <f t="shared" si="65"/>
        <v>12750</v>
      </c>
      <c r="J399" s="232">
        <f t="shared" si="65"/>
        <v>0</v>
      </c>
      <c r="K399" s="232">
        <f t="shared" si="65"/>
        <v>0</v>
      </c>
      <c r="L399" s="232">
        <f t="shared" si="65"/>
        <v>0</v>
      </c>
      <c r="M399" s="232">
        <f t="shared" si="65"/>
        <v>400</v>
      </c>
      <c r="N399" s="232">
        <f t="shared" si="65"/>
        <v>25700</v>
      </c>
      <c r="O399" s="232">
        <f t="shared" si="65"/>
        <v>-6500</v>
      </c>
      <c r="P399" s="232">
        <f t="shared" si="65"/>
        <v>-19200</v>
      </c>
      <c r="Q399" s="386">
        <f>Q398</f>
        <v>0</v>
      </c>
      <c r="R399" s="234"/>
    </row>
    <row r="400" ht="14.25" customHeight="1">
      <c r="B400" s="248" t="s">
        <v>127</v>
      </c>
      <c r="C400" s="236">
        <v>46024.0</v>
      </c>
      <c r="D400" s="241">
        <v>1.0</v>
      </c>
      <c r="E400" s="237">
        <v>2800.0</v>
      </c>
      <c r="F400" s="237"/>
      <c r="G400" s="237"/>
      <c r="H400" s="248"/>
      <c r="I400" s="237">
        <v>1000.0</v>
      </c>
      <c r="J400" s="67"/>
      <c r="K400" s="69">
        <f t="shared" ref="K400:K417" si="66">E400-I400-L400-M400-N400-J400+F400</f>
        <v>0</v>
      </c>
      <c r="L400" s="237"/>
      <c r="M400" s="237"/>
      <c r="N400" s="238">
        <v>1800.0</v>
      </c>
      <c r="O400" s="267">
        <v>-500.0</v>
      </c>
      <c r="P400" s="273"/>
      <c r="Q400" s="214">
        <f t="shared" ref="Q400:Q419" si="67">Q399+N400+O400+P400</f>
        <v>1300</v>
      </c>
      <c r="R400" s="71"/>
    </row>
    <row r="401" ht="14.25" customHeight="1">
      <c r="B401" s="68"/>
      <c r="C401" s="236">
        <v>46058.0</v>
      </c>
      <c r="D401" s="241">
        <v>3.0</v>
      </c>
      <c r="E401" s="237">
        <v>5846.2</v>
      </c>
      <c r="F401" s="237"/>
      <c r="G401" s="237"/>
      <c r="H401" s="248"/>
      <c r="I401" s="237"/>
      <c r="J401" s="237">
        <v>5846.2</v>
      </c>
      <c r="K401" s="69">
        <f t="shared" si="66"/>
        <v>0</v>
      </c>
      <c r="L401" s="237"/>
      <c r="M401" s="237"/>
      <c r="N401" s="238"/>
      <c r="O401" s="267">
        <v>-500.0</v>
      </c>
      <c r="P401" s="273"/>
      <c r="Q401" s="214">
        <f t="shared" si="67"/>
        <v>800</v>
      </c>
      <c r="R401" s="71"/>
    </row>
    <row r="402" ht="14.25" customHeight="1">
      <c r="B402" s="81"/>
      <c r="C402" s="239">
        <v>46151.0</v>
      </c>
      <c r="D402" s="299"/>
      <c r="E402" s="294"/>
      <c r="F402" s="294"/>
      <c r="G402" s="88"/>
      <c r="H402" s="81"/>
      <c r="I402" s="88"/>
      <c r="J402" s="88"/>
      <c r="K402" s="90">
        <f t="shared" si="66"/>
        <v>0</v>
      </c>
      <c r="L402" s="88"/>
      <c r="M402" s="88"/>
      <c r="N402" s="295"/>
      <c r="O402" s="294"/>
      <c r="P402" s="323"/>
      <c r="Q402" s="194">
        <f t="shared" si="67"/>
        <v>800</v>
      </c>
      <c r="R402" s="88"/>
    </row>
    <row r="403" ht="14.25" customHeight="1">
      <c r="B403" s="68"/>
      <c r="C403" s="236">
        <v>46275.0</v>
      </c>
      <c r="D403" s="241">
        <v>1.0</v>
      </c>
      <c r="E403" s="237">
        <v>2800.0</v>
      </c>
      <c r="F403" s="237"/>
      <c r="G403" s="237"/>
      <c r="H403" s="248"/>
      <c r="I403" s="237">
        <v>1000.0</v>
      </c>
      <c r="J403" s="237"/>
      <c r="K403" s="69">
        <f t="shared" si="66"/>
        <v>0</v>
      </c>
      <c r="L403" s="237"/>
      <c r="M403" s="237"/>
      <c r="N403" s="238">
        <v>1800.0</v>
      </c>
      <c r="O403" s="267">
        <v>-500.0</v>
      </c>
      <c r="P403" s="273"/>
      <c r="Q403" s="214">
        <f t="shared" si="67"/>
        <v>2100</v>
      </c>
      <c r="R403" s="71"/>
    </row>
    <row r="404" ht="14.25" customHeight="1">
      <c r="B404" s="68"/>
      <c r="C404" s="236">
        <v>46306.0</v>
      </c>
      <c r="D404" s="241">
        <v>1.0</v>
      </c>
      <c r="E404" s="237">
        <v>2000.0</v>
      </c>
      <c r="F404" s="237"/>
      <c r="G404" s="237"/>
      <c r="H404" s="248"/>
      <c r="I404" s="237">
        <v>1000.0</v>
      </c>
      <c r="J404" s="237"/>
      <c r="K404" s="69">
        <f t="shared" si="66"/>
        <v>0</v>
      </c>
      <c r="L404" s="237"/>
      <c r="M404" s="237"/>
      <c r="N404" s="238">
        <v>1000.0</v>
      </c>
      <c r="O404" s="267">
        <v>-500.0</v>
      </c>
      <c r="P404" s="273"/>
      <c r="Q404" s="214">
        <f t="shared" si="67"/>
        <v>2600</v>
      </c>
      <c r="R404" s="71"/>
    </row>
    <row r="405">
      <c r="B405" s="68"/>
      <c r="C405" s="236">
        <v>46338.0</v>
      </c>
      <c r="D405" s="241">
        <v>1.0</v>
      </c>
      <c r="E405" s="237">
        <v>2000.0</v>
      </c>
      <c r="F405" s="237"/>
      <c r="G405" s="67"/>
      <c r="H405" s="68"/>
      <c r="I405" s="237">
        <v>1000.0</v>
      </c>
      <c r="J405" s="237"/>
      <c r="K405" s="69">
        <f t="shared" si="66"/>
        <v>0</v>
      </c>
      <c r="L405" s="67"/>
      <c r="M405" s="237"/>
      <c r="N405" s="238">
        <v>1000.0</v>
      </c>
      <c r="O405" s="267">
        <v>-500.0</v>
      </c>
      <c r="P405" s="273"/>
      <c r="Q405" s="214">
        <f t="shared" si="67"/>
        <v>3100</v>
      </c>
      <c r="R405" s="71"/>
    </row>
    <row r="406" ht="14.25" customHeight="1">
      <c r="B406" s="81"/>
      <c r="C406" s="239">
        <v>46370.0</v>
      </c>
      <c r="D406" s="299"/>
      <c r="E406" s="294"/>
      <c r="F406" s="294"/>
      <c r="G406" s="88"/>
      <c r="H406" s="81"/>
      <c r="I406" s="88"/>
      <c r="J406" s="88"/>
      <c r="K406" s="90">
        <f t="shared" si="66"/>
        <v>0</v>
      </c>
      <c r="L406" s="88"/>
      <c r="M406" s="88"/>
      <c r="N406" s="295"/>
      <c r="O406" s="294"/>
      <c r="P406" s="323"/>
      <c r="Q406" s="194">
        <f t="shared" si="67"/>
        <v>3100</v>
      </c>
      <c r="R406" s="88"/>
    </row>
    <row r="407" ht="14.25" customHeight="1">
      <c r="B407" s="68"/>
      <c r="C407" s="243" t="s">
        <v>29</v>
      </c>
      <c r="D407" s="241">
        <v>1.0</v>
      </c>
      <c r="E407" s="237">
        <v>2300.0</v>
      </c>
      <c r="F407" s="237">
        <v>500.0</v>
      </c>
      <c r="G407" s="67"/>
      <c r="H407" s="68"/>
      <c r="I407" s="237">
        <v>1500.0</v>
      </c>
      <c r="J407" s="67"/>
      <c r="K407" s="69">
        <f t="shared" si="66"/>
        <v>0</v>
      </c>
      <c r="L407" s="67"/>
      <c r="M407" s="237">
        <v>1300.0</v>
      </c>
      <c r="N407" s="238">
        <v>0.0</v>
      </c>
      <c r="O407" s="267">
        <v>-500.0</v>
      </c>
      <c r="P407" s="273"/>
      <c r="Q407" s="214">
        <f t="shared" si="67"/>
        <v>2600</v>
      </c>
      <c r="R407" s="71"/>
    </row>
    <row r="408" ht="14.25" customHeight="1">
      <c r="B408" s="68"/>
      <c r="C408" s="243" t="s">
        <v>30</v>
      </c>
      <c r="D408" s="241">
        <v>1.0</v>
      </c>
      <c r="E408" s="237">
        <v>2500.0</v>
      </c>
      <c r="F408" s="237"/>
      <c r="G408" s="67"/>
      <c r="H408" s="68"/>
      <c r="I408" s="237">
        <v>1000.0</v>
      </c>
      <c r="J408" s="237"/>
      <c r="K408" s="69">
        <f t="shared" si="66"/>
        <v>0</v>
      </c>
      <c r="L408" s="237"/>
      <c r="M408" s="67"/>
      <c r="N408" s="238">
        <v>1500.0</v>
      </c>
      <c r="O408" s="267">
        <v>-500.0</v>
      </c>
      <c r="P408" s="273"/>
      <c r="Q408" s="214">
        <f t="shared" si="67"/>
        <v>3600</v>
      </c>
      <c r="R408" s="267"/>
    </row>
    <row r="409" ht="14.25" customHeight="1">
      <c r="B409" s="68"/>
      <c r="C409" s="243" t="s">
        <v>31</v>
      </c>
      <c r="D409" s="241">
        <v>1.0</v>
      </c>
      <c r="E409" s="237">
        <v>2800.0</v>
      </c>
      <c r="F409" s="237"/>
      <c r="G409" s="67"/>
      <c r="H409" s="68"/>
      <c r="I409" s="237">
        <v>1000.0</v>
      </c>
      <c r="J409" s="237"/>
      <c r="K409" s="69">
        <f t="shared" si="66"/>
        <v>0</v>
      </c>
      <c r="L409" s="237"/>
      <c r="M409" s="67"/>
      <c r="N409" s="238">
        <v>1800.0</v>
      </c>
      <c r="O409" s="267">
        <v>-500.0</v>
      </c>
      <c r="P409" s="273"/>
      <c r="Q409" s="214">
        <f t="shared" si="67"/>
        <v>4900</v>
      </c>
      <c r="R409" s="267"/>
    </row>
    <row r="410" ht="14.25" customHeight="1">
      <c r="B410" s="68"/>
      <c r="C410" s="243" t="s">
        <v>32</v>
      </c>
      <c r="D410" s="241">
        <v>1.0</v>
      </c>
      <c r="E410" s="237">
        <v>3000.0</v>
      </c>
      <c r="F410" s="237"/>
      <c r="G410" s="67"/>
      <c r="H410" s="68"/>
      <c r="I410" s="237">
        <v>1000.0</v>
      </c>
      <c r="J410" s="237"/>
      <c r="K410" s="69">
        <f t="shared" si="66"/>
        <v>0</v>
      </c>
      <c r="L410" s="237"/>
      <c r="M410" s="67"/>
      <c r="N410" s="238">
        <v>2000.0</v>
      </c>
      <c r="O410" s="267">
        <v>-500.0</v>
      </c>
      <c r="P410" s="273"/>
      <c r="Q410" s="214">
        <f t="shared" si="67"/>
        <v>6400</v>
      </c>
      <c r="R410" s="267"/>
    </row>
    <row r="411" ht="14.25" customHeight="1">
      <c r="B411" s="81"/>
      <c r="C411" s="296" t="s">
        <v>241</v>
      </c>
      <c r="D411" s="299"/>
      <c r="E411" s="294"/>
      <c r="F411" s="294"/>
      <c r="G411" s="88"/>
      <c r="H411" s="81"/>
      <c r="I411" s="88"/>
      <c r="J411" s="88"/>
      <c r="K411" s="90">
        <f t="shared" si="66"/>
        <v>0</v>
      </c>
      <c r="L411" s="88"/>
      <c r="M411" s="88"/>
      <c r="N411" s="295"/>
      <c r="O411" s="294"/>
      <c r="P411" s="323"/>
      <c r="Q411" s="194">
        <f t="shared" si="67"/>
        <v>6400</v>
      </c>
      <c r="R411" s="88"/>
    </row>
    <row r="412" ht="14.25" customHeight="1">
      <c r="B412" s="68"/>
      <c r="C412" s="243" t="s">
        <v>164</v>
      </c>
      <c r="D412" s="241">
        <v>3.0</v>
      </c>
      <c r="E412" s="237">
        <v>7000.0</v>
      </c>
      <c r="F412" s="237"/>
      <c r="G412" s="237"/>
      <c r="H412" s="68"/>
      <c r="I412" s="237">
        <v>1500.0</v>
      </c>
      <c r="J412" s="237"/>
      <c r="K412" s="69">
        <f t="shared" si="66"/>
        <v>0</v>
      </c>
      <c r="L412" s="237"/>
      <c r="M412" s="237">
        <v>2000.0</v>
      </c>
      <c r="N412" s="238">
        <v>3500.0</v>
      </c>
      <c r="O412" s="267">
        <v>-500.0</v>
      </c>
      <c r="P412" s="273"/>
      <c r="Q412" s="214">
        <f t="shared" si="67"/>
        <v>9400</v>
      </c>
      <c r="R412" s="71"/>
    </row>
    <row r="413" ht="14.25" customHeight="1">
      <c r="B413" s="68"/>
      <c r="C413" s="243" t="s">
        <v>45</v>
      </c>
      <c r="D413" s="241">
        <v>1.0</v>
      </c>
      <c r="E413" s="237">
        <v>2000.0</v>
      </c>
      <c r="F413" s="237"/>
      <c r="G413" s="67"/>
      <c r="H413" s="68"/>
      <c r="I413" s="237">
        <v>1000.0</v>
      </c>
      <c r="J413" s="237"/>
      <c r="K413" s="69">
        <f t="shared" si="66"/>
        <v>0</v>
      </c>
      <c r="L413" s="67"/>
      <c r="M413" s="67"/>
      <c r="N413" s="238">
        <v>1000.0</v>
      </c>
      <c r="O413" s="267">
        <v>-500.0</v>
      </c>
      <c r="P413" s="273"/>
      <c r="Q413" s="214">
        <f t="shared" si="67"/>
        <v>9900</v>
      </c>
      <c r="R413" s="273"/>
    </row>
    <row r="414" ht="14.25" customHeight="1">
      <c r="B414" s="81"/>
      <c r="C414" s="296" t="s">
        <v>47</v>
      </c>
      <c r="D414" s="299"/>
      <c r="E414" s="294"/>
      <c r="F414" s="294"/>
      <c r="G414" s="88"/>
      <c r="H414" s="81"/>
      <c r="I414" s="88"/>
      <c r="J414" s="88"/>
      <c r="K414" s="90">
        <f t="shared" si="66"/>
        <v>0</v>
      </c>
      <c r="L414" s="88"/>
      <c r="M414" s="88"/>
      <c r="N414" s="295"/>
      <c r="O414" s="294"/>
      <c r="P414" s="323"/>
      <c r="Q414" s="194">
        <f t="shared" si="67"/>
        <v>9900</v>
      </c>
      <c r="R414" s="88"/>
    </row>
    <row r="415" ht="14.25" customHeight="1">
      <c r="B415" s="68"/>
      <c r="C415" s="243" t="s">
        <v>72</v>
      </c>
      <c r="D415" s="241">
        <v>1.0</v>
      </c>
      <c r="E415" s="237">
        <v>2000.0</v>
      </c>
      <c r="F415" s="237"/>
      <c r="G415" s="67"/>
      <c r="H415" s="68"/>
      <c r="I415" s="237">
        <v>1000.0</v>
      </c>
      <c r="J415" s="237"/>
      <c r="K415" s="69">
        <f t="shared" si="66"/>
        <v>0</v>
      </c>
      <c r="L415" s="67"/>
      <c r="M415" s="67"/>
      <c r="N415" s="238">
        <v>1000.0</v>
      </c>
      <c r="O415" s="267">
        <v>-500.0</v>
      </c>
      <c r="P415" s="273"/>
      <c r="Q415" s="214">
        <f t="shared" si="67"/>
        <v>10400</v>
      </c>
      <c r="R415" s="273"/>
    </row>
    <row r="416" ht="14.25" customHeight="1">
      <c r="B416" s="68"/>
      <c r="C416" s="243" t="s">
        <v>88</v>
      </c>
      <c r="D416" s="241">
        <v>2.0</v>
      </c>
      <c r="E416" s="237">
        <v>4200.0</v>
      </c>
      <c r="F416" s="237"/>
      <c r="G416" s="67"/>
      <c r="H416" s="68"/>
      <c r="I416" s="237">
        <v>1500.0</v>
      </c>
      <c r="J416" s="237"/>
      <c r="K416" s="69">
        <f t="shared" si="66"/>
        <v>0</v>
      </c>
      <c r="L416" s="67"/>
      <c r="M416" s="67"/>
      <c r="N416" s="238">
        <v>2700.0</v>
      </c>
      <c r="O416" s="267">
        <v>-500.0</v>
      </c>
      <c r="P416" s="273"/>
      <c r="Q416" s="214">
        <f t="shared" si="67"/>
        <v>12600</v>
      </c>
      <c r="R416" s="273"/>
    </row>
    <row r="417" ht="14.25" customHeight="1">
      <c r="B417" s="68"/>
      <c r="C417" s="243" t="s">
        <v>50</v>
      </c>
      <c r="D417" s="241">
        <v>1.0</v>
      </c>
      <c r="E417" s="237">
        <v>2800.0</v>
      </c>
      <c r="F417" s="67"/>
      <c r="G417" s="67"/>
      <c r="H417" s="68"/>
      <c r="I417" s="237">
        <v>1000.0</v>
      </c>
      <c r="J417" s="237"/>
      <c r="K417" s="69">
        <f t="shared" si="66"/>
        <v>0</v>
      </c>
      <c r="L417" s="67"/>
      <c r="M417" s="67"/>
      <c r="N417" s="238">
        <v>1800.0</v>
      </c>
      <c r="O417" s="267">
        <v>-500.0</v>
      </c>
      <c r="P417" s="273"/>
      <c r="Q417" s="214">
        <f t="shared" si="67"/>
        <v>13900</v>
      </c>
      <c r="R417" s="273"/>
    </row>
    <row r="418" ht="14.25" customHeight="1">
      <c r="B418" s="68"/>
      <c r="C418" s="243"/>
      <c r="D418" s="241"/>
      <c r="E418" s="237"/>
      <c r="F418" s="67"/>
      <c r="G418" s="67"/>
      <c r="H418" s="68"/>
      <c r="I418" s="237"/>
      <c r="J418" s="67"/>
      <c r="K418" s="69"/>
      <c r="L418" s="67"/>
      <c r="M418" s="67"/>
      <c r="N418" s="238"/>
      <c r="O418" s="267"/>
      <c r="P418" s="273"/>
      <c r="Q418" s="214">
        <f t="shared" si="67"/>
        <v>13900</v>
      </c>
      <c r="R418" s="273" t="s">
        <v>208</v>
      </c>
    </row>
    <row r="419" ht="14.25" customHeight="1">
      <c r="B419" s="68"/>
      <c r="C419" s="243"/>
      <c r="D419" s="241"/>
      <c r="E419" s="237"/>
      <c r="F419" s="67"/>
      <c r="G419" s="67"/>
      <c r="H419" s="68"/>
      <c r="I419" s="237"/>
      <c r="J419" s="67"/>
      <c r="K419" s="69">
        <f>E419-I419-L419-M419-N419-J419+F419</f>
        <v>0</v>
      </c>
      <c r="L419" s="67"/>
      <c r="M419" s="67"/>
      <c r="N419" s="238"/>
      <c r="O419" s="267"/>
      <c r="P419" s="273">
        <v>-3408.47</v>
      </c>
      <c r="Q419" s="214">
        <f t="shared" si="67"/>
        <v>10491.53</v>
      </c>
      <c r="R419" s="273" t="s">
        <v>55</v>
      </c>
    </row>
    <row r="420" ht="14.25" customHeight="1">
      <c r="B420" s="283" t="s">
        <v>243</v>
      </c>
      <c r="C420" s="229" t="s">
        <v>66</v>
      </c>
      <c r="D420" s="228">
        <f t="shared" ref="D420:P420" si="68">sum(D400:D419)</f>
        <v>19</v>
      </c>
      <c r="E420" s="232">
        <f t="shared" si="68"/>
        <v>44046.2</v>
      </c>
      <c r="F420" s="232">
        <f t="shared" si="68"/>
        <v>500</v>
      </c>
      <c r="G420" s="232">
        <f t="shared" si="68"/>
        <v>0</v>
      </c>
      <c r="H420" s="232">
        <f t="shared" si="68"/>
        <v>0</v>
      </c>
      <c r="I420" s="232">
        <f t="shared" si="68"/>
        <v>14500</v>
      </c>
      <c r="J420" s="232">
        <f t="shared" si="68"/>
        <v>5846.2</v>
      </c>
      <c r="K420" s="232">
        <f t="shared" si="68"/>
        <v>0</v>
      </c>
      <c r="L420" s="232">
        <f t="shared" si="68"/>
        <v>0</v>
      </c>
      <c r="M420" s="232">
        <f t="shared" si="68"/>
        <v>3300</v>
      </c>
      <c r="N420" s="232">
        <f t="shared" si="68"/>
        <v>20900</v>
      </c>
      <c r="O420" s="232">
        <f t="shared" si="68"/>
        <v>-7000</v>
      </c>
      <c r="P420" s="232">
        <f t="shared" si="68"/>
        <v>-3408.47</v>
      </c>
      <c r="Q420" s="386">
        <f>Q419</f>
        <v>10491.53</v>
      </c>
      <c r="R420" s="234"/>
    </row>
    <row r="421" ht="14.25" customHeight="1">
      <c r="B421" s="81" t="s">
        <v>146</v>
      </c>
      <c r="C421" s="239">
        <v>46024.0</v>
      </c>
      <c r="D421" s="299"/>
      <c r="E421" s="294"/>
      <c r="F421" s="294"/>
      <c r="G421" s="88"/>
      <c r="H421" s="81"/>
      <c r="I421" s="88"/>
      <c r="J421" s="88"/>
      <c r="K421" s="90">
        <f t="shared" ref="K421:K438" si="69">E421-I421-L421-M421-N421-J421+F421</f>
        <v>0</v>
      </c>
      <c r="L421" s="88"/>
      <c r="M421" s="88"/>
      <c r="N421" s="295"/>
      <c r="O421" s="294"/>
      <c r="P421" s="323"/>
      <c r="Q421" s="194">
        <f t="shared" ref="Q421:Q440" si="70">Q420+N421+O421+P421</f>
        <v>10491.53</v>
      </c>
      <c r="R421" s="88"/>
    </row>
    <row r="422" ht="14.25" customHeight="1">
      <c r="B422" s="68"/>
      <c r="C422" s="236">
        <v>46056.0</v>
      </c>
      <c r="D422" s="241">
        <v>1.0</v>
      </c>
      <c r="E422" s="237">
        <v>2000.0</v>
      </c>
      <c r="F422" s="237"/>
      <c r="G422" s="237"/>
      <c r="H422" s="248"/>
      <c r="I422" s="237">
        <v>1000.0</v>
      </c>
      <c r="J422" s="237"/>
      <c r="K422" s="69">
        <f t="shared" si="69"/>
        <v>0</v>
      </c>
      <c r="L422" s="237"/>
      <c r="M422" s="237"/>
      <c r="N422" s="238">
        <v>1000.0</v>
      </c>
      <c r="O422" s="267">
        <v>-500.0</v>
      </c>
      <c r="P422" s="273"/>
      <c r="Q422" s="214">
        <f t="shared" si="70"/>
        <v>10991.53</v>
      </c>
      <c r="R422" s="71"/>
    </row>
    <row r="423" ht="14.25" customHeight="1">
      <c r="B423" s="81"/>
      <c r="C423" s="239">
        <v>46086.0</v>
      </c>
      <c r="D423" s="299"/>
      <c r="E423" s="294"/>
      <c r="F423" s="294"/>
      <c r="G423" s="88"/>
      <c r="H423" s="81"/>
      <c r="I423" s="88"/>
      <c r="J423" s="88"/>
      <c r="K423" s="90">
        <f t="shared" si="69"/>
        <v>0</v>
      </c>
      <c r="L423" s="88"/>
      <c r="M423" s="88"/>
      <c r="N423" s="295"/>
      <c r="O423" s="294"/>
      <c r="P423" s="323"/>
      <c r="Q423" s="194">
        <f t="shared" si="70"/>
        <v>10991.53</v>
      </c>
      <c r="R423" s="88"/>
    </row>
    <row r="424" ht="14.25" customHeight="1">
      <c r="B424" s="68"/>
      <c r="C424" s="236">
        <v>46148.0</v>
      </c>
      <c r="D424" s="241">
        <v>1.0</v>
      </c>
      <c r="E424" s="237">
        <v>2500.0</v>
      </c>
      <c r="F424" s="237"/>
      <c r="G424" s="237"/>
      <c r="H424" s="248"/>
      <c r="I424" s="237">
        <v>1000.0</v>
      </c>
      <c r="J424" s="237"/>
      <c r="K424" s="69">
        <f t="shared" si="69"/>
        <v>0</v>
      </c>
      <c r="L424" s="237"/>
      <c r="M424" s="237"/>
      <c r="N424" s="238">
        <v>1500.0</v>
      </c>
      <c r="O424" s="267">
        <v>-500.0</v>
      </c>
      <c r="P424" s="273"/>
      <c r="Q424" s="214">
        <f t="shared" si="70"/>
        <v>11991.53</v>
      </c>
      <c r="R424" s="71"/>
    </row>
    <row r="425" ht="14.25" customHeight="1">
      <c r="B425" s="68"/>
      <c r="C425" s="236">
        <v>46180.0</v>
      </c>
      <c r="D425" s="241">
        <v>1.0</v>
      </c>
      <c r="E425" s="237">
        <v>2800.0</v>
      </c>
      <c r="F425" s="237"/>
      <c r="G425" s="237"/>
      <c r="H425" s="248"/>
      <c r="I425" s="237">
        <v>1000.0</v>
      </c>
      <c r="J425" s="237"/>
      <c r="K425" s="69">
        <f t="shared" si="69"/>
        <v>0</v>
      </c>
      <c r="L425" s="237"/>
      <c r="M425" s="237"/>
      <c r="N425" s="238">
        <v>1800.0</v>
      </c>
      <c r="O425" s="267">
        <v>-500.0</v>
      </c>
      <c r="P425" s="273"/>
      <c r="Q425" s="214">
        <f t="shared" si="70"/>
        <v>13291.53</v>
      </c>
      <c r="R425" s="71"/>
    </row>
    <row r="426" ht="14.25" customHeight="1">
      <c r="B426" s="81"/>
      <c r="C426" s="239">
        <v>46214.0</v>
      </c>
      <c r="D426" s="299"/>
      <c r="E426" s="294"/>
      <c r="F426" s="294"/>
      <c r="G426" s="88"/>
      <c r="H426" s="81"/>
      <c r="I426" s="88"/>
      <c r="J426" s="88"/>
      <c r="K426" s="90">
        <f t="shared" si="69"/>
        <v>0</v>
      </c>
      <c r="L426" s="88"/>
      <c r="M426" s="88"/>
      <c r="N426" s="295"/>
      <c r="O426" s="294"/>
      <c r="P426" s="323"/>
      <c r="Q426" s="194">
        <f t="shared" si="70"/>
        <v>13291.53</v>
      </c>
      <c r="R426" s="88"/>
    </row>
    <row r="427" ht="14.25" customHeight="1">
      <c r="B427" s="68"/>
      <c r="C427" s="236">
        <v>46338.0</v>
      </c>
      <c r="D427" s="241">
        <v>1.0</v>
      </c>
      <c r="E427" s="237">
        <v>2000.0</v>
      </c>
      <c r="F427" s="237"/>
      <c r="G427" s="67"/>
      <c r="H427" s="68"/>
      <c r="I427" s="237">
        <v>1000.0</v>
      </c>
      <c r="J427" s="67"/>
      <c r="K427" s="69">
        <f t="shared" si="69"/>
        <v>0</v>
      </c>
      <c r="L427" s="67"/>
      <c r="M427" s="237"/>
      <c r="N427" s="238">
        <v>1000.0</v>
      </c>
      <c r="O427" s="267">
        <v>-500.0</v>
      </c>
      <c r="P427" s="273"/>
      <c r="Q427" s="214">
        <f t="shared" si="70"/>
        <v>13791.53</v>
      </c>
      <c r="R427" s="71"/>
      <c r="T427" s="174"/>
    </row>
    <row r="428" ht="14.25" customHeight="1">
      <c r="B428" s="68"/>
      <c r="C428" s="236">
        <v>46370.0</v>
      </c>
      <c r="D428" s="241">
        <v>2.0</v>
      </c>
      <c r="E428" s="237">
        <v>5300.0</v>
      </c>
      <c r="F428" s="237"/>
      <c r="G428" s="67"/>
      <c r="H428" s="68"/>
      <c r="I428" s="237">
        <v>1500.0</v>
      </c>
      <c r="J428" s="67"/>
      <c r="K428" s="69">
        <f t="shared" si="69"/>
        <v>0</v>
      </c>
      <c r="L428" s="67"/>
      <c r="M428" s="237"/>
      <c r="N428" s="238">
        <v>3800.0</v>
      </c>
      <c r="O428" s="267">
        <v>-500.0</v>
      </c>
      <c r="P428" s="273"/>
      <c r="Q428" s="214">
        <f t="shared" si="70"/>
        <v>17091.53</v>
      </c>
      <c r="R428" s="71"/>
    </row>
    <row r="429" ht="14.25" customHeight="1">
      <c r="B429" s="81"/>
      <c r="C429" s="296" t="s">
        <v>29</v>
      </c>
      <c r="D429" s="299"/>
      <c r="E429" s="294"/>
      <c r="F429" s="294"/>
      <c r="G429" s="88"/>
      <c r="H429" s="81"/>
      <c r="I429" s="88"/>
      <c r="J429" s="88"/>
      <c r="K429" s="90">
        <f t="shared" si="69"/>
        <v>0</v>
      </c>
      <c r="L429" s="88"/>
      <c r="M429" s="88"/>
      <c r="N429" s="295"/>
      <c r="O429" s="294"/>
      <c r="P429" s="323"/>
      <c r="Q429" s="194">
        <f t="shared" si="70"/>
        <v>17091.53</v>
      </c>
      <c r="R429" s="88"/>
    </row>
    <row r="430" ht="14.25" customHeight="1">
      <c r="B430" s="68"/>
      <c r="C430" s="243" t="s">
        <v>54</v>
      </c>
      <c r="D430" s="241">
        <v>2.0</v>
      </c>
      <c r="E430" s="237">
        <v>3700.0</v>
      </c>
      <c r="F430" s="237"/>
      <c r="G430" s="67"/>
      <c r="H430" s="68"/>
      <c r="I430" s="237">
        <v>1500.0</v>
      </c>
      <c r="J430" s="237"/>
      <c r="K430" s="69">
        <f t="shared" si="69"/>
        <v>0</v>
      </c>
      <c r="L430" s="237"/>
      <c r="M430" s="67"/>
      <c r="N430" s="238">
        <v>2200.0</v>
      </c>
      <c r="O430" s="267">
        <v>-500.0</v>
      </c>
      <c r="P430" s="273"/>
      <c r="Q430" s="214">
        <f t="shared" si="70"/>
        <v>18791.53</v>
      </c>
      <c r="R430" s="267"/>
    </row>
    <row r="431" ht="14.25" customHeight="1">
      <c r="B431" s="81"/>
      <c r="C431" s="296" t="s">
        <v>32</v>
      </c>
      <c r="D431" s="299"/>
      <c r="E431" s="294"/>
      <c r="F431" s="294"/>
      <c r="G431" s="88"/>
      <c r="H431" s="81"/>
      <c r="I431" s="88"/>
      <c r="J431" s="88"/>
      <c r="K431" s="90">
        <f t="shared" si="69"/>
        <v>0</v>
      </c>
      <c r="L431" s="88"/>
      <c r="M431" s="88"/>
      <c r="N431" s="295"/>
      <c r="O431" s="294"/>
      <c r="P431" s="323"/>
      <c r="Q431" s="194">
        <f t="shared" si="70"/>
        <v>18791.53</v>
      </c>
      <c r="R431" s="88"/>
    </row>
    <row r="432" ht="14.25" customHeight="1">
      <c r="B432" s="68"/>
      <c r="C432" s="243" t="s">
        <v>33</v>
      </c>
      <c r="D432" s="241">
        <v>1.0</v>
      </c>
      <c r="E432" s="237">
        <v>2400.0</v>
      </c>
      <c r="F432" s="237"/>
      <c r="G432" s="237"/>
      <c r="H432" s="68"/>
      <c r="I432" s="237">
        <v>2000.0</v>
      </c>
      <c r="J432" s="237"/>
      <c r="K432" s="69">
        <f t="shared" si="69"/>
        <v>0</v>
      </c>
      <c r="L432" s="237"/>
      <c r="M432" s="237"/>
      <c r="N432" s="238">
        <v>400.0</v>
      </c>
      <c r="O432" s="267"/>
      <c r="P432" s="273"/>
      <c r="Q432" s="214">
        <f t="shared" si="70"/>
        <v>19191.53</v>
      </c>
      <c r="R432" s="267" t="s">
        <v>43</v>
      </c>
    </row>
    <row r="433" ht="14.25" customHeight="1">
      <c r="B433" s="68"/>
      <c r="C433" s="243" t="s">
        <v>64</v>
      </c>
      <c r="D433" s="241">
        <v>2.0</v>
      </c>
      <c r="E433" s="237">
        <v>5000.0</v>
      </c>
      <c r="F433" s="237"/>
      <c r="G433" s="237"/>
      <c r="H433" s="68"/>
      <c r="I433" s="237">
        <v>1500.0</v>
      </c>
      <c r="J433" s="237"/>
      <c r="K433" s="69">
        <f t="shared" si="69"/>
        <v>0</v>
      </c>
      <c r="L433" s="237"/>
      <c r="M433" s="237"/>
      <c r="N433" s="238">
        <v>3500.0</v>
      </c>
      <c r="O433" s="267">
        <v>-500.0</v>
      </c>
      <c r="P433" s="273"/>
      <c r="Q433" s="214">
        <f t="shared" si="70"/>
        <v>22191.53</v>
      </c>
      <c r="R433" s="71"/>
    </row>
    <row r="434" ht="14.25" customHeight="1">
      <c r="B434" s="81"/>
      <c r="C434" s="296" t="s">
        <v>206</v>
      </c>
      <c r="D434" s="299"/>
      <c r="E434" s="294"/>
      <c r="F434" s="294"/>
      <c r="G434" s="88"/>
      <c r="H434" s="81"/>
      <c r="I434" s="88"/>
      <c r="J434" s="88"/>
      <c r="K434" s="90">
        <f t="shared" si="69"/>
        <v>0</v>
      </c>
      <c r="L434" s="88"/>
      <c r="M434" s="88"/>
      <c r="N434" s="295"/>
      <c r="O434" s="294"/>
      <c r="P434" s="323"/>
      <c r="Q434" s="194">
        <f t="shared" si="70"/>
        <v>22191.53</v>
      </c>
      <c r="R434" s="88"/>
    </row>
    <row r="435" ht="14.25" customHeight="1">
      <c r="B435" s="68"/>
      <c r="C435" s="243" t="s">
        <v>72</v>
      </c>
      <c r="D435" s="241">
        <v>1.0</v>
      </c>
      <c r="E435" s="237">
        <v>3150.0</v>
      </c>
      <c r="F435" s="237"/>
      <c r="G435" s="67"/>
      <c r="H435" s="68"/>
      <c r="I435" s="237">
        <v>1000.0</v>
      </c>
      <c r="J435" s="237"/>
      <c r="K435" s="69">
        <f t="shared" si="69"/>
        <v>0</v>
      </c>
      <c r="L435" s="67"/>
      <c r="M435" s="237">
        <v>2150.0</v>
      </c>
      <c r="N435" s="238">
        <v>0.0</v>
      </c>
      <c r="O435" s="267">
        <v>-500.0</v>
      </c>
      <c r="P435" s="273"/>
      <c r="Q435" s="214">
        <f t="shared" si="70"/>
        <v>21691.53</v>
      </c>
      <c r="R435" s="273"/>
    </row>
    <row r="436" ht="14.25" customHeight="1">
      <c r="B436" s="68"/>
      <c r="C436" s="243" t="s">
        <v>88</v>
      </c>
      <c r="D436" s="241">
        <v>2.0</v>
      </c>
      <c r="E436" s="237">
        <v>4300.0</v>
      </c>
      <c r="F436" s="237"/>
      <c r="G436" s="67"/>
      <c r="H436" s="68"/>
      <c r="I436" s="237">
        <v>1500.0</v>
      </c>
      <c r="J436" s="237"/>
      <c r="K436" s="69">
        <f t="shared" si="69"/>
        <v>0</v>
      </c>
      <c r="L436" s="67"/>
      <c r="M436" s="237">
        <v>2800.0</v>
      </c>
      <c r="N436" s="238">
        <v>0.0</v>
      </c>
      <c r="O436" s="267">
        <v>-500.0</v>
      </c>
      <c r="P436" s="273"/>
      <c r="Q436" s="214">
        <f t="shared" si="70"/>
        <v>21191.53</v>
      </c>
      <c r="R436" s="273"/>
    </row>
    <row r="437" ht="14.25" customHeight="1">
      <c r="B437" s="68"/>
      <c r="C437" s="243"/>
      <c r="D437" s="241"/>
      <c r="E437" s="237"/>
      <c r="F437" s="237"/>
      <c r="G437" s="67"/>
      <c r="H437" s="68"/>
      <c r="I437" s="237"/>
      <c r="J437" s="237"/>
      <c r="K437" s="69">
        <f t="shared" si="69"/>
        <v>0</v>
      </c>
      <c r="L437" s="67"/>
      <c r="M437" s="67"/>
      <c r="N437" s="238"/>
      <c r="O437" s="267"/>
      <c r="P437" s="273"/>
      <c r="Q437" s="214">
        <f t="shared" si="70"/>
        <v>21191.53</v>
      </c>
      <c r="R437" s="273" t="s">
        <v>208</v>
      </c>
    </row>
    <row r="438" ht="14.25" customHeight="1">
      <c r="B438" s="68"/>
      <c r="C438" s="243"/>
      <c r="D438" s="241"/>
      <c r="E438" s="237"/>
      <c r="F438" s="67"/>
      <c r="G438" s="67"/>
      <c r="H438" s="68"/>
      <c r="I438" s="237"/>
      <c r="J438" s="237"/>
      <c r="K438" s="69">
        <f t="shared" si="69"/>
        <v>0</v>
      </c>
      <c r="L438" s="67"/>
      <c r="M438" s="67"/>
      <c r="N438" s="238"/>
      <c r="O438" s="267"/>
      <c r="P438" s="273"/>
      <c r="Q438" s="214">
        <f t="shared" si="70"/>
        <v>21191.53</v>
      </c>
      <c r="R438" s="273" t="s">
        <v>55</v>
      </c>
    </row>
    <row r="439" ht="14.25" customHeight="1">
      <c r="B439" s="68"/>
      <c r="C439" s="243"/>
      <c r="D439" s="241"/>
      <c r="E439" s="237"/>
      <c r="F439" s="67"/>
      <c r="G439" s="67"/>
      <c r="H439" s="68"/>
      <c r="I439" s="237"/>
      <c r="J439" s="67"/>
      <c r="K439" s="69"/>
      <c r="L439" s="67"/>
      <c r="M439" s="67"/>
      <c r="N439" s="238"/>
      <c r="O439" s="267"/>
      <c r="P439" s="273">
        <v>-1199.0</v>
      </c>
      <c r="Q439" s="214">
        <f t="shared" si="70"/>
        <v>19992.53</v>
      </c>
      <c r="R439" s="273" t="s">
        <v>250</v>
      </c>
    </row>
    <row r="440" ht="14.25" customHeight="1">
      <c r="B440" s="68"/>
      <c r="C440" s="243"/>
      <c r="D440" s="241"/>
      <c r="E440" s="237"/>
      <c r="F440" s="67"/>
      <c r="G440" s="67"/>
      <c r="H440" s="68"/>
      <c r="I440" s="237"/>
      <c r="J440" s="67"/>
      <c r="K440" s="69">
        <f>E440-I440-L440-M440-N440-J440+F440</f>
        <v>0</v>
      </c>
      <c r="L440" s="67"/>
      <c r="M440" s="67"/>
      <c r="N440" s="238"/>
      <c r="O440" s="267"/>
      <c r="P440" s="273">
        <v>-19992.53</v>
      </c>
      <c r="Q440" s="214">
        <f t="shared" si="70"/>
        <v>0</v>
      </c>
      <c r="R440" s="273"/>
    </row>
    <row r="441" ht="14.25" customHeight="1">
      <c r="B441" s="283" t="s">
        <v>146</v>
      </c>
      <c r="C441" s="229" t="s">
        <v>66</v>
      </c>
      <c r="D441" s="228">
        <f t="shared" ref="D441:P441" si="71">sum(D421:D440)</f>
        <v>14</v>
      </c>
      <c r="E441" s="232">
        <f t="shared" si="71"/>
        <v>33150</v>
      </c>
      <c r="F441" s="232">
        <f t="shared" si="71"/>
        <v>0</v>
      </c>
      <c r="G441" s="232">
        <f t="shared" si="71"/>
        <v>0</v>
      </c>
      <c r="H441" s="232">
        <f t="shared" si="71"/>
        <v>0</v>
      </c>
      <c r="I441" s="232">
        <f t="shared" si="71"/>
        <v>13000</v>
      </c>
      <c r="J441" s="232">
        <f t="shared" si="71"/>
        <v>0</v>
      </c>
      <c r="K441" s="232">
        <f t="shared" si="71"/>
        <v>0</v>
      </c>
      <c r="L441" s="232">
        <f t="shared" si="71"/>
        <v>0</v>
      </c>
      <c r="M441" s="232">
        <f t="shared" si="71"/>
        <v>4950</v>
      </c>
      <c r="N441" s="232">
        <f t="shared" si="71"/>
        <v>15200</v>
      </c>
      <c r="O441" s="232">
        <f t="shared" si="71"/>
        <v>-4500</v>
      </c>
      <c r="P441" s="232">
        <f t="shared" si="71"/>
        <v>-21191.53</v>
      </c>
      <c r="Q441" s="386">
        <f>Q440</f>
        <v>0</v>
      </c>
      <c r="R441" s="234"/>
    </row>
    <row r="442" ht="14.25" customHeight="1">
      <c r="B442" s="248" t="s">
        <v>253</v>
      </c>
      <c r="C442" s="243"/>
      <c r="D442" s="241"/>
      <c r="E442" s="237"/>
      <c r="F442" s="237"/>
      <c r="G442" s="237"/>
      <c r="H442" s="248"/>
      <c r="I442" s="237"/>
      <c r="J442" s="237"/>
      <c r="K442" s="69"/>
      <c r="L442" s="237"/>
      <c r="M442" s="237"/>
      <c r="N442" s="238"/>
      <c r="O442" s="267"/>
      <c r="P442" s="273">
        <f>1300*3</f>
        <v>3900</v>
      </c>
      <c r="Q442" s="214">
        <f t="shared" ref="Q442:Q466" si="72">Q441+N442+O442+P442</f>
        <v>3900</v>
      </c>
      <c r="R442" s="71" t="s">
        <v>255</v>
      </c>
    </row>
    <row r="443" ht="14.25" customHeight="1">
      <c r="B443" s="68"/>
      <c r="C443" s="243" t="s">
        <v>75</v>
      </c>
      <c r="D443" s="241">
        <v>1.0</v>
      </c>
      <c r="E443" s="237">
        <v>1700.0</v>
      </c>
      <c r="F443" s="237"/>
      <c r="G443" s="237"/>
      <c r="H443" s="248"/>
      <c r="I443" s="237"/>
      <c r="J443" s="237"/>
      <c r="K443" s="69">
        <f t="shared" ref="K443:K466" si="73">E443-I443-L443-M443-N443-J443+F443</f>
        <v>0</v>
      </c>
      <c r="L443" s="237"/>
      <c r="M443" s="237">
        <v>1700.0</v>
      </c>
      <c r="N443" s="238"/>
      <c r="O443" s="273">
        <v>-500.0</v>
      </c>
      <c r="P443" s="273">
        <v>-2845.0</v>
      </c>
      <c r="Q443" s="214">
        <f t="shared" si="72"/>
        <v>555</v>
      </c>
      <c r="R443" s="267" t="s">
        <v>256</v>
      </c>
    </row>
    <row r="444" ht="14.25" customHeight="1">
      <c r="B444" s="81"/>
      <c r="C444" s="239">
        <v>46024.0</v>
      </c>
      <c r="D444" s="299"/>
      <c r="E444" s="294"/>
      <c r="F444" s="294"/>
      <c r="G444" s="88"/>
      <c r="H444" s="81"/>
      <c r="I444" s="88"/>
      <c r="J444" s="88"/>
      <c r="K444" s="90">
        <f t="shared" si="73"/>
        <v>0</v>
      </c>
      <c r="L444" s="88"/>
      <c r="M444" s="88"/>
      <c r="N444" s="295"/>
      <c r="O444" s="323"/>
      <c r="P444" s="323"/>
      <c r="Q444" s="194">
        <f t="shared" si="72"/>
        <v>555</v>
      </c>
      <c r="R444" s="88"/>
    </row>
    <row r="445" ht="14.25" customHeight="1">
      <c r="B445" s="68"/>
      <c r="C445" s="236">
        <v>46056.0</v>
      </c>
      <c r="D445" s="241">
        <v>1.0</v>
      </c>
      <c r="E445" s="237">
        <v>2000.0</v>
      </c>
      <c r="F445" s="237"/>
      <c r="G445" s="237"/>
      <c r="H445" s="248"/>
      <c r="I445" s="237">
        <v>1000.0</v>
      </c>
      <c r="J445" s="237"/>
      <c r="K445" s="69">
        <f t="shared" si="73"/>
        <v>0</v>
      </c>
      <c r="L445" s="237"/>
      <c r="M445" s="237"/>
      <c r="N445" s="238">
        <v>1000.0</v>
      </c>
      <c r="O445" s="273">
        <v>-500.0</v>
      </c>
      <c r="P445" s="273"/>
      <c r="Q445" s="214">
        <f t="shared" si="72"/>
        <v>1055</v>
      </c>
      <c r="R445" s="71"/>
    </row>
    <row r="446" ht="14.25" customHeight="1">
      <c r="B446" s="68"/>
      <c r="C446" s="236">
        <v>46086.0</v>
      </c>
      <c r="D446" s="241">
        <v>2.0</v>
      </c>
      <c r="E446" s="237">
        <v>5000.0</v>
      </c>
      <c r="F446" s="237"/>
      <c r="G446" s="237"/>
      <c r="H446" s="248"/>
      <c r="I446" s="237">
        <v>1500.0</v>
      </c>
      <c r="J446" s="237"/>
      <c r="K446" s="69">
        <f t="shared" si="73"/>
        <v>0</v>
      </c>
      <c r="L446" s="237"/>
      <c r="M446" s="237"/>
      <c r="N446" s="238">
        <v>3500.0</v>
      </c>
      <c r="O446" s="273">
        <v>-500.0</v>
      </c>
      <c r="P446" s="273"/>
      <c r="Q446" s="214">
        <f t="shared" si="72"/>
        <v>4055</v>
      </c>
      <c r="R446" s="71"/>
    </row>
    <row r="447" ht="14.25" customHeight="1">
      <c r="B447" s="81"/>
      <c r="C447" s="239">
        <v>46149.0</v>
      </c>
      <c r="D447" s="299"/>
      <c r="E447" s="294"/>
      <c r="F447" s="294"/>
      <c r="G447" s="88"/>
      <c r="H447" s="81"/>
      <c r="I447" s="88"/>
      <c r="J447" s="88"/>
      <c r="K447" s="90">
        <f t="shared" si="73"/>
        <v>0</v>
      </c>
      <c r="L447" s="88"/>
      <c r="M447" s="88"/>
      <c r="N447" s="295"/>
      <c r="O447" s="323"/>
      <c r="P447" s="323"/>
      <c r="Q447" s="194">
        <f t="shared" si="72"/>
        <v>4055</v>
      </c>
      <c r="R447" s="88"/>
    </row>
    <row r="448" ht="14.25" customHeight="1">
      <c r="B448" s="68"/>
      <c r="C448" s="236">
        <v>46211.0</v>
      </c>
      <c r="D448" s="241">
        <v>1.0</v>
      </c>
      <c r="E448" s="237">
        <v>2000.0</v>
      </c>
      <c r="F448" s="237"/>
      <c r="G448" s="67"/>
      <c r="H448" s="68"/>
      <c r="I448" s="237">
        <v>1000.0</v>
      </c>
      <c r="J448" s="67"/>
      <c r="K448" s="69">
        <f t="shared" si="73"/>
        <v>0</v>
      </c>
      <c r="L448" s="67"/>
      <c r="M448" s="237"/>
      <c r="N448" s="238">
        <v>1000.0</v>
      </c>
      <c r="O448" s="273">
        <v>-500.0</v>
      </c>
      <c r="P448" s="273"/>
      <c r="Q448" s="214">
        <f t="shared" si="72"/>
        <v>4555</v>
      </c>
      <c r="R448" s="71"/>
      <c r="T448" s="174"/>
    </row>
    <row r="449" ht="14.25" customHeight="1">
      <c r="B449" s="68"/>
      <c r="C449" s="236">
        <v>46244.0</v>
      </c>
      <c r="D449" s="241">
        <v>2.0</v>
      </c>
      <c r="E449" s="237">
        <v>3700.0</v>
      </c>
      <c r="F449" s="237"/>
      <c r="G449" s="67"/>
      <c r="H449" s="68"/>
      <c r="I449" s="237">
        <v>1500.0</v>
      </c>
      <c r="J449" s="67"/>
      <c r="K449" s="69">
        <f t="shared" si="73"/>
        <v>0</v>
      </c>
      <c r="L449" s="67"/>
      <c r="M449" s="237"/>
      <c r="N449" s="238">
        <v>2200.0</v>
      </c>
      <c r="O449" s="273">
        <v>-500.0</v>
      </c>
      <c r="P449" s="273"/>
      <c r="Q449" s="214">
        <f t="shared" si="72"/>
        <v>6255</v>
      </c>
      <c r="R449" s="71"/>
    </row>
    <row r="450" ht="14.25" customHeight="1">
      <c r="B450" s="81"/>
      <c r="C450" s="239">
        <v>46306.0</v>
      </c>
      <c r="D450" s="299"/>
      <c r="E450" s="294"/>
      <c r="F450" s="294"/>
      <c r="G450" s="88"/>
      <c r="H450" s="81"/>
      <c r="I450" s="88"/>
      <c r="J450" s="88"/>
      <c r="K450" s="90">
        <f t="shared" si="73"/>
        <v>0</v>
      </c>
      <c r="L450" s="88"/>
      <c r="M450" s="88"/>
      <c r="N450" s="295"/>
      <c r="O450" s="323"/>
      <c r="P450" s="323"/>
      <c r="Q450" s="194">
        <f t="shared" si="72"/>
        <v>6255</v>
      </c>
      <c r="R450" s="88"/>
    </row>
    <row r="451" ht="14.25" customHeight="1">
      <c r="B451" s="68"/>
      <c r="C451" s="236">
        <v>46338.0</v>
      </c>
      <c r="D451" s="241">
        <v>1.0</v>
      </c>
      <c r="E451" s="237">
        <v>2800.0</v>
      </c>
      <c r="F451" s="237"/>
      <c r="G451" s="67"/>
      <c r="H451" s="68"/>
      <c r="I451" s="237">
        <v>1000.0</v>
      </c>
      <c r="J451" s="237"/>
      <c r="K451" s="69">
        <f t="shared" si="73"/>
        <v>0</v>
      </c>
      <c r="L451" s="237"/>
      <c r="M451" s="67"/>
      <c r="N451" s="238">
        <v>1800.0</v>
      </c>
      <c r="O451" s="273">
        <v>-500.0</v>
      </c>
      <c r="P451" s="273"/>
      <c r="Q451" s="214">
        <f t="shared" si="72"/>
        <v>7555</v>
      </c>
      <c r="R451" s="267"/>
    </row>
    <row r="452" ht="14.25" customHeight="1">
      <c r="B452" s="81"/>
      <c r="C452" s="239">
        <v>46370.0</v>
      </c>
      <c r="D452" s="299"/>
      <c r="E452" s="294"/>
      <c r="F452" s="294"/>
      <c r="G452" s="88"/>
      <c r="H452" s="81"/>
      <c r="I452" s="88"/>
      <c r="J452" s="88"/>
      <c r="K452" s="90">
        <f t="shared" si="73"/>
        <v>0</v>
      </c>
      <c r="L452" s="88"/>
      <c r="M452" s="88"/>
      <c r="N452" s="295"/>
      <c r="O452" s="323"/>
      <c r="P452" s="323"/>
      <c r="Q452" s="194">
        <f t="shared" si="72"/>
        <v>7555</v>
      </c>
      <c r="R452" s="88"/>
    </row>
    <row r="453" ht="14.25" customHeight="1">
      <c r="B453" s="68"/>
      <c r="C453" s="243" t="s">
        <v>101</v>
      </c>
      <c r="D453" s="241">
        <v>2.0</v>
      </c>
      <c r="E453" s="237">
        <v>4000.0</v>
      </c>
      <c r="F453" s="237"/>
      <c r="G453" s="237"/>
      <c r="H453" s="68"/>
      <c r="I453" s="237">
        <v>1500.0</v>
      </c>
      <c r="J453" s="237"/>
      <c r="K453" s="69">
        <f t="shared" si="73"/>
        <v>0</v>
      </c>
      <c r="L453" s="237"/>
      <c r="M453" s="237"/>
      <c r="N453" s="238">
        <v>2500.0</v>
      </c>
      <c r="O453" s="273">
        <v>-500.0</v>
      </c>
      <c r="P453" s="273"/>
      <c r="Q453" s="214">
        <f t="shared" si="72"/>
        <v>9555</v>
      </c>
      <c r="R453" s="267"/>
    </row>
    <row r="454" ht="14.25" customHeight="1">
      <c r="B454" s="81"/>
      <c r="C454" s="296" t="s">
        <v>31</v>
      </c>
      <c r="D454" s="299"/>
      <c r="E454" s="294"/>
      <c r="F454" s="294"/>
      <c r="G454" s="88"/>
      <c r="H454" s="81"/>
      <c r="I454" s="88"/>
      <c r="J454" s="88"/>
      <c r="K454" s="90">
        <f t="shared" si="73"/>
        <v>0</v>
      </c>
      <c r="L454" s="88"/>
      <c r="M454" s="88"/>
      <c r="N454" s="295"/>
      <c r="O454" s="323"/>
      <c r="P454" s="323"/>
      <c r="Q454" s="194">
        <f t="shared" si="72"/>
        <v>9555</v>
      </c>
      <c r="R454" s="88"/>
    </row>
    <row r="455" ht="14.25" customHeight="1">
      <c r="B455" s="68"/>
      <c r="C455" s="243" t="s">
        <v>56</v>
      </c>
      <c r="D455" s="241">
        <v>2.0</v>
      </c>
      <c r="E455" s="237">
        <v>5000.0</v>
      </c>
      <c r="F455" s="237"/>
      <c r="G455" s="67"/>
      <c r="H455" s="68"/>
      <c r="I455" s="237">
        <v>1500.0</v>
      </c>
      <c r="J455" s="237"/>
      <c r="K455" s="69">
        <f t="shared" si="73"/>
        <v>0</v>
      </c>
      <c r="L455" s="67"/>
      <c r="M455" s="237"/>
      <c r="N455" s="238">
        <v>3500.0</v>
      </c>
      <c r="O455" s="273">
        <v>-500.0</v>
      </c>
      <c r="P455" s="273"/>
      <c r="Q455" s="214">
        <f t="shared" si="72"/>
        <v>12555</v>
      </c>
      <c r="R455" s="273"/>
    </row>
    <row r="456" ht="14.25" customHeight="1">
      <c r="B456" s="81"/>
      <c r="C456" s="296" t="s">
        <v>144</v>
      </c>
      <c r="D456" s="299"/>
      <c r="E456" s="294"/>
      <c r="F456" s="294"/>
      <c r="G456" s="88"/>
      <c r="H456" s="81"/>
      <c r="I456" s="88"/>
      <c r="J456" s="88"/>
      <c r="K456" s="90">
        <f t="shared" si="73"/>
        <v>0</v>
      </c>
      <c r="L456" s="88"/>
      <c r="M456" s="88"/>
      <c r="N456" s="295"/>
      <c r="O456" s="323"/>
      <c r="P456" s="323"/>
      <c r="Q456" s="194">
        <f t="shared" si="72"/>
        <v>12555</v>
      </c>
      <c r="R456" s="88"/>
    </row>
    <row r="457" ht="14.25" customHeight="1">
      <c r="B457" s="68"/>
      <c r="C457" s="243" t="s">
        <v>37</v>
      </c>
      <c r="D457" s="241">
        <v>1.0</v>
      </c>
      <c r="E457" s="237">
        <v>2300.0</v>
      </c>
      <c r="F457" s="237">
        <v>350.0</v>
      </c>
      <c r="G457" s="67"/>
      <c r="H457" s="68"/>
      <c r="I457" s="237">
        <v>1350.0</v>
      </c>
      <c r="J457" s="237"/>
      <c r="K457" s="69">
        <f t="shared" si="73"/>
        <v>0</v>
      </c>
      <c r="L457" s="67"/>
      <c r="M457" s="237"/>
      <c r="N457" s="238">
        <v>1300.0</v>
      </c>
      <c r="O457" s="273">
        <v>-500.0</v>
      </c>
      <c r="P457" s="273"/>
      <c r="Q457" s="214">
        <f t="shared" si="72"/>
        <v>13355</v>
      </c>
      <c r="R457" s="273"/>
    </row>
    <row r="458" ht="14.25" customHeight="1">
      <c r="B458" s="81"/>
      <c r="C458" s="296" t="s">
        <v>108</v>
      </c>
      <c r="D458" s="299"/>
      <c r="E458" s="294"/>
      <c r="F458" s="294"/>
      <c r="G458" s="88"/>
      <c r="H458" s="81"/>
      <c r="I458" s="88"/>
      <c r="J458" s="88"/>
      <c r="K458" s="90">
        <f t="shared" si="73"/>
        <v>0</v>
      </c>
      <c r="L458" s="88"/>
      <c r="M458" s="88"/>
      <c r="N458" s="295"/>
      <c r="O458" s="323"/>
      <c r="P458" s="323"/>
      <c r="Q458" s="194">
        <f t="shared" si="72"/>
        <v>13355</v>
      </c>
      <c r="R458" s="88"/>
    </row>
    <row r="459" ht="14.25" customHeight="1">
      <c r="B459" s="68"/>
      <c r="C459" s="243" t="s">
        <v>45</v>
      </c>
      <c r="D459" s="241">
        <v>1.0</v>
      </c>
      <c r="E459" s="237">
        <v>3150.0</v>
      </c>
      <c r="F459" s="237"/>
      <c r="G459" s="67"/>
      <c r="H459" s="68"/>
      <c r="I459" s="237">
        <v>1000.0</v>
      </c>
      <c r="J459" s="237"/>
      <c r="K459" s="69">
        <f t="shared" si="73"/>
        <v>0</v>
      </c>
      <c r="L459" s="67"/>
      <c r="M459" s="237"/>
      <c r="N459" s="238">
        <v>2150.0</v>
      </c>
      <c r="O459" s="273">
        <v>-500.0</v>
      </c>
      <c r="P459" s="273"/>
      <c r="Q459" s="214">
        <f t="shared" si="72"/>
        <v>15005</v>
      </c>
      <c r="R459" s="273"/>
    </row>
    <row r="460" ht="14.25" customHeight="1">
      <c r="B460" s="81"/>
      <c r="C460" s="296" t="s">
        <v>47</v>
      </c>
      <c r="D460" s="299"/>
      <c r="E460" s="294"/>
      <c r="F460" s="294"/>
      <c r="G460" s="88"/>
      <c r="H460" s="81"/>
      <c r="I460" s="88"/>
      <c r="J460" s="88"/>
      <c r="K460" s="90">
        <f t="shared" si="73"/>
        <v>0</v>
      </c>
      <c r="L460" s="88"/>
      <c r="M460" s="88"/>
      <c r="N460" s="295"/>
      <c r="O460" s="323"/>
      <c r="P460" s="323"/>
      <c r="Q460" s="194">
        <f t="shared" si="72"/>
        <v>15005</v>
      </c>
      <c r="R460" s="88"/>
    </row>
    <row r="461" ht="14.25" customHeight="1">
      <c r="B461" s="68"/>
      <c r="C461" s="243" t="s">
        <v>48</v>
      </c>
      <c r="D461" s="241">
        <v>2.0</v>
      </c>
      <c r="E461" s="237">
        <v>3500.0</v>
      </c>
      <c r="F461" s="237">
        <v>800.0</v>
      </c>
      <c r="G461" s="67"/>
      <c r="H461" s="68"/>
      <c r="I461" s="237">
        <v>1900.0</v>
      </c>
      <c r="J461" s="237"/>
      <c r="K461" s="69">
        <f t="shared" si="73"/>
        <v>0</v>
      </c>
      <c r="L461" s="67"/>
      <c r="M461" s="237"/>
      <c r="N461" s="238">
        <v>2400.0</v>
      </c>
      <c r="O461" s="273">
        <v>-500.0</v>
      </c>
      <c r="P461" s="273"/>
      <c r="Q461" s="214">
        <f t="shared" si="72"/>
        <v>16905</v>
      </c>
      <c r="R461" s="273"/>
    </row>
    <row r="462" ht="14.25" customHeight="1">
      <c r="B462" s="81"/>
      <c r="C462" s="296" t="s">
        <v>137</v>
      </c>
      <c r="D462" s="299"/>
      <c r="E462" s="294"/>
      <c r="F462" s="294"/>
      <c r="G462" s="88"/>
      <c r="H462" s="81"/>
      <c r="I462" s="88"/>
      <c r="J462" s="88"/>
      <c r="K462" s="90">
        <f t="shared" si="73"/>
        <v>0</v>
      </c>
      <c r="L462" s="88"/>
      <c r="M462" s="88"/>
      <c r="N462" s="295"/>
      <c r="O462" s="323">
        <v>-500.0</v>
      </c>
      <c r="P462" s="323"/>
      <c r="Q462" s="194">
        <f t="shared" si="72"/>
        <v>16405</v>
      </c>
      <c r="R462" s="88" t="s">
        <v>259</v>
      </c>
    </row>
    <row r="463" ht="14.25" customHeight="1">
      <c r="B463" s="68"/>
      <c r="C463" s="243" t="s">
        <v>52</v>
      </c>
      <c r="D463" s="241">
        <v>1.0</v>
      </c>
      <c r="E463" s="237">
        <v>2000.0</v>
      </c>
      <c r="F463" s="237"/>
      <c r="G463" s="67"/>
      <c r="H463" s="68"/>
      <c r="I463" s="237"/>
      <c r="J463" s="237"/>
      <c r="K463" s="69">
        <f t="shared" si="73"/>
        <v>0</v>
      </c>
      <c r="L463" s="67"/>
      <c r="M463" s="67"/>
      <c r="N463" s="238">
        <v>2000.0</v>
      </c>
      <c r="O463" s="273">
        <v>-500.0</v>
      </c>
      <c r="P463" s="273"/>
      <c r="Q463" s="214">
        <f t="shared" si="72"/>
        <v>17905</v>
      </c>
      <c r="R463" s="273"/>
    </row>
    <row r="464" ht="14.25" customHeight="1">
      <c r="B464" s="68"/>
      <c r="C464" s="243"/>
      <c r="D464" s="241"/>
      <c r="E464" s="237"/>
      <c r="F464" s="67"/>
      <c r="G464" s="67"/>
      <c r="H464" s="68"/>
      <c r="I464" s="237"/>
      <c r="J464" s="237"/>
      <c r="K464" s="69">
        <f t="shared" si="73"/>
        <v>0</v>
      </c>
      <c r="L464" s="67"/>
      <c r="M464" s="67"/>
      <c r="N464" s="238"/>
      <c r="O464" s="267"/>
      <c r="P464" s="273"/>
      <c r="Q464" s="214">
        <f t="shared" si="72"/>
        <v>17905</v>
      </c>
      <c r="R464" s="273" t="s">
        <v>208</v>
      </c>
    </row>
    <row r="465" ht="14.25" customHeight="1">
      <c r="B465" s="68"/>
      <c r="C465" s="243"/>
      <c r="D465" s="241"/>
      <c r="E465" s="237"/>
      <c r="F465" s="67"/>
      <c r="G465" s="67"/>
      <c r="H465" s="68"/>
      <c r="I465" s="237"/>
      <c r="J465" s="67"/>
      <c r="K465" s="69">
        <f t="shared" si="73"/>
        <v>0</v>
      </c>
      <c r="L465" s="67"/>
      <c r="M465" s="67"/>
      <c r="N465" s="238"/>
      <c r="O465" s="267"/>
      <c r="P465" s="273"/>
      <c r="Q465" s="214">
        <f t="shared" si="72"/>
        <v>17905</v>
      </c>
      <c r="R465" s="273" t="s">
        <v>55</v>
      </c>
    </row>
    <row r="466" ht="14.25" customHeight="1">
      <c r="B466" s="68"/>
      <c r="C466" s="243"/>
      <c r="D466" s="241"/>
      <c r="E466" s="237"/>
      <c r="F466" s="67"/>
      <c r="G466" s="67"/>
      <c r="H466" s="68"/>
      <c r="I466" s="237"/>
      <c r="J466" s="67"/>
      <c r="K466" s="69">
        <f t="shared" si="73"/>
        <v>0</v>
      </c>
      <c r="L466" s="67"/>
      <c r="M466" s="67"/>
      <c r="N466" s="238"/>
      <c r="O466" s="267"/>
      <c r="P466" s="273">
        <v>-17905.0</v>
      </c>
      <c r="Q466" s="214">
        <f t="shared" si="72"/>
        <v>0</v>
      </c>
      <c r="R466" s="273"/>
    </row>
    <row r="467" ht="14.25" customHeight="1">
      <c r="B467" s="283" t="s">
        <v>253</v>
      </c>
      <c r="C467" s="229" t="s">
        <v>66</v>
      </c>
      <c r="D467" s="228">
        <f t="shared" ref="D467:P467" si="74">sum(D442:D466)</f>
        <v>17</v>
      </c>
      <c r="E467" s="232">
        <f t="shared" si="74"/>
        <v>37150</v>
      </c>
      <c r="F467" s="232">
        <f t="shared" si="74"/>
        <v>1150</v>
      </c>
      <c r="G467" s="232">
        <f t="shared" si="74"/>
        <v>0</v>
      </c>
      <c r="H467" s="232">
        <f t="shared" si="74"/>
        <v>0</v>
      </c>
      <c r="I467" s="232">
        <f t="shared" si="74"/>
        <v>13250</v>
      </c>
      <c r="J467" s="232">
        <f t="shared" si="74"/>
        <v>0</v>
      </c>
      <c r="K467" s="232">
        <f t="shared" si="74"/>
        <v>0</v>
      </c>
      <c r="L467" s="232">
        <f t="shared" si="74"/>
        <v>0</v>
      </c>
      <c r="M467" s="232">
        <f t="shared" si="74"/>
        <v>1700</v>
      </c>
      <c r="N467" s="232">
        <f t="shared" si="74"/>
        <v>23350</v>
      </c>
      <c r="O467" s="232">
        <f t="shared" si="74"/>
        <v>-6500</v>
      </c>
      <c r="P467" s="232">
        <f t="shared" si="74"/>
        <v>-16850</v>
      </c>
      <c r="Q467" s="386">
        <f>Q466</f>
        <v>0</v>
      </c>
      <c r="R467" s="234"/>
    </row>
    <row r="468" ht="14.25" customHeight="1">
      <c r="B468" s="248" t="s">
        <v>260</v>
      </c>
      <c r="C468" s="236">
        <v>46024.0</v>
      </c>
      <c r="D468" s="241">
        <v>1.0</v>
      </c>
      <c r="E468" s="237">
        <v>2800.0</v>
      </c>
      <c r="F468" s="237"/>
      <c r="G468" s="237"/>
      <c r="H468" s="248"/>
      <c r="I468" s="237">
        <v>1000.0</v>
      </c>
      <c r="J468" s="237"/>
      <c r="K468" s="69">
        <f t="shared" ref="K468:K492" si="75">E468-I468-L468-M468-N468-J468+F468</f>
        <v>0</v>
      </c>
      <c r="L468" s="237"/>
      <c r="M468" s="237"/>
      <c r="N468" s="238">
        <v>1800.0</v>
      </c>
      <c r="O468" s="267">
        <v>-500.0</v>
      </c>
      <c r="P468" s="273"/>
      <c r="Q468" s="214">
        <f t="shared" ref="Q468:Q492" si="76">Q467+N468+O468+P468</f>
        <v>1300</v>
      </c>
      <c r="R468" s="71"/>
    </row>
    <row r="469" ht="14.25" customHeight="1">
      <c r="B469" s="81"/>
      <c r="C469" s="239">
        <v>46059.0</v>
      </c>
      <c r="D469" s="299"/>
      <c r="E469" s="294"/>
      <c r="F469" s="294"/>
      <c r="G469" s="88"/>
      <c r="H469" s="81"/>
      <c r="I469" s="88"/>
      <c r="J469" s="88"/>
      <c r="K469" s="90">
        <f t="shared" si="75"/>
        <v>0</v>
      </c>
      <c r="L469" s="88"/>
      <c r="M469" s="88"/>
      <c r="N469" s="295"/>
      <c r="O469" s="323"/>
      <c r="P469" s="323"/>
      <c r="Q469" s="194">
        <f t="shared" si="76"/>
        <v>1300</v>
      </c>
      <c r="R469" s="88"/>
    </row>
    <row r="470" ht="14.25" customHeight="1">
      <c r="B470" s="68"/>
      <c r="C470" s="236">
        <v>46180.0</v>
      </c>
      <c r="D470" s="241">
        <v>1.0</v>
      </c>
      <c r="E470" s="237">
        <v>1800.0</v>
      </c>
      <c r="F470" s="237"/>
      <c r="G470" s="237"/>
      <c r="H470" s="248"/>
      <c r="I470" s="237">
        <v>1000.0</v>
      </c>
      <c r="J470" s="237"/>
      <c r="K470" s="69">
        <f t="shared" si="75"/>
        <v>0</v>
      </c>
      <c r="L470" s="237"/>
      <c r="M470" s="237"/>
      <c r="N470" s="238">
        <v>800.0</v>
      </c>
      <c r="O470" s="273">
        <v>-500.0</v>
      </c>
      <c r="P470" s="273"/>
      <c r="Q470" s="214">
        <f t="shared" si="76"/>
        <v>1600</v>
      </c>
      <c r="R470" s="71"/>
    </row>
    <row r="471" ht="14.25" customHeight="1">
      <c r="B471" s="81"/>
      <c r="C471" s="239">
        <v>46211.0</v>
      </c>
      <c r="D471" s="299"/>
      <c r="E471" s="294"/>
      <c r="F471" s="294"/>
      <c r="G471" s="88"/>
      <c r="H471" s="81"/>
      <c r="I471" s="88"/>
      <c r="J471" s="88"/>
      <c r="K471" s="90">
        <f t="shared" si="75"/>
        <v>0</v>
      </c>
      <c r="L471" s="88"/>
      <c r="M471" s="88"/>
      <c r="N471" s="295"/>
      <c r="O471" s="323"/>
      <c r="P471" s="323"/>
      <c r="Q471" s="194">
        <f t="shared" si="76"/>
        <v>1600</v>
      </c>
      <c r="R471" s="88"/>
    </row>
    <row r="472" ht="14.25" customHeight="1">
      <c r="B472" s="68"/>
      <c r="C472" s="236">
        <v>46243.0</v>
      </c>
      <c r="D472" s="241">
        <v>1.0</v>
      </c>
      <c r="E472" s="237">
        <v>2800.0</v>
      </c>
      <c r="F472" s="237">
        <v>400.0</v>
      </c>
      <c r="G472" s="67"/>
      <c r="H472" s="68"/>
      <c r="I472" s="237">
        <v>1000.0</v>
      </c>
      <c r="J472" s="67"/>
      <c r="K472" s="69">
        <f t="shared" si="75"/>
        <v>0</v>
      </c>
      <c r="L472" s="67"/>
      <c r="M472" s="237"/>
      <c r="N472" s="238">
        <v>2200.0</v>
      </c>
      <c r="O472" s="273">
        <v>-500.0</v>
      </c>
      <c r="P472" s="273"/>
      <c r="Q472" s="214">
        <f t="shared" si="76"/>
        <v>3300</v>
      </c>
      <c r="R472" s="71"/>
      <c r="T472" s="174"/>
    </row>
    <row r="473" ht="14.25" customHeight="1">
      <c r="B473" s="81"/>
      <c r="C473" s="239">
        <v>46279.0</v>
      </c>
      <c r="D473" s="299"/>
      <c r="E473" s="294"/>
      <c r="F473" s="294"/>
      <c r="G473" s="88"/>
      <c r="H473" s="81"/>
      <c r="I473" s="88"/>
      <c r="J473" s="88"/>
      <c r="K473" s="90">
        <f t="shared" si="75"/>
        <v>0</v>
      </c>
      <c r="L473" s="88"/>
      <c r="M473" s="88"/>
      <c r="N473" s="295"/>
      <c r="O473" s="323"/>
      <c r="P473" s="323"/>
      <c r="Q473" s="194">
        <f t="shared" si="76"/>
        <v>3300</v>
      </c>
      <c r="R473" s="88"/>
    </row>
    <row r="474" ht="14.25" customHeight="1">
      <c r="B474" s="68"/>
      <c r="C474" s="243" t="s">
        <v>101</v>
      </c>
      <c r="D474" s="241">
        <v>2.0</v>
      </c>
      <c r="E474" s="237">
        <v>5200.0</v>
      </c>
      <c r="F474" s="237"/>
      <c r="G474" s="67"/>
      <c r="H474" s="68"/>
      <c r="I474" s="237">
        <v>1500.0</v>
      </c>
      <c r="J474" s="67"/>
      <c r="K474" s="69">
        <f t="shared" si="75"/>
        <v>0</v>
      </c>
      <c r="L474" s="67"/>
      <c r="M474" s="237">
        <v>3700.0</v>
      </c>
      <c r="N474" s="238"/>
      <c r="O474" s="273">
        <v>-500.0</v>
      </c>
      <c r="P474" s="273"/>
      <c r="Q474" s="214">
        <f t="shared" si="76"/>
        <v>2800</v>
      </c>
      <c r="R474" s="71"/>
      <c r="T474" s="174"/>
    </row>
    <row r="475" ht="14.25" customHeight="1">
      <c r="B475" s="68"/>
      <c r="C475" s="243" t="s">
        <v>31</v>
      </c>
      <c r="D475" s="241">
        <v>1.0</v>
      </c>
      <c r="E475" s="237">
        <v>2000.0</v>
      </c>
      <c r="F475" s="237"/>
      <c r="G475" s="67"/>
      <c r="H475" s="68"/>
      <c r="I475" s="237">
        <v>400.0</v>
      </c>
      <c r="J475" s="67"/>
      <c r="K475" s="69">
        <f t="shared" si="75"/>
        <v>0</v>
      </c>
      <c r="L475" s="67"/>
      <c r="M475" s="237">
        <v>1600.0</v>
      </c>
      <c r="N475" s="238"/>
      <c r="O475" s="273">
        <v>-500.0</v>
      </c>
      <c r="P475" s="273"/>
      <c r="Q475" s="214">
        <f t="shared" si="76"/>
        <v>2300</v>
      </c>
      <c r="R475" s="71"/>
    </row>
    <row r="476" ht="14.25" customHeight="1">
      <c r="B476" s="68"/>
      <c r="C476" s="243" t="s">
        <v>32</v>
      </c>
      <c r="D476" s="241">
        <v>1.0</v>
      </c>
      <c r="E476" s="237">
        <v>2000.0</v>
      </c>
      <c r="F476" s="237"/>
      <c r="G476" s="67"/>
      <c r="H476" s="68"/>
      <c r="I476" s="237">
        <v>1000.0</v>
      </c>
      <c r="J476" s="237"/>
      <c r="K476" s="69">
        <f t="shared" si="75"/>
        <v>0</v>
      </c>
      <c r="L476" s="237"/>
      <c r="M476" s="67"/>
      <c r="N476" s="238">
        <v>1000.0</v>
      </c>
      <c r="O476" s="273">
        <v>-500.0</v>
      </c>
      <c r="P476" s="273"/>
      <c r="Q476" s="214">
        <f t="shared" si="76"/>
        <v>2800</v>
      </c>
      <c r="R476" s="267"/>
    </row>
    <row r="477" ht="14.25" customHeight="1">
      <c r="B477" s="81"/>
      <c r="C477" s="296" t="s">
        <v>33</v>
      </c>
      <c r="D477" s="299"/>
      <c r="E477" s="294"/>
      <c r="F477" s="294"/>
      <c r="G477" s="88"/>
      <c r="H477" s="81"/>
      <c r="I477" s="88"/>
      <c r="J477" s="88"/>
      <c r="K477" s="90">
        <f t="shared" si="75"/>
        <v>0</v>
      </c>
      <c r="L477" s="88"/>
      <c r="M477" s="88"/>
      <c r="N477" s="295"/>
      <c r="O477" s="323"/>
      <c r="P477" s="323"/>
      <c r="Q477" s="194">
        <f t="shared" si="76"/>
        <v>2800</v>
      </c>
      <c r="R477" s="88"/>
    </row>
    <row r="478" ht="14.25" customHeight="1">
      <c r="B478" s="81"/>
      <c r="C478" s="296" t="s">
        <v>34</v>
      </c>
      <c r="D478" s="299">
        <v>1.0</v>
      </c>
      <c r="E478" s="294">
        <v>1000.0</v>
      </c>
      <c r="F478" s="294"/>
      <c r="G478" s="88"/>
      <c r="H478" s="81"/>
      <c r="I478" s="294">
        <v>1000.0</v>
      </c>
      <c r="J478" s="88"/>
      <c r="K478" s="90">
        <f t="shared" si="75"/>
        <v>0</v>
      </c>
      <c r="L478" s="88"/>
      <c r="M478" s="88"/>
      <c r="N478" s="295"/>
      <c r="O478" s="323"/>
      <c r="P478" s="323"/>
      <c r="Q478" s="194">
        <f t="shared" si="76"/>
        <v>2800</v>
      </c>
      <c r="R478" s="294" t="s">
        <v>98</v>
      </c>
    </row>
    <row r="479" ht="14.25" customHeight="1">
      <c r="B479" s="81"/>
      <c r="C479" s="296" t="s">
        <v>69</v>
      </c>
      <c r="D479" s="299">
        <v>1.0</v>
      </c>
      <c r="E479" s="294">
        <v>1000.0</v>
      </c>
      <c r="F479" s="294"/>
      <c r="G479" s="88"/>
      <c r="H479" s="81"/>
      <c r="I479" s="294">
        <v>1000.0</v>
      </c>
      <c r="J479" s="88"/>
      <c r="K479" s="90">
        <f t="shared" si="75"/>
        <v>0</v>
      </c>
      <c r="L479" s="88"/>
      <c r="M479" s="88"/>
      <c r="N479" s="295"/>
      <c r="O479" s="323"/>
      <c r="P479" s="323"/>
      <c r="Q479" s="194">
        <f t="shared" si="76"/>
        <v>2800</v>
      </c>
      <c r="R479" s="294" t="s">
        <v>98</v>
      </c>
    </row>
    <row r="480" ht="14.25" customHeight="1">
      <c r="B480" s="68"/>
      <c r="C480" s="243" t="s">
        <v>68</v>
      </c>
      <c r="D480" s="241">
        <v>1.0</v>
      </c>
      <c r="E480" s="237">
        <v>2800.0</v>
      </c>
      <c r="F480" s="237"/>
      <c r="G480" s="67"/>
      <c r="H480" s="68"/>
      <c r="I480" s="237">
        <v>1000.0</v>
      </c>
      <c r="J480" s="237"/>
      <c r="K480" s="69">
        <f t="shared" si="75"/>
        <v>0</v>
      </c>
      <c r="L480" s="67"/>
      <c r="M480" s="237"/>
      <c r="N480" s="238">
        <v>1800.0</v>
      </c>
      <c r="O480" s="273">
        <v>-500.0</v>
      </c>
      <c r="P480" s="273"/>
      <c r="Q480" s="214">
        <f t="shared" si="76"/>
        <v>4100</v>
      </c>
      <c r="R480" s="273"/>
    </row>
    <row r="481" ht="14.25" customHeight="1">
      <c r="B481" s="68"/>
      <c r="C481" s="243" t="s">
        <v>70</v>
      </c>
      <c r="D481" s="241">
        <v>2.0</v>
      </c>
      <c r="E481" s="237">
        <v>5000.0</v>
      </c>
      <c r="F481" s="237"/>
      <c r="G481" s="67"/>
      <c r="H481" s="68"/>
      <c r="I481" s="237">
        <v>1500.0</v>
      </c>
      <c r="J481" s="237"/>
      <c r="K481" s="69">
        <f t="shared" si="75"/>
        <v>0</v>
      </c>
      <c r="L481" s="67"/>
      <c r="M481" s="237"/>
      <c r="N481" s="238">
        <v>3500.0</v>
      </c>
      <c r="O481" s="273">
        <v>-500.0</v>
      </c>
      <c r="P481" s="273"/>
      <c r="Q481" s="214">
        <f t="shared" si="76"/>
        <v>7100</v>
      </c>
      <c r="R481" s="273"/>
    </row>
    <row r="482" ht="14.25" customHeight="1">
      <c r="B482" s="81"/>
      <c r="C482" s="296" t="s">
        <v>44</v>
      </c>
      <c r="D482" s="299"/>
      <c r="E482" s="294"/>
      <c r="F482" s="294"/>
      <c r="G482" s="88"/>
      <c r="H482" s="81"/>
      <c r="I482" s="88"/>
      <c r="J482" s="88"/>
      <c r="K482" s="90">
        <f t="shared" si="75"/>
        <v>0</v>
      </c>
      <c r="L482" s="88"/>
      <c r="M482" s="88"/>
      <c r="N482" s="295"/>
      <c r="O482" s="323"/>
      <c r="P482" s="323"/>
      <c r="Q482" s="194">
        <f t="shared" si="76"/>
        <v>7100</v>
      </c>
      <c r="R482" s="88"/>
    </row>
    <row r="483" ht="14.25" customHeight="1">
      <c r="B483" s="68"/>
      <c r="C483" s="243" t="s">
        <v>45</v>
      </c>
      <c r="D483" s="241">
        <v>1.0</v>
      </c>
      <c r="E483" s="237">
        <v>2000.0</v>
      </c>
      <c r="F483" s="237"/>
      <c r="G483" s="67"/>
      <c r="H483" s="68"/>
      <c r="I483" s="237">
        <v>1000.0</v>
      </c>
      <c r="J483" s="237"/>
      <c r="K483" s="69">
        <f t="shared" si="75"/>
        <v>0</v>
      </c>
      <c r="L483" s="67"/>
      <c r="M483" s="237"/>
      <c r="N483" s="238">
        <v>1000.0</v>
      </c>
      <c r="O483" s="273">
        <v>-500.0</v>
      </c>
      <c r="P483" s="273"/>
      <c r="Q483" s="214">
        <f t="shared" si="76"/>
        <v>7600</v>
      </c>
      <c r="R483" s="273"/>
    </row>
    <row r="484" ht="14.25" customHeight="1">
      <c r="B484" s="81"/>
      <c r="C484" s="296" t="s">
        <v>47</v>
      </c>
      <c r="D484" s="299"/>
      <c r="E484" s="294"/>
      <c r="F484" s="294"/>
      <c r="G484" s="88"/>
      <c r="H484" s="81"/>
      <c r="I484" s="88"/>
      <c r="J484" s="88"/>
      <c r="K484" s="90">
        <f t="shared" si="75"/>
        <v>0</v>
      </c>
      <c r="L484" s="88"/>
      <c r="M484" s="88"/>
      <c r="N484" s="295"/>
      <c r="O484" s="323"/>
      <c r="P484" s="323"/>
      <c r="Q484" s="194">
        <f t="shared" si="76"/>
        <v>7600</v>
      </c>
      <c r="R484" s="88"/>
    </row>
    <row r="485" ht="14.25" customHeight="1">
      <c r="B485" s="68"/>
      <c r="C485" s="243" t="s">
        <v>72</v>
      </c>
      <c r="D485" s="241">
        <v>1.0</v>
      </c>
      <c r="E485" s="237">
        <f>1800+500</f>
        <v>2300</v>
      </c>
      <c r="F485" s="237"/>
      <c r="G485" s="67"/>
      <c r="H485" s="68"/>
      <c r="I485" s="237">
        <v>800.0</v>
      </c>
      <c r="J485" s="237"/>
      <c r="K485" s="69">
        <f t="shared" si="75"/>
        <v>0</v>
      </c>
      <c r="L485" s="67"/>
      <c r="M485" s="237"/>
      <c r="N485" s="238">
        <v>1500.0</v>
      </c>
      <c r="O485" s="273">
        <v>-500.0</v>
      </c>
      <c r="P485" s="273"/>
      <c r="Q485" s="214">
        <f t="shared" si="76"/>
        <v>8600</v>
      </c>
      <c r="R485" s="273"/>
    </row>
    <row r="486" ht="14.25" customHeight="1">
      <c r="B486" s="68"/>
      <c r="C486" s="243" t="s">
        <v>73</v>
      </c>
      <c r="D486" s="241">
        <v>1.0</v>
      </c>
      <c r="E486" s="237">
        <v>2100.0</v>
      </c>
      <c r="F486" s="237"/>
      <c r="G486" s="67"/>
      <c r="H486" s="68"/>
      <c r="I486" s="237">
        <v>1000.0</v>
      </c>
      <c r="J486" s="237"/>
      <c r="K486" s="69">
        <f t="shared" si="75"/>
        <v>0</v>
      </c>
      <c r="L486" s="67"/>
      <c r="M486" s="237"/>
      <c r="N486" s="238">
        <v>1100.0</v>
      </c>
      <c r="O486" s="273">
        <v>-500.0</v>
      </c>
      <c r="P486" s="273"/>
      <c r="Q486" s="214">
        <f t="shared" si="76"/>
        <v>9200</v>
      </c>
      <c r="R486" s="273"/>
    </row>
    <row r="487" ht="14.25" customHeight="1">
      <c r="B487" s="68"/>
      <c r="C487" s="243" t="s">
        <v>49</v>
      </c>
      <c r="D487" s="241">
        <v>1.0</v>
      </c>
      <c r="E487" s="237">
        <v>2800.0</v>
      </c>
      <c r="F487" s="237"/>
      <c r="G487" s="67"/>
      <c r="H487" s="68"/>
      <c r="I487" s="237">
        <v>1000.0</v>
      </c>
      <c r="J487" s="237"/>
      <c r="K487" s="69">
        <f t="shared" si="75"/>
        <v>0</v>
      </c>
      <c r="L487" s="67"/>
      <c r="M487" s="237"/>
      <c r="N487" s="238">
        <v>1800.0</v>
      </c>
      <c r="O487" s="273">
        <v>-500.0</v>
      </c>
      <c r="P487" s="273"/>
      <c r="Q487" s="214">
        <f t="shared" si="76"/>
        <v>10500</v>
      </c>
      <c r="R487" s="273" t="s">
        <v>268</v>
      </c>
    </row>
    <row r="488" ht="14.25" customHeight="1">
      <c r="B488" s="68"/>
      <c r="C488" s="243" t="s">
        <v>50</v>
      </c>
      <c r="D488" s="241">
        <v>1.0</v>
      </c>
      <c r="E488" s="237">
        <v>2800.0</v>
      </c>
      <c r="F488" s="237"/>
      <c r="G488" s="67"/>
      <c r="H488" s="68"/>
      <c r="I488" s="237">
        <v>1000.0</v>
      </c>
      <c r="J488" s="237"/>
      <c r="K488" s="69">
        <f t="shared" si="75"/>
        <v>0</v>
      </c>
      <c r="L488" s="67"/>
      <c r="M488" s="67"/>
      <c r="N488" s="238">
        <v>1800.0</v>
      </c>
      <c r="O488" s="273">
        <v>-500.0</v>
      </c>
      <c r="P488" s="273">
        <v>-1419.0</v>
      </c>
      <c r="Q488" s="214">
        <f t="shared" si="76"/>
        <v>10381</v>
      </c>
      <c r="R488" s="273" t="s">
        <v>177</v>
      </c>
    </row>
    <row r="489" ht="14.25" customHeight="1">
      <c r="B489" s="68"/>
      <c r="C489" s="243" t="s">
        <v>52</v>
      </c>
      <c r="D489" s="241">
        <v>1.0</v>
      </c>
      <c r="E489" s="237">
        <v>2000.0</v>
      </c>
      <c r="F489" s="237"/>
      <c r="G489" s="67"/>
      <c r="H489" s="68"/>
      <c r="I489" s="237">
        <v>1000.0</v>
      </c>
      <c r="J489" s="237"/>
      <c r="K489" s="69">
        <f t="shared" si="75"/>
        <v>0</v>
      </c>
      <c r="L489" s="67"/>
      <c r="M489" s="237">
        <v>1000.0</v>
      </c>
      <c r="N489" s="238"/>
      <c r="O489" s="273">
        <v>-500.0</v>
      </c>
      <c r="P489" s="273">
        <v>-370.0</v>
      </c>
      <c r="Q489" s="214">
        <f t="shared" si="76"/>
        <v>9511</v>
      </c>
      <c r="R489" s="273" t="s">
        <v>269</v>
      </c>
    </row>
    <row r="490" ht="14.25" customHeight="1">
      <c r="B490" s="68"/>
      <c r="C490" s="243"/>
      <c r="D490" s="241"/>
      <c r="E490" s="237"/>
      <c r="F490" s="67"/>
      <c r="G490" s="67"/>
      <c r="H490" s="68"/>
      <c r="I490" s="237"/>
      <c r="J490" s="237"/>
      <c r="K490" s="69">
        <f t="shared" si="75"/>
        <v>0</v>
      </c>
      <c r="L490" s="67"/>
      <c r="M490" s="67"/>
      <c r="N490" s="238"/>
      <c r="O490" s="267"/>
      <c r="P490" s="273"/>
      <c r="Q490" s="214">
        <f t="shared" si="76"/>
        <v>9511</v>
      </c>
      <c r="R490" s="273" t="s">
        <v>208</v>
      </c>
    </row>
    <row r="491" ht="14.25" customHeight="1">
      <c r="B491" s="68"/>
      <c r="C491" s="243"/>
      <c r="D491" s="241"/>
      <c r="E491" s="237"/>
      <c r="F491" s="67"/>
      <c r="G491" s="67"/>
      <c r="H491" s="68"/>
      <c r="I491" s="237"/>
      <c r="J491" s="67"/>
      <c r="K491" s="69">
        <f t="shared" si="75"/>
        <v>0</v>
      </c>
      <c r="L491" s="67"/>
      <c r="M491" s="67"/>
      <c r="N491" s="238"/>
      <c r="O491" s="267"/>
      <c r="P491" s="273"/>
      <c r="Q491" s="214">
        <f t="shared" si="76"/>
        <v>9511</v>
      </c>
      <c r="R491" s="273" t="s">
        <v>55</v>
      </c>
    </row>
    <row r="492" ht="14.25" customHeight="1">
      <c r="B492" s="68"/>
      <c r="C492" s="243"/>
      <c r="D492" s="241"/>
      <c r="E492" s="237"/>
      <c r="F492" s="67"/>
      <c r="G492" s="67"/>
      <c r="H492" s="68"/>
      <c r="I492" s="237"/>
      <c r="J492" s="67"/>
      <c r="K492" s="69">
        <f t="shared" si="75"/>
        <v>0</v>
      </c>
      <c r="L492" s="67"/>
      <c r="M492" s="67"/>
      <c r="N492" s="238"/>
      <c r="O492" s="267"/>
      <c r="P492" s="273"/>
      <c r="Q492" s="214">
        <f t="shared" si="76"/>
        <v>9511</v>
      </c>
      <c r="R492" s="273"/>
    </row>
    <row r="493" ht="14.25" customHeight="1">
      <c r="B493" s="283" t="s">
        <v>253</v>
      </c>
      <c r="C493" s="229" t="s">
        <v>66</v>
      </c>
      <c r="D493" s="228">
        <f t="shared" ref="D493:P493" si="77">sum(D468:D492)</f>
        <v>18</v>
      </c>
      <c r="E493" s="232">
        <f t="shared" si="77"/>
        <v>40400</v>
      </c>
      <c r="F493" s="232">
        <f t="shared" si="77"/>
        <v>400</v>
      </c>
      <c r="G493" s="232">
        <f t="shared" si="77"/>
        <v>0</v>
      </c>
      <c r="H493" s="232">
        <f t="shared" si="77"/>
        <v>0</v>
      </c>
      <c r="I493" s="232">
        <f t="shared" si="77"/>
        <v>16200</v>
      </c>
      <c r="J493" s="232">
        <f t="shared" si="77"/>
        <v>0</v>
      </c>
      <c r="K493" s="232">
        <f t="shared" si="77"/>
        <v>0</v>
      </c>
      <c r="L493" s="232">
        <f t="shared" si="77"/>
        <v>0</v>
      </c>
      <c r="M493" s="232">
        <f t="shared" si="77"/>
        <v>6300</v>
      </c>
      <c r="N493" s="232">
        <f t="shared" si="77"/>
        <v>18300</v>
      </c>
      <c r="O493" s="232">
        <f t="shared" si="77"/>
        <v>-7000</v>
      </c>
      <c r="P493" s="232">
        <f t="shared" si="77"/>
        <v>-1789</v>
      </c>
      <c r="Q493" s="386">
        <f>Q492</f>
        <v>9511</v>
      </c>
      <c r="R493" s="234"/>
    </row>
    <row r="494" ht="14.25" customHeight="1">
      <c r="C494" s="483"/>
      <c r="D494" s="484"/>
      <c r="E494" s="485"/>
      <c r="F494" s="485"/>
      <c r="G494" s="485"/>
      <c r="I494" s="485"/>
      <c r="J494" s="485"/>
      <c r="K494" s="486"/>
      <c r="L494" s="485"/>
      <c r="M494" s="485"/>
      <c r="N494" s="485"/>
      <c r="O494" s="485"/>
    </row>
    <row r="495" ht="14.25" customHeight="1">
      <c r="C495" s="483"/>
      <c r="D495" s="484"/>
      <c r="E495" s="485"/>
      <c r="F495" s="485"/>
      <c r="G495" s="485"/>
      <c r="I495" s="485"/>
      <c r="J495" s="485"/>
      <c r="K495" s="486"/>
      <c r="L495" s="485"/>
      <c r="M495" s="485"/>
      <c r="N495" s="485"/>
      <c r="O495" s="485"/>
    </row>
    <row r="496" ht="14.25" customHeight="1">
      <c r="C496" s="483"/>
      <c r="D496" s="484"/>
      <c r="E496" s="485"/>
      <c r="F496" s="485"/>
      <c r="G496" s="485"/>
      <c r="I496" s="485"/>
      <c r="J496" s="485"/>
      <c r="K496" s="486"/>
      <c r="L496" s="485"/>
      <c r="M496" s="485"/>
      <c r="N496" s="485"/>
      <c r="O496" s="485"/>
    </row>
    <row r="497" ht="14.25" customHeight="1">
      <c r="C497" s="483"/>
      <c r="D497" s="484"/>
      <c r="E497" s="485"/>
      <c r="F497" s="485"/>
      <c r="G497" s="485"/>
      <c r="I497" s="485"/>
      <c r="J497" s="485"/>
      <c r="K497" s="486"/>
      <c r="L497" s="485"/>
      <c r="M497" s="485"/>
      <c r="N497" s="485"/>
      <c r="O497" s="485"/>
    </row>
    <row r="498" ht="14.25" customHeight="1">
      <c r="C498" s="483"/>
      <c r="D498" s="484"/>
      <c r="E498" s="485"/>
      <c r="F498" s="485"/>
      <c r="G498" s="485"/>
      <c r="I498" s="485"/>
      <c r="J498" s="485"/>
      <c r="K498" s="486"/>
      <c r="L498" s="485"/>
      <c r="M498" s="485"/>
      <c r="N498" s="485"/>
      <c r="O498" s="485"/>
    </row>
    <row r="499" ht="14.25" customHeight="1">
      <c r="C499" s="483"/>
      <c r="D499" s="484"/>
      <c r="E499" s="485"/>
      <c r="F499" s="485"/>
      <c r="G499" s="485"/>
      <c r="I499" s="485"/>
      <c r="J499" s="485"/>
      <c r="K499" s="486"/>
      <c r="L499" s="485"/>
      <c r="M499" s="485"/>
      <c r="N499" s="485"/>
      <c r="O499" s="485"/>
    </row>
    <row r="500" ht="14.25" customHeight="1">
      <c r="C500" s="483"/>
      <c r="D500" s="484"/>
      <c r="E500" s="485"/>
      <c r="F500" s="485"/>
      <c r="G500" s="485"/>
      <c r="I500" s="485"/>
      <c r="J500" s="485"/>
      <c r="K500" s="486"/>
      <c r="L500" s="485"/>
      <c r="M500" s="485"/>
      <c r="N500" s="485"/>
      <c r="O500" s="485"/>
    </row>
    <row r="501" ht="14.25" customHeight="1">
      <c r="C501" s="483"/>
      <c r="D501" s="484"/>
      <c r="E501" s="485"/>
      <c r="F501" s="485"/>
      <c r="G501" s="485"/>
      <c r="I501" s="485"/>
      <c r="J501" s="485"/>
      <c r="K501" s="486"/>
      <c r="L501" s="485"/>
      <c r="M501" s="485"/>
      <c r="N501" s="485"/>
      <c r="O501" s="485"/>
    </row>
    <row r="502" ht="14.25" customHeight="1">
      <c r="C502" s="483"/>
      <c r="D502" s="484"/>
      <c r="E502" s="485"/>
      <c r="F502" s="485"/>
      <c r="G502" s="485"/>
      <c r="I502" s="485"/>
      <c r="J502" s="485"/>
      <c r="K502" s="486"/>
      <c r="L502" s="485"/>
      <c r="M502" s="485"/>
      <c r="N502" s="485"/>
      <c r="O502" s="485"/>
    </row>
    <row r="503" ht="14.25" customHeight="1">
      <c r="C503" s="483"/>
      <c r="D503" s="484"/>
      <c r="E503" s="485"/>
      <c r="F503" s="485"/>
      <c r="G503" s="485"/>
      <c r="I503" s="485"/>
      <c r="J503" s="485"/>
      <c r="K503" s="486"/>
      <c r="L503" s="485"/>
      <c r="M503" s="485"/>
      <c r="N503" s="485"/>
      <c r="O503" s="485"/>
    </row>
    <row r="504" ht="14.25" customHeight="1">
      <c r="C504" s="483"/>
      <c r="D504" s="484"/>
      <c r="E504" s="485"/>
      <c r="F504" s="485"/>
      <c r="G504" s="485"/>
      <c r="I504" s="485"/>
      <c r="J504" s="485"/>
      <c r="K504" s="486"/>
      <c r="L504" s="485"/>
      <c r="M504" s="485"/>
      <c r="N504" s="485"/>
      <c r="O504" s="485"/>
    </row>
    <row r="505" ht="14.25" customHeight="1">
      <c r="C505" s="483"/>
      <c r="D505" s="484"/>
      <c r="E505" s="485"/>
      <c r="F505" s="485"/>
      <c r="G505" s="485"/>
      <c r="I505" s="485"/>
      <c r="J505" s="485"/>
      <c r="K505" s="486"/>
      <c r="L505" s="485"/>
      <c r="M505" s="485"/>
      <c r="N505" s="485"/>
      <c r="O505" s="485"/>
    </row>
    <row r="506" ht="14.25" customHeight="1">
      <c r="C506" s="483"/>
      <c r="D506" s="484"/>
      <c r="E506" s="485"/>
      <c r="F506" s="485"/>
      <c r="G506" s="485"/>
      <c r="I506" s="485"/>
      <c r="J506" s="485"/>
      <c r="K506" s="486"/>
      <c r="L506" s="485"/>
      <c r="M506" s="485"/>
      <c r="N506" s="485"/>
      <c r="O506" s="485"/>
    </row>
    <row r="507" ht="14.25" customHeight="1">
      <c r="C507" s="483"/>
      <c r="D507" s="484"/>
      <c r="E507" s="485"/>
      <c r="F507" s="485"/>
      <c r="G507" s="485"/>
      <c r="I507" s="485"/>
      <c r="J507" s="485"/>
      <c r="K507" s="486"/>
      <c r="L507" s="485"/>
      <c r="M507" s="485"/>
      <c r="N507" s="485"/>
      <c r="O507" s="485"/>
    </row>
    <row r="508" ht="14.25" customHeight="1">
      <c r="C508" s="483"/>
      <c r="D508" s="484"/>
      <c r="E508" s="485"/>
      <c r="F508" s="485"/>
      <c r="G508" s="485"/>
      <c r="I508" s="485"/>
      <c r="J508" s="485"/>
      <c r="K508" s="486"/>
      <c r="L508" s="485"/>
      <c r="M508" s="485"/>
      <c r="N508" s="485"/>
      <c r="O508" s="485"/>
    </row>
    <row r="509" ht="14.25" customHeight="1">
      <c r="C509" s="483"/>
      <c r="D509" s="484"/>
      <c r="E509" s="485"/>
      <c r="F509" s="485"/>
      <c r="G509" s="485"/>
      <c r="I509" s="485"/>
      <c r="J509" s="485"/>
      <c r="K509" s="486"/>
      <c r="L509" s="485"/>
      <c r="M509" s="485"/>
      <c r="N509" s="485"/>
      <c r="O509" s="485"/>
    </row>
    <row r="510" ht="14.25" customHeight="1">
      <c r="C510" s="483"/>
      <c r="D510" s="484"/>
      <c r="E510" s="485"/>
      <c r="F510" s="485"/>
      <c r="G510" s="485"/>
      <c r="I510" s="485"/>
      <c r="J510" s="485"/>
      <c r="K510" s="486"/>
      <c r="L510" s="485"/>
      <c r="M510" s="485"/>
      <c r="N510" s="485"/>
      <c r="O510" s="485"/>
    </row>
    <row r="511" ht="14.25" customHeight="1">
      <c r="C511" s="483"/>
      <c r="D511" s="484"/>
      <c r="E511" s="485"/>
      <c r="F511" s="485"/>
      <c r="G511" s="485"/>
      <c r="I511" s="485"/>
      <c r="J511" s="485"/>
      <c r="K511" s="486"/>
      <c r="L511" s="485"/>
      <c r="M511" s="485"/>
      <c r="N511" s="485"/>
      <c r="O511" s="485"/>
    </row>
    <row r="512" ht="14.25" customHeight="1">
      <c r="C512" s="483"/>
      <c r="D512" s="484"/>
      <c r="E512" s="485"/>
      <c r="F512" s="485"/>
      <c r="G512" s="485"/>
      <c r="I512" s="485"/>
      <c r="J512" s="485"/>
      <c r="K512" s="486"/>
      <c r="L512" s="485"/>
      <c r="M512" s="485"/>
      <c r="N512" s="485"/>
      <c r="O512" s="485"/>
    </row>
    <row r="513" ht="14.25" customHeight="1">
      <c r="C513" s="483"/>
      <c r="D513" s="484"/>
      <c r="E513" s="485"/>
      <c r="F513" s="485"/>
      <c r="G513" s="485"/>
      <c r="I513" s="485"/>
      <c r="J513" s="485"/>
      <c r="K513" s="486"/>
      <c r="L513" s="485"/>
      <c r="M513" s="485"/>
      <c r="N513" s="485"/>
      <c r="O513" s="485"/>
    </row>
    <row r="514" ht="14.25" customHeight="1">
      <c r="C514" s="483"/>
      <c r="D514" s="484"/>
      <c r="E514" s="485"/>
      <c r="F514" s="485"/>
      <c r="G514" s="485"/>
      <c r="I514" s="485"/>
      <c r="J514" s="485"/>
      <c r="K514" s="486"/>
      <c r="L514" s="485"/>
      <c r="M514" s="485"/>
      <c r="N514" s="485"/>
      <c r="O514" s="485"/>
    </row>
    <row r="515" ht="14.25" customHeight="1">
      <c r="C515" s="483"/>
      <c r="D515" s="484"/>
      <c r="E515" s="485"/>
      <c r="F515" s="485"/>
      <c r="G515" s="485"/>
      <c r="I515" s="485"/>
      <c r="J515" s="485"/>
      <c r="K515" s="486"/>
      <c r="L515" s="485"/>
      <c r="M515" s="485"/>
      <c r="N515" s="485"/>
      <c r="O515" s="485"/>
    </row>
    <row r="516" ht="14.25" customHeight="1">
      <c r="C516" s="483"/>
      <c r="D516" s="484"/>
      <c r="E516" s="485"/>
      <c r="F516" s="485"/>
      <c r="G516" s="485"/>
      <c r="I516" s="485"/>
      <c r="J516" s="485"/>
      <c r="K516" s="486"/>
      <c r="L516" s="485"/>
      <c r="M516" s="485"/>
      <c r="N516" s="485"/>
      <c r="O516" s="485"/>
    </row>
    <row r="517" ht="14.25" customHeight="1">
      <c r="C517" s="483"/>
      <c r="D517" s="484"/>
      <c r="E517" s="485"/>
      <c r="F517" s="485"/>
      <c r="G517" s="485"/>
      <c r="I517" s="485"/>
      <c r="J517" s="485"/>
      <c r="K517" s="486"/>
      <c r="L517" s="485"/>
      <c r="M517" s="485"/>
      <c r="N517" s="485"/>
      <c r="O517" s="485"/>
    </row>
    <row r="518" ht="14.25" customHeight="1">
      <c r="C518" s="483"/>
      <c r="D518" s="484"/>
      <c r="E518" s="485"/>
      <c r="F518" s="485"/>
      <c r="G518" s="485"/>
      <c r="I518" s="485"/>
      <c r="J518" s="485"/>
      <c r="K518" s="486"/>
      <c r="L518" s="485"/>
      <c r="M518" s="485"/>
      <c r="N518" s="485"/>
      <c r="O518" s="485"/>
    </row>
    <row r="519" ht="14.25" customHeight="1">
      <c r="C519" s="483"/>
      <c r="D519" s="484"/>
      <c r="E519" s="485"/>
      <c r="F519" s="485"/>
      <c r="G519" s="485"/>
      <c r="I519" s="485"/>
      <c r="J519" s="485"/>
      <c r="K519" s="486"/>
      <c r="L519" s="485"/>
      <c r="M519" s="485"/>
      <c r="N519" s="485"/>
      <c r="O519" s="485"/>
    </row>
    <row r="520" ht="14.25" customHeight="1">
      <c r="C520" s="483"/>
      <c r="D520" s="484"/>
      <c r="E520" s="485"/>
      <c r="F520" s="485"/>
      <c r="G520" s="485"/>
      <c r="I520" s="485"/>
      <c r="J520" s="485"/>
      <c r="K520" s="486"/>
      <c r="L520" s="485"/>
      <c r="M520" s="485"/>
      <c r="N520" s="485"/>
      <c r="O520" s="485"/>
    </row>
    <row r="521" ht="14.25" customHeight="1">
      <c r="C521" s="483"/>
      <c r="D521" s="484"/>
      <c r="E521" s="485"/>
      <c r="F521" s="485"/>
      <c r="G521" s="485"/>
      <c r="I521" s="485"/>
      <c r="J521" s="485"/>
      <c r="K521" s="486"/>
      <c r="L521" s="485"/>
      <c r="M521" s="485"/>
      <c r="N521" s="485"/>
      <c r="O521" s="485"/>
    </row>
    <row r="522" ht="14.25" customHeight="1">
      <c r="C522" s="483"/>
      <c r="D522" s="484"/>
      <c r="E522" s="485"/>
      <c r="F522" s="485"/>
      <c r="G522" s="485"/>
      <c r="I522" s="485"/>
      <c r="J522" s="485"/>
      <c r="K522" s="486"/>
      <c r="L522" s="485"/>
      <c r="M522" s="485"/>
      <c r="N522" s="485"/>
      <c r="O522" s="485"/>
    </row>
    <row r="523" ht="14.25" customHeight="1">
      <c r="C523" s="483"/>
      <c r="D523" s="484"/>
      <c r="E523" s="485"/>
      <c r="F523" s="485"/>
      <c r="G523" s="485"/>
      <c r="I523" s="485"/>
      <c r="J523" s="485"/>
      <c r="K523" s="486"/>
      <c r="L523" s="485"/>
      <c r="M523" s="485"/>
      <c r="N523" s="485"/>
      <c r="O523" s="485"/>
    </row>
    <row r="524" ht="14.25" customHeight="1">
      <c r="C524" s="483"/>
      <c r="D524" s="484"/>
      <c r="E524" s="485"/>
      <c r="F524" s="485"/>
      <c r="G524" s="485"/>
      <c r="I524" s="485"/>
      <c r="J524" s="485"/>
      <c r="K524" s="486"/>
      <c r="L524" s="485"/>
      <c r="M524" s="485"/>
      <c r="N524" s="485"/>
      <c r="O524" s="485"/>
    </row>
  </sheetData>
  <autoFilter ref="$B$1:$B$3"/>
  <mergeCells count="11">
    <mergeCell ref="O2:O3"/>
    <mergeCell ref="P2:P3"/>
    <mergeCell ref="Q2:Q3"/>
    <mergeCell ref="R2:R3"/>
    <mergeCell ref="L1:N2"/>
    <mergeCell ref="E2:E3"/>
    <mergeCell ref="F2:F3"/>
    <mergeCell ref="G2:G3"/>
    <mergeCell ref="H2:H3"/>
    <mergeCell ref="I2:J2"/>
    <mergeCell ref="K2:K3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3.43"/>
    <col customWidth="1" min="2" max="2" width="5.86"/>
    <col customWidth="1" min="3" max="3" width="7.0"/>
    <col customWidth="1" hidden="1" min="4" max="4" width="4.86"/>
    <col customWidth="1" hidden="1" min="5" max="5" width="12.29"/>
    <col customWidth="1" hidden="1" min="6" max="6" width="11.0"/>
    <col customWidth="1" hidden="1" min="7" max="9" width="12.29"/>
    <col customWidth="1" hidden="1" min="10" max="10" width="11.29"/>
    <col customWidth="1" hidden="1" min="11" max="13" width="12.29"/>
    <col customWidth="1" min="14" max="14" width="12.14"/>
    <col customWidth="1" min="15" max="15" width="13.43"/>
    <col customWidth="1" min="16" max="16" width="12.0"/>
    <col customWidth="1" min="17" max="17" width="15.43"/>
    <col customWidth="1" min="18" max="18" width="21.29"/>
    <col customWidth="1" min="19" max="19" width="8.43"/>
    <col customWidth="1" min="20" max="20" width="11.86"/>
    <col customWidth="1" min="21" max="21" width="10.0"/>
  </cols>
  <sheetData>
    <row r="1">
      <c r="A1" s="1" t="s">
        <v>0</v>
      </c>
      <c r="B1" s="3" t="s">
        <v>2</v>
      </c>
      <c r="C1" s="15"/>
      <c r="D1" s="15"/>
      <c r="E1" s="17"/>
      <c r="F1" s="17"/>
      <c r="G1" s="17"/>
      <c r="H1" s="17"/>
      <c r="I1" s="17"/>
      <c r="J1" s="17"/>
      <c r="K1" s="22"/>
      <c r="L1" s="24" t="s">
        <v>5</v>
      </c>
      <c r="M1" s="25"/>
      <c r="N1" s="73"/>
      <c r="O1" s="76" t="s">
        <v>23</v>
      </c>
      <c r="P1" s="78"/>
      <c r="Q1" s="78"/>
      <c r="R1" s="85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</row>
    <row r="2">
      <c r="A2" s="86"/>
      <c r="B2" s="94" t="s">
        <v>7</v>
      </c>
      <c r="D2" s="95"/>
      <c r="E2" s="99" t="s">
        <v>8</v>
      </c>
      <c r="F2" s="103" t="s">
        <v>9</v>
      </c>
      <c r="G2" s="106" t="s">
        <v>28</v>
      </c>
      <c r="H2" s="99" t="s">
        <v>11</v>
      </c>
      <c r="I2" s="108" t="s">
        <v>12</v>
      </c>
      <c r="J2" s="115"/>
      <c r="K2" s="118" t="s">
        <v>13</v>
      </c>
      <c r="L2" s="121"/>
      <c r="M2" s="121"/>
      <c r="N2" s="123"/>
      <c r="O2" s="125" t="s">
        <v>14</v>
      </c>
      <c r="P2" s="128" t="s">
        <v>15</v>
      </c>
      <c r="Q2" s="131" t="s">
        <v>16</v>
      </c>
      <c r="R2" s="135" t="s">
        <v>11</v>
      </c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</row>
    <row r="3">
      <c r="A3" s="86"/>
      <c r="B3" s="143"/>
      <c r="C3" s="143"/>
      <c r="D3" s="145"/>
      <c r="E3" s="145"/>
      <c r="F3" s="145"/>
      <c r="G3" s="145"/>
      <c r="H3" s="145"/>
      <c r="I3" s="149" t="s">
        <v>18</v>
      </c>
      <c r="J3" s="149" t="s">
        <v>19</v>
      </c>
      <c r="K3" s="48"/>
      <c r="L3" s="152" t="s">
        <v>18</v>
      </c>
      <c r="M3" s="154" t="s">
        <v>19</v>
      </c>
      <c r="N3" s="156" t="s">
        <v>36</v>
      </c>
      <c r="O3" s="57"/>
      <c r="P3" s="57"/>
      <c r="Q3" s="57"/>
      <c r="R3" s="158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</row>
    <row r="4">
      <c r="B4" s="64" t="s">
        <v>40</v>
      </c>
      <c r="C4" s="168">
        <v>45294.0</v>
      </c>
      <c r="D4" s="169"/>
      <c r="E4" s="170"/>
      <c r="F4" s="170"/>
      <c r="G4" s="170"/>
      <c r="H4" s="170"/>
      <c r="I4" s="170"/>
      <c r="J4" s="170"/>
      <c r="K4" s="90">
        <f t="shared" ref="K4:K5" si="1">E4-J4-L4-M4-N4-I4+F4</f>
        <v>0</v>
      </c>
      <c r="L4" s="170"/>
      <c r="M4" s="170"/>
      <c r="N4" s="170"/>
      <c r="O4" s="180"/>
      <c r="P4" s="182">
        <v>400.0</v>
      </c>
      <c r="Q4" s="88">
        <f>N4+O4+P4</f>
        <v>400</v>
      </c>
      <c r="R4" s="183" t="s">
        <v>43</v>
      </c>
    </row>
    <row r="5">
      <c r="B5" s="68"/>
      <c r="C5" s="185">
        <v>45355.0</v>
      </c>
      <c r="D5" s="188">
        <v>1.0</v>
      </c>
      <c r="E5" s="191">
        <v>2000.0</v>
      </c>
      <c r="F5" s="191">
        <v>350.0</v>
      </c>
      <c r="G5" s="191"/>
      <c r="H5" s="191"/>
      <c r="I5" s="191"/>
      <c r="J5" s="191">
        <v>1200.0</v>
      </c>
      <c r="K5" s="69">
        <f t="shared" si="1"/>
        <v>0</v>
      </c>
      <c r="L5" s="191">
        <v>1150.0</v>
      </c>
      <c r="M5" s="191"/>
      <c r="N5" s="195"/>
      <c r="O5" s="197">
        <v>-700.0</v>
      </c>
      <c r="P5" s="195"/>
      <c r="Q5" s="201">
        <f t="shared" ref="Q5:Q30" si="2">Q4+N5+O5+P5</f>
        <v>-300</v>
      </c>
      <c r="R5" s="202"/>
    </row>
    <row r="6">
      <c r="B6" s="68"/>
      <c r="C6" s="203" t="s">
        <v>51</v>
      </c>
      <c r="D6" s="188">
        <v>1.0</v>
      </c>
      <c r="E6" s="191">
        <v>1707.2</v>
      </c>
      <c r="F6" s="191">
        <v>400.0</v>
      </c>
      <c r="G6" s="191"/>
      <c r="H6" s="191" t="s">
        <v>42</v>
      </c>
      <c r="I6" s="191"/>
      <c r="J6" s="191"/>
      <c r="K6" s="69">
        <f>E6-J6-L6-M6-N6-I6+F6-P6</f>
        <v>0</v>
      </c>
      <c r="L6" s="191">
        <v>1707.2</v>
      </c>
      <c r="M6" s="191"/>
      <c r="N6" s="195"/>
      <c r="O6" s="197">
        <v>-700.0</v>
      </c>
      <c r="P6" s="204">
        <v>400.0</v>
      </c>
      <c r="Q6" s="201">
        <f t="shared" si="2"/>
        <v>-600</v>
      </c>
      <c r="R6" s="205" t="s">
        <v>43</v>
      </c>
    </row>
    <row r="7">
      <c r="B7" s="68"/>
      <c r="C7" s="185">
        <v>45418.0</v>
      </c>
      <c r="D7" s="188">
        <v>1.0</v>
      </c>
      <c r="E7" s="191">
        <v>2600.0</v>
      </c>
      <c r="F7" s="191"/>
      <c r="G7" s="191"/>
      <c r="H7" s="191"/>
      <c r="I7" s="191"/>
      <c r="J7" s="191">
        <v>1000.0</v>
      </c>
      <c r="K7" s="69">
        <f t="shared" ref="K7:K9" si="3">E7-J7-L7-M7-N7-I7+F7</f>
        <v>0</v>
      </c>
      <c r="L7" s="191"/>
      <c r="M7" s="191"/>
      <c r="N7" s="204">
        <v>1600.0</v>
      </c>
      <c r="O7" s="197">
        <v>-700.0</v>
      </c>
      <c r="P7" s="204">
        <v>400.0</v>
      </c>
      <c r="Q7" s="201">
        <f t="shared" si="2"/>
        <v>700</v>
      </c>
      <c r="R7" s="205" t="s">
        <v>43</v>
      </c>
    </row>
    <row r="8">
      <c r="B8" s="68"/>
      <c r="C8" s="209" t="s">
        <v>58</v>
      </c>
      <c r="D8" s="169"/>
      <c r="E8" s="170"/>
      <c r="F8" s="191"/>
      <c r="G8" s="170"/>
      <c r="H8" s="170"/>
      <c r="I8" s="170"/>
      <c r="J8" s="170"/>
      <c r="K8" s="90">
        <f t="shared" si="3"/>
        <v>0</v>
      </c>
      <c r="L8" s="170"/>
      <c r="M8" s="170"/>
      <c r="N8" s="170"/>
      <c r="O8" s="180"/>
      <c r="P8" s="170"/>
      <c r="Q8" s="88">
        <f t="shared" si="2"/>
        <v>700</v>
      </c>
      <c r="R8" s="81"/>
    </row>
    <row r="9">
      <c r="B9" s="68"/>
      <c r="C9" s="203" t="s">
        <v>57</v>
      </c>
      <c r="D9" s="188">
        <v>1.0</v>
      </c>
      <c r="E9" s="191">
        <v>2700.0</v>
      </c>
      <c r="F9" s="191"/>
      <c r="G9" s="191"/>
      <c r="H9" s="191"/>
      <c r="I9" s="191"/>
      <c r="J9" s="191">
        <v>1000.0</v>
      </c>
      <c r="K9" s="69">
        <f t="shared" si="3"/>
        <v>0</v>
      </c>
      <c r="L9" s="191"/>
      <c r="M9" s="191">
        <v>1700.0</v>
      </c>
      <c r="N9" s="195"/>
      <c r="O9" s="197">
        <v>-700.0</v>
      </c>
      <c r="P9" s="195"/>
      <c r="Q9" s="201">
        <f t="shared" si="2"/>
        <v>0</v>
      </c>
      <c r="R9" s="202"/>
    </row>
    <row r="10">
      <c r="B10" s="68"/>
      <c r="C10" s="185">
        <v>45513.0</v>
      </c>
      <c r="D10" s="188">
        <v>1.0</v>
      </c>
      <c r="E10" s="191">
        <v>1707.2</v>
      </c>
      <c r="F10" s="191">
        <v>400.0</v>
      </c>
      <c r="G10" s="191"/>
      <c r="H10" s="191" t="s">
        <v>62</v>
      </c>
      <c r="I10" s="191"/>
      <c r="J10" s="191"/>
      <c r="K10" s="69">
        <f>E10-J10-L10-M10-N10-I10+F10-P10</f>
        <v>0</v>
      </c>
      <c r="L10" s="191">
        <v>1707.2</v>
      </c>
      <c r="M10" s="191"/>
      <c r="N10" s="195"/>
      <c r="O10" s="197">
        <v>-700.0</v>
      </c>
      <c r="P10" s="204">
        <v>400.0</v>
      </c>
      <c r="Q10" s="201">
        <f t="shared" si="2"/>
        <v>-300</v>
      </c>
      <c r="R10" s="202"/>
    </row>
    <row r="11">
      <c r="B11" s="68"/>
      <c r="C11" s="185">
        <v>45545.0</v>
      </c>
      <c r="D11" s="188">
        <v>1.0</v>
      </c>
      <c r="E11" s="191">
        <v>2300.0</v>
      </c>
      <c r="F11" s="191">
        <v>400.0</v>
      </c>
      <c r="G11" s="191"/>
      <c r="H11" s="191"/>
      <c r="I11" s="191"/>
      <c r="J11" s="191">
        <v>1000.0</v>
      </c>
      <c r="K11" s="69">
        <f t="shared" ref="K11:K21" si="4">E11-J11-L11-M11-N11-I11+F11</f>
        <v>0</v>
      </c>
      <c r="L11" s="191"/>
      <c r="M11" s="191">
        <v>1700.0</v>
      </c>
      <c r="N11" s="195"/>
      <c r="O11" s="197">
        <v>-700.0</v>
      </c>
      <c r="P11" s="195"/>
      <c r="Q11" s="201">
        <f t="shared" si="2"/>
        <v>-1000</v>
      </c>
      <c r="R11" s="202"/>
    </row>
    <row r="12">
      <c r="B12" s="68"/>
      <c r="C12" s="203" t="s">
        <v>67</v>
      </c>
      <c r="D12" s="188">
        <v>2.0</v>
      </c>
      <c r="E12" s="191">
        <v>4100.0</v>
      </c>
      <c r="F12" s="191">
        <v>700.0</v>
      </c>
      <c r="G12" s="191"/>
      <c r="H12" s="191"/>
      <c r="I12" s="191">
        <v>1000.0</v>
      </c>
      <c r="J12" s="191">
        <v>500.0</v>
      </c>
      <c r="K12" s="69">
        <f t="shared" si="4"/>
        <v>0</v>
      </c>
      <c r="L12" s="191">
        <f>2600+350</f>
        <v>2950</v>
      </c>
      <c r="M12" s="191"/>
      <c r="N12" s="195">
        <v>350.0</v>
      </c>
      <c r="O12" s="197">
        <v>-700.0</v>
      </c>
      <c r="P12" s="195"/>
      <c r="Q12" s="201">
        <f t="shared" si="2"/>
        <v>-1350</v>
      </c>
      <c r="R12" s="205" t="s">
        <v>43</v>
      </c>
    </row>
    <row r="13">
      <c r="B13" s="68"/>
      <c r="C13" s="185">
        <v>45639.0</v>
      </c>
      <c r="D13" s="188">
        <v>1.0</v>
      </c>
      <c r="E13" s="191">
        <v>2300.0</v>
      </c>
      <c r="F13" s="191"/>
      <c r="G13" s="191"/>
      <c r="H13" s="191"/>
      <c r="I13" s="191"/>
      <c r="J13" s="191">
        <v>2300.0</v>
      </c>
      <c r="K13" s="69">
        <f t="shared" si="4"/>
        <v>0</v>
      </c>
      <c r="L13" s="191"/>
      <c r="M13" s="191"/>
      <c r="N13" s="195"/>
      <c r="O13" s="197">
        <v>-700.0</v>
      </c>
      <c r="P13" s="195">
        <v>-150.0</v>
      </c>
      <c r="Q13" s="201">
        <f t="shared" si="2"/>
        <v>-2200</v>
      </c>
      <c r="R13" s="202"/>
    </row>
    <row r="14">
      <c r="B14" s="68"/>
      <c r="C14" s="188" t="s">
        <v>46</v>
      </c>
      <c r="D14" s="188">
        <v>1.0</v>
      </c>
      <c r="E14" s="191">
        <v>1637.51</v>
      </c>
      <c r="F14" s="170"/>
      <c r="G14" s="191"/>
      <c r="H14" s="191"/>
      <c r="I14" s="191"/>
      <c r="J14" s="191"/>
      <c r="K14" s="69">
        <f t="shared" si="4"/>
        <v>0</v>
      </c>
      <c r="L14" s="191">
        <v>1637.51</v>
      </c>
      <c r="M14" s="191"/>
      <c r="N14" s="195"/>
      <c r="O14" s="197">
        <v>-700.0</v>
      </c>
      <c r="P14" s="195"/>
      <c r="Q14" s="201">
        <f t="shared" si="2"/>
        <v>-2900</v>
      </c>
      <c r="R14" s="202"/>
    </row>
    <row r="15">
      <c r="B15" s="68"/>
      <c r="C15" s="188" t="s">
        <v>29</v>
      </c>
      <c r="D15" s="188">
        <v>1.0</v>
      </c>
      <c r="E15" s="191">
        <v>3200.0</v>
      </c>
      <c r="F15" s="191">
        <v>400.0</v>
      </c>
      <c r="G15" s="191"/>
      <c r="H15" s="191"/>
      <c r="I15" s="191"/>
      <c r="J15" s="191">
        <v>1000.0</v>
      </c>
      <c r="K15" s="69">
        <f t="shared" si="4"/>
        <v>0</v>
      </c>
      <c r="L15" s="191"/>
      <c r="M15" s="191">
        <v>2600.0</v>
      </c>
      <c r="N15" s="195"/>
      <c r="O15" s="197">
        <v>-700.0</v>
      </c>
      <c r="P15" s="195"/>
      <c r="Q15" s="201">
        <f t="shared" si="2"/>
        <v>-3600</v>
      </c>
      <c r="R15" s="202"/>
    </row>
    <row r="16">
      <c r="B16" s="68"/>
      <c r="C16" s="188" t="s">
        <v>30</v>
      </c>
      <c r="D16" s="188">
        <v>1.0</v>
      </c>
      <c r="E16" s="191">
        <v>2600.0</v>
      </c>
      <c r="F16" s="191">
        <v>400.0</v>
      </c>
      <c r="G16" s="191">
        <v>-400.0</v>
      </c>
      <c r="H16" s="191"/>
      <c r="I16" s="191"/>
      <c r="J16" s="191">
        <v>1000.0</v>
      </c>
      <c r="K16" s="69">
        <f t="shared" si="4"/>
        <v>0</v>
      </c>
      <c r="L16" s="191"/>
      <c r="M16" s="191"/>
      <c r="N16" s="195">
        <v>2000.0</v>
      </c>
      <c r="O16" s="197">
        <v>-700.0</v>
      </c>
      <c r="P16" s="195"/>
      <c r="Q16" s="201">
        <f t="shared" si="2"/>
        <v>-2300</v>
      </c>
      <c r="R16" s="202"/>
    </row>
    <row r="17">
      <c r="B17" s="68"/>
      <c r="C17" s="169" t="s">
        <v>31</v>
      </c>
      <c r="D17" s="169"/>
      <c r="E17" s="170"/>
      <c r="F17" s="191">
        <v>400.0</v>
      </c>
      <c r="G17" s="170"/>
      <c r="H17" s="170"/>
      <c r="I17" s="170"/>
      <c r="J17" s="170"/>
      <c r="K17" s="90">
        <f t="shared" si="4"/>
        <v>0</v>
      </c>
      <c r="L17" s="170"/>
      <c r="M17" s="170"/>
      <c r="N17" s="170">
        <v>400.0</v>
      </c>
      <c r="O17" s="180"/>
      <c r="P17" s="170"/>
      <c r="Q17" s="88">
        <f t="shared" si="2"/>
        <v>-1900</v>
      </c>
      <c r="R17" s="81" t="s">
        <v>43</v>
      </c>
    </row>
    <row r="18">
      <c r="B18" s="68"/>
      <c r="C18" s="188" t="s">
        <v>33</v>
      </c>
      <c r="D18" s="188">
        <v>1.0</v>
      </c>
      <c r="E18" s="191">
        <v>2300.0</v>
      </c>
      <c r="F18" s="191">
        <v>400.0</v>
      </c>
      <c r="G18" s="191"/>
      <c r="H18" s="191"/>
      <c r="I18" s="191"/>
      <c r="J18" s="191">
        <v>1200.0</v>
      </c>
      <c r="K18" s="69">
        <f t="shared" si="4"/>
        <v>0</v>
      </c>
      <c r="L18" s="191"/>
      <c r="M18" s="191"/>
      <c r="N18" s="195">
        <v>1500.0</v>
      </c>
      <c r="O18" s="197">
        <v>-700.0</v>
      </c>
      <c r="P18" s="195"/>
      <c r="Q18" s="201">
        <f t="shared" si="2"/>
        <v>-1100</v>
      </c>
      <c r="R18" s="202"/>
    </row>
    <row r="19">
      <c r="B19" s="68"/>
      <c r="C19" s="188" t="s">
        <v>34</v>
      </c>
      <c r="D19" s="68">
        <v>1.0</v>
      </c>
      <c r="E19" s="191">
        <v>2500.0</v>
      </c>
      <c r="F19" s="191"/>
      <c r="G19" s="191">
        <v>-400.0</v>
      </c>
      <c r="H19" s="191"/>
      <c r="I19" s="191"/>
      <c r="J19" s="191">
        <v>1000.0</v>
      </c>
      <c r="K19" s="69">
        <f t="shared" si="4"/>
        <v>0</v>
      </c>
      <c r="L19" s="191"/>
      <c r="M19" s="191"/>
      <c r="N19" s="195">
        <v>1500.0</v>
      </c>
      <c r="O19" s="197">
        <v>-700.0</v>
      </c>
      <c r="P19" s="195"/>
      <c r="Q19" s="201">
        <f t="shared" si="2"/>
        <v>-300</v>
      </c>
      <c r="R19" s="202"/>
    </row>
    <row r="20">
      <c r="B20" s="68"/>
      <c r="C20" s="188" t="s">
        <v>69</v>
      </c>
      <c r="D20" s="188">
        <v>1.0</v>
      </c>
      <c r="E20" s="191">
        <v>2500.0</v>
      </c>
      <c r="F20" s="191"/>
      <c r="G20" s="191"/>
      <c r="H20" s="191"/>
      <c r="I20" s="191"/>
      <c r="J20" s="191">
        <v>500.0</v>
      </c>
      <c r="K20" s="69">
        <f t="shared" si="4"/>
        <v>0</v>
      </c>
      <c r="L20" s="191"/>
      <c r="M20" s="191"/>
      <c r="N20" s="195">
        <v>2000.0</v>
      </c>
      <c r="O20" s="197">
        <v>-700.0</v>
      </c>
      <c r="P20" s="195"/>
      <c r="Q20" s="201">
        <f t="shared" si="2"/>
        <v>1000</v>
      </c>
      <c r="R20" s="202"/>
    </row>
    <row r="21">
      <c r="B21" s="68"/>
      <c r="C21" s="188" t="s">
        <v>78</v>
      </c>
      <c r="D21" s="188">
        <v>2.0</v>
      </c>
      <c r="E21" s="191">
        <f>6700-450+50</f>
        <v>6300</v>
      </c>
      <c r="F21" s="191">
        <f>450</f>
        <v>450</v>
      </c>
      <c r="G21" s="191">
        <v>-1000.0</v>
      </c>
      <c r="H21" s="191"/>
      <c r="I21" s="191"/>
      <c r="J21" s="191">
        <f>300+1600</f>
        <v>1900</v>
      </c>
      <c r="K21" s="69">
        <f t="shared" si="4"/>
        <v>0</v>
      </c>
      <c r="L21" s="191"/>
      <c r="M21" s="191"/>
      <c r="N21" s="195">
        <v>4850.0</v>
      </c>
      <c r="O21" s="197">
        <v>-700.0</v>
      </c>
      <c r="P21" s="195"/>
      <c r="Q21" s="201">
        <f t="shared" si="2"/>
        <v>5150</v>
      </c>
      <c r="R21" s="202"/>
    </row>
    <row r="22">
      <c r="B22" s="68"/>
      <c r="C22" s="188" t="s">
        <v>41</v>
      </c>
      <c r="D22" s="188">
        <v>1.0</v>
      </c>
      <c r="E22" s="191">
        <v>2500.0</v>
      </c>
      <c r="F22" s="191">
        <v>400.0</v>
      </c>
      <c r="G22" s="191"/>
      <c r="H22" s="251" t="s">
        <v>0</v>
      </c>
      <c r="I22" s="191"/>
      <c r="J22" s="191">
        <v>1000.0</v>
      </c>
      <c r="K22" s="69">
        <f>E22-J22-L22-M22-N22-I22+F22-P22</f>
        <v>0</v>
      </c>
      <c r="L22" s="191"/>
      <c r="M22" s="191"/>
      <c r="N22" s="204">
        <v>1500.0</v>
      </c>
      <c r="O22" s="197">
        <v>-700.0</v>
      </c>
      <c r="P22" s="204">
        <v>400.0</v>
      </c>
      <c r="Q22" s="201">
        <f t="shared" si="2"/>
        <v>6350</v>
      </c>
      <c r="R22" s="202"/>
    </row>
    <row r="23">
      <c r="B23" s="68"/>
      <c r="C23" s="188" t="s">
        <v>71</v>
      </c>
      <c r="D23" s="188">
        <v>2.0</v>
      </c>
      <c r="E23" s="191">
        <f>4700*2</f>
        <v>9400</v>
      </c>
      <c r="F23" s="191">
        <v>1000.0</v>
      </c>
      <c r="G23" s="191"/>
      <c r="H23" s="191"/>
      <c r="I23" s="191"/>
      <c r="J23" s="191">
        <v>2500.0</v>
      </c>
      <c r="K23" s="69">
        <f t="shared" ref="K23:K28" si="5">E23-J23-L23-M23-N23-I23+F23</f>
        <v>0</v>
      </c>
      <c r="L23" s="191"/>
      <c r="M23" s="191"/>
      <c r="N23" s="195">
        <v>7900.0</v>
      </c>
      <c r="O23" s="197">
        <v>-700.0</v>
      </c>
      <c r="P23" s="195">
        <v>-1000.0</v>
      </c>
      <c r="Q23" s="201">
        <f t="shared" si="2"/>
        <v>12550</v>
      </c>
      <c r="R23" s="202" t="s">
        <v>85</v>
      </c>
    </row>
    <row r="24">
      <c r="B24" s="68"/>
      <c r="C24" s="188" t="s">
        <v>86</v>
      </c>
      <c r="D24" s="188">
        <v>2.0</v>
      </c>
      <c r="E24" s="191">
        <v>4500.0</v>
      </c>
      <c r="F24" s="191"/>
      <c r="G24" s="191"/>
      <c r="H24" s="191"/>
      <c r="I24" s="191"/>
      <c r="J24" s="191">
        <v>1500.0</v>
      </c>
      <c r="K24" s="69">
        <f t="shared" si="5"/>
        <v>0</v>
      </c>
      <c r="L24" s="191"/>
      <c r="M24" s="191"/>
      <c r="N24" s="195">
        <v>3000.0</v>
      </c>
      <c r="O24" s="197">
        <v>-700.0</v>
      </c>
      <c r="P24" s="195"/>
      <c r="Q24" s="201">
        <f t="shared" si="2"/>
        <v>14850</v>
      </c>
      <c r="R24" s="202"/>
    </row>
    <row r="25">
      <c r="B25" s="68"/>
      <c r="C25" s="188" t="s">
        <v>88</v>
      </c>
      <c r="D25" s="188">
        <v>2.0</v>
      </c>
      <c r="E25" s="191">
        <v>5700.0</v>
      </c>
      <c r="F25" s="191">
        <v>900.0</v>
      </c>
      <c r="G25" s="191"/>
      <c r="H25" s="191"/>
      <c r="I25" s="191"/>
      <c r="J25" s="191">
        <v>1500.0</v>
      </c>
      <c r="K25" s="69">
        <f t="shared" si="5"/>
        <v>0</v>
      </c>
      <c r="L25" s="191"/>
      <c r="M25" s="191">
        <v>4200.0</v>
      </c>
      <c r="N25" s="195">
        <v>900.0</v>
      </c>
      <c r="O25" s="197">
        <v>-700.0</v>
      </c>
      <c r="P25" s="195"/>
      <c r="Q25" s="201">
        <f t="shared" si="2"/>
        <v>15050</v>
      </c>
      <c r="R25" s="202"/>
    </row>
    <row r="26">
      <c r="B26" s="68"/>
      <c r="C26" s="169" t="s">
        <v>50</v>
      </c>
      <c r="D26" s="169"/>
      <c r="E26" s="170"/>
      <c r="F26" s="170"/>
      <c r="G26" s="170"/>
      <c r="H26" s="170"/>
      <c r="I26" s="170"/>
      <c r="J26" s="170"/>
      <c r="K26" s="90">
        <f t="shared" si="5"/>
        <v>0</v>
      </c>
      <c r="L26" s="170"/>
      <c r="M26" s="170"/>
      <c r="N26" s="170"/>
      <c r="O26" s="180"/>
      <c r="P26" s="170"/>
      <c r="Q26" s="88">
        <f t="shared" si="2"/>
        <v>15050</v>
      </c>
      <c r="R26" s="81"/>
    </row>
    <row r="27">
      <c r="B27" s="68"/>
      <c r="C27" s="188" t="s">
        <v>89</v>
      </c>
      <c r="D27" s="188">
        <v>2.0</v>
      </c>
      <c r="E27" s="191">
        <v>6700.0</v>
      </c>
      <c r="F27" s="191">
        <v>950.0</v>
      </c>
      <c r="G27" s="191"/>
      <c r="H27" s="191"/>
      <c r="I27" s="191"/>
      <c r="J27" s="191">
        <f>2000+450</f>
        <v>2450</v>
      </c>
      <c r="K27" s="69">
        <f t="shared" si="5"/>
        <v>0</v>
      </c>
      <c r="L27" s="191"/>
      <c r="M27" s="191">
        <v>5200.0</v>
      </c>
      <c r="N27" s="195"/>
      <c r="O27" s="197">
        <v>-700.0</v>
      </c>
      <c r="P27" s="195">
        <v>-5283.35</v>
      </c>
      <c r="Q27" s="201">
        <f t="shared" si="2"/>
        <v>9066.65</v>
      </c>
      <c r="R27" s="202" t="s">
        <v>59</v>
      </c>
    </row>
    <row r="28">
      <c r="B28" s="68"/>
      <c r="C28" s="188"/>
      <c r="D28" s="188"/>
      <c r="E28" s="191"/>
      <c r="F28" s="191"/>
      <c r="G28" s="191"/>
      <c r="H28" s="191"/>
      <c r="I28" s="191"/>
      <c r="J28" s="191"/>
      <c r="K28" s="69">
        <f t="shared" si="5"/>
        <v>0</v>
      </c>
      <c r="L28" s="191"/>
      <c r="M28" s="191"/>
      <c r="N28" s="195"/>
      <c r="O28" s="197"/>
      <c r="P28" s="195">
        <v>-4045.0</v>
      </c>
      <c r="Q28" s="201">
        <f t="shared" si="2"/>
        <v>5021.65</v>
      </c>
      <c r="R28" s="202" t="s">
        <v>55</v>
      </c>
      <c r="S28" s="276">
        <v>45662.0</v>
      </c>
    </row>
    <row r="29">
      <c r="B29" s="68"/>
      <c r="C29" s="188"/>
      <c r="D29" s="188"/>
      <c r="E29" s="191"/>
      <c r="F29" s="191"/>
      <c r="G29" s="191"/>
      <c r="H29" s="191"/>
      <c r="I29" s="191"/>
      <c r="J29" s="191"/>
      <c r="K29" s="69"/>
      <c r="L29" s="191"/>
      <c r="M29" s="191"/>
      <c r="N29" s="195"/>
      <c r="O29" s="197"/>
      <c r="P29" s="195">
        <v>-50.0</v>
      </c>
      <c r="Q29" s="201">
        <f t="shared" si="2"/>
        <v>4971.65</v>
      </c>
      <c r="R29" s="202" t="s">
        <v>92</v>
      </c>
    </row>
    <row r="30">
      <c r="B30" s="68"/>
      <c r="C30" s="188"/>
      <c r="D30" s="188"/>
      <c r="E30" s="191"/>
      <c r="F30" s="191"/>
      <c r="G30" s="191"/>
      <c r="H30" s="191"/>
      <c r="I30" s="191"/>
      <c r="J30" s="191"/>
      <c r="K30" s="69">
        <f>E30-J30-L30-M30-N30-I30+F30</f>
        <v>0</v>
      </c>
      <c r="L30" s="191"/>
      <c r="M30" s="191"/>
      <c r="N30" s="195"/>
      <c r="O30" s="197"/>
      <c r="P30" s="195">
        <v>-500.0</v>
      </c>
      <c r="Q30" s="201">
        <f t="shared" si="2"/>
        <v>4471.65</v>
      </c>
      <c r="R30" s="202" t="s">
        <v>93</v>
      </c>
    </row>
    <row r="31">
      <c r="A31" s="285"/>
      <c r="B31" s="286" t="s">
        <v>40</v>
      </c>
      <c r="C31" s="288" t="s">
        <v>66</v>
      </c>
      <c r="D31" s="290">
        <f t="shared" ref="D31:G31" si="6">sum(D4:D30)</f>
        <v>26</v>
      </c>
      <c r="E31" s="291">
        <f t="shared" si="6"/>
        <v>69251.91</v>
      </c>
      <c r="F31" s="291">
        <f t="shared" si="6"/>
        <v>7550</v>
      </c>
      <c r="G31" s="291">
        <f t="shared" si="6"/>
        <v>-1800</v>
      </c>
      <c r="H31" s="291"/>
      <c r="I31" s="291">
        <f t="shared" ref="I31:P31" si="7">sum(I4:I30)</f>
        <v>1000</v>
      </c>
      <c r="J31" s="291">
        <f t="shared" si="7"/>
        <v>22550</v>
      </c>
      <c r="K31" s="291">
        <f t="shared" si="7"/>
        <v>0</v>
      </c>
      <c r="L31" s="291">
        <f t="shared" si="7"/>
        <v>9151.91</v>
      </c>
      <c r="M31" s="291">
        <f t="shared" si="7"/>
        <v>15400</v>
      </c>
      <c r="N31" s="291">
        <f t="shared" si="7"/>
        <v>27500</v>
      </c>
      <c r="O31" s="291">
        <f t="shared" si="7"/>
        <v>-14000</v>
      </c>
      <c r="P31" s="291">
        <f t="shared" si="7"/>
        <v>-9028.35</v>
      </c>
      <c r="Q31" s="292">
        <f>Q30</f>
        <v>4471.65</v>
      </c>
      <c r="R31" s="293"/>
      <c r="S31" s="285"/>
      <c r="T31" s="285"/>
      <c r="U31" s="285"/>
      <c r="V31" s="285"/>
      <c r="W31" s="285"/>
      <c r="X31" s="285"/>
      <c r="Y31" s="285"/>
      <c r="Z31" s="285"/>
      <c r="AA31" s="285"/>
      <c r="AB31" s="285"/>
      <c r="AC31" s="285"/>
      <c r="AD31" s="285"/>
      <c r="AE31" s="285"/>
      <c r="AF31" s="285"/>
      <c r="AG31" s="285"/>
      <c r="AH31" s="285"/>
      <c r="AI31" s="285"/>
      <c r="AJ31" s="285"/>
      <c r="AK31" s="285"/>
      <c r="AL31" s="285"/>
      <c r="AM31" s="285"/>
      <c r="AN31" s="285"/>
      <c r="AO31" s="285"/>
      <c r="AP31" s="285"/>
      <c r="AQ31" s="285"/>
      <c r="AR31" s="285"/>
      <c r="AS31" s="285"/>
      <c r="AT31" s="285"/>
    </row>
    <row r="32">
      <c r="B32" s="68" t="s">
        <v>96</v>
      </c>
      <c r="C32" s="185">
        <v>45691.0</v>
      </c>
      <c r="D32" s="188">
        <v>1.0</v>
      </c>
      <c r="E32" s="191">
        <v>2300.0</v>
      </c>
      <c r="F32" s="191"/>
      <c r="G32" s="191"/>
      <c r="H32" s="191"/>
      <c r="I32" s="191"/>
      <c r="J32" s="191">
        <v>500.0</v>
      </c>
      <c r="K32" s="69">
        <f t="shared" ref="K32:K36" si="8">E32-J32-L32-M32-N32-I32+F32</f>
        <v>0</v>
      </c>
      <c r="L32" s="191"/>
      <c r="M32" s="191"/>
      <c r="N32" s="195">
        <v>1800.0</v>
      </c>
      <c r="O32" s="197">
        <v>-700.0</v>
      </c>
      <c r="P32" s="195"/>
      <c r="Q32" s="201">
        <f t="shared" ref="Q32:Q52" si="9">Q31+N32+O32+P32</f>
        <v>5571.65</v>
      </c>
      <c r="R32" s="202"/>
    </row>
    <row r="33">
      <c r="B33" s="68"/>
      <c r="C33" s="185">
        <v>45692.0</v>
      </c>
      <c r="D33" s="188"/>
      <c r="E33" s="191">
        <v>1500.0</v>
      </c>
      <c r="F33" s="191"/>
      <c r="G33" s="191"/>
      <c r="H33" s="191" t="s">
        <v>81</v>
      </c>
      <c r="I33" s="191"/>
      <c r="J33" s="191">
        <v>1500.0</v>
      </c>
      <c r="K33" s="69">
        <f t="shared" si="8"/>
        <v>0</v>
      </c>
      <c r="L33" s="191"/>
      <c r="M33" s="191"/>
      <c r="N33" s="195"/>
      <c r="O33" s="197"/>
      <c r="P33" s="195"/>
      <c r="Q33" s="201">
        <f t="shared" si="9"/>
        <v>5571.65</v>
      </c>
      <c r="R33" s="202" t="s">
        <v>100</v>
      </c>
    </row>
    <row r="34">
      <c r="B34" s="68"/>
      <c r="C34" s="185">
        <v>45720.0</v>
      </c>
      <c r="D34" s="188">
        <v>1.0</v>
      </c>
      <c r="E34" s="191">
        <v>2500.0</v>
      </c>
      <c r="F34" s="191"/>
      <c r="G34" s="191"/>
      <c r="H34" s="191"/>
      <c r="I34" s="191"/>
      <c r="J34" s="191">
        <v>1000.0</v>
      </c>
      <c r="K34" s="69">
        <f t="shared" si="8"/>
        <v>0</v>
      </c>
      <c r="L34" s="191"/>
      <c r="M34" s="191"/>
      <c r="N34" s="195">
        <v>1500.0</v>
      </c>
      <c r="O34" s="195">
        <v>-700.0</v>
      </c>
      <c r="P34" s="195"/>
      <c r="Q34" s="201">
        <f t="shared" si="9"/>
        <v>6371.65</v>
      </c>
      <c r="R34" s="202"/>
    </row>
    <row r="35">
      <c r="B35" s="68"/>
      <c r="C35" s="185">
        <v>45752.0</v>
      </c>
      <c r="D35" s="188">
        <v>1.0</v>
      </c>
      <c r="E35" s="191">
        <v>2800.0</v>
      </c>
      <c r="F35" s="191"/>
      <c r="G35" s="191"/>
      <c r="H35" s="191"/>
      <c r="I35" s="191"/>
      <c r="J35" s="191">
        <v>1000.0</v>
      </c>
      <c r="K35" s="69">
        <f t="shared" si="8"/>
        <v>0</v>
      </c>
      <c r="L35" s="191"/>
      <c r="M35" s="191"/>
      <c r="N35" s="195">
        <v>1800.0</v>
      </c>
      <c r="O35" s="195">
        <v>-700.0</v>
      </c>
      <c r="P35" s="195"/>
      <c r="Q35" s="201">
        <f t="shared" si="9"/>
        <v>7471.65</v>
      </c>
      <c r="R35" s="202"/>
    </row>
    <row r="36">
      <c r="B36" s="81"/>
      <c r="C36" s="168">
        <v>45785.0</v>
      </c>
      <c r="D36" s="169"/>
      <c r="E36" s="170"/>
      <c r="F36" s="170"/>
      <c r="G36" s="170"/>
      <c r="H36" s="170"/>
      <c r="I36" s="170"/>
      <c r="J36" s="170"/>
      <c r="K36" s="90">
        <f t="shared" si="8"/>
        <v>0</v>
      </c>
      <c r="L36" s="170"/>
      <c r="M36" s="170"/>
      <c r="N36" s="170"/>
      <c r="O36" s="180"/>
      <c r="P36" s="170"/>
      <c r="Q36" s="88">
        <f t="shared" si="9"/>
        <v>7471.65</v>
      </c>
      <c r="R36" s="81"/>
    </row>
    <row r="37">
      <c r="B37" s="68"/>
      <c r="C37" s="185">
        <v>45888.0</v>
      </c>
      <c r="D37" s="188">
        <v>11.0</v>
      </c>
      <c r="E37" s="191">
        <v>19000.0</v>
      </c>
      <c r="F37" s="191">
        <f>450+1950</f>
        <v>2400</v>
      </c>
      <c r="G37" s="251">
        <v>-1000.0</v>
      </c>
      <c r="H37" s="191"/>
      <c r="I37" s="191"/>
      <c r="J37" s="191">
        <f>6000+2400</f>
        <v>8400</v>
      </c>
      <c r="K37" s="69">
        <f>E37-J37-L37-M37-N37-I37+F37-G37</f>
        <v>0</v>
      </c>
      <c r="L37" s="191"/>
      <c r="M37" s="191"/>
      <c r="N37" s="204">
        <v>14000.0</v>
      </c>
      <c r="O37" s="197">
        <v>-700.0</v>
      </c>
      <c r="P37" s="195"/>
      <c r="Q37" s="201">
        <f t="shared" si="9"/>
        <v>20771.65</v>
      </c>
      <c r="R37" s="202"/>
    </row>
    <row r="38">
      <c r="B38" s="81"/>
      <c r="C38" s="169" t="s">
        <v>34</v>
      </c>
      <c r="D38" s="169"/>
      <c r="E38" s="170"/>
      <c r="F38" s="170"/>
      <c r="G38" s="170"/>
      <c r="H38" s="170"/>
      <c r="I38" s="170"/>
      <c r="J38" s="170"/>
      <c r="K38" s="90">
        <f>E38-J38-L38-M38-N38-I38+F38</f>
        <v>0</v>
      </c>
      <c r="L38" s="170"/>
      <c r="M38" s="170"/>
      <c r="N38" s="170"/>
      <c r="O38" s="180"/>
      <c r="P38" s="170"/>
      <c r="Q38" s="88">
        <f t="shared" si="9"/>
        <v>20771.65</v>
      </c>
      <c r="R38" s="81"/>
    </row>
    <row r="39">
      <c r="B39" s="68"/>
      <c r="C39" s="188" t="s">
        <v>69</v>
      </c>
      <c r="D39" s="188">
        <v>1.0</v>
      </c>
      <c r="E39" s="191">
        <v>2000.0</v>
      </c>
      <c r="F39" s="191">
        <v>400.0</v>
      </c>
      <c r="G39" s="191"/>
      <c r="H39" s="191"/>
      <c r="I39" s="191"/>
      <c r="J39" s="191">
        <v>500.0</v>
      </c>
      <c r="K39" s="69">
        <f t="shared" ref="K39:K47" si="10">E39-J39-L39-M39-N39-I39+F39-P39</f>
        <v>0</v>
      </c>
      <c r="L39" s="191"/>
      <c r="M39" s="251">
        <v>1500.0</v>
      </c>
      <c r="N39" s="195"/>
      <c r="O39" s="197">
        <v>-700.0</v>
      </c>
      <c r="P39" s="195">
        <v>400.0</v>
      </c>
      <c r="Q39" s="201">
        <f t="shared" si="9"/>
        <v>20471.65</v>
      </c>
      <c r="R39" s="202" t="s">
        <v>43</v>
      </c>
    </row>
    <row r="40">
      <c r="B40" s="68"/>
      <c r="C40" s="188" t="s">
        <v>68</v>
      </c>
      <c r="D40" s="188">
        <v>1.0</v>
      </c>
      <c r="E40" s="191">
        <f>1781.4</f>
        <v>1781.4</v>
      </c>
      <c r="F40" s="191">
        <v>400.0</v>
      </c>
      <c r="G40" s="191"/>
      <c r="H40" s="191" t="s">
        <v>42</v>
      </c>
      <c r="I40" s="191"/>
      <c r="J40" s="191">
        <v>400.0</v>
      </c>
      <c r="K40" s="69">
        <f t="shared" si="10"/>
        <v>0</v>
      </c>
      <c r="L40" s="191">
        <v>1781.4</v>
      </c>
      <c r="M40" s="191"/>
      <c r="N40" s="195"/>
      <c r="O40" s="197">
        <v>-700.0</v>
      </c>
      <c r="P40" s="195"/>
      <c r="Q40" s="201">
        <f t="shared" si="9"/>
        <v>19771.65</v>
      </c>
      <c r="R40" s="202"/>
    </row>
    <row r="41">
      <c r="B41" s="81"/>
      <c r="C41" s="169" t="s">
        <v>37</v>
      </c>
      <c r="D41" s="169"/>
      <c r="E41" s="170"/>
      <c r="F41" s="170"/>
      <c r="G41" s="170"/>
      <c r="H41" s="170"/>
      <c r="I41" s="170"/>
      <c r="J41" s="170"/>
      <c r="K41" s="90">
        <f t="shared" si="10"/>
        <v>0</v>
      </c>
      <c r="L41" s="170"/>
      <c r="M41" s="170"/>
      <c r="N41" s="170"/>
      <c r="O41" s="180"/>
      <c r="P41" s="170"/>
      <c r="Q41" s="88">
        <f t="shared" si="9"/>
        <v>19771.65</v>
      </c>
      <c r="R41" s="81"/>
    </row>
    <row r="42">
      <c r="B42" s="68"/>
      <c r="C42" s="188" t="s">
        <v>108</v>
      </c>
      <c r="D42" s="188">
        <v>2.0</v>
      </c>
      <c r="E42" s="191">
        <v>3900.0</v>
      </c>
      <c r="F42" s="191">
        <v>800.0</v>
      </c>
      <c r="G42" s="191"/>
      <c r="H42" s="191"/>
      <c r="I42" s="191"/>
      <c r="J42" s="191">
        <v>1800.0</v>
      </c>
      <c r="K42" s="69">
        <f t="shared" si="10"/>
        <v>0</v>
      </c>
      <c r="L42" s="191"/>
      <c r="M42" s="191"/>
      <c r="N42" s="195">
        <v>2900.0</v>
      </c>
      <c r="O42" s="197">
        <v>-700.0</v>
      </c>
      <c r="P42" s="195"/>
      <c r="Q42" s="201">
        <f t="shared" si="9"/>
        <v>21971.65</v>
      </c>
      <c r="R42" s="202"/>
    </row>
    <row r="43">
      <c r="B43" s="68"/>
      <c r="C43" s="188" t="s">
        <v>45</v>
      </c>
      <c r="D43" s="188">
        <v>1.0</v>
      </c>
      <c r="E43" s="191">
        <v>2800.0</v>
      </c>
      <c r="F43" s="191">
        <v>400.0</v>
      </c>
      <c r="G43" s="191"/>
      <c r="H43" s="191"/>
      <c r="I43" s="191"/>
      <c r="J43" s="191">
        <v>1000.0</v>
      </c>
      <c r="K43" s="69">
        <f t="shared" si="10"/>
        <v>0</v>
      </c>
      <c r="L43" s="191"/>
      <c r="M43" s="191">
        <v>400.0</v>
      </c>
      <c r="N43" s="195">
        <v>1800.0</v>
      </c>
      <c r="O43" s="197">
        <v>-700.0</v>
      </c>
      <c r="P43" s="195"/>
      <c r="Q43" s="201">
        <f t="shared" si="9"/>
        <v>23071.65</v>
      </c>
      <c r="R43" s="202"/>
    </row>
    <row r="44">
      <c r="B44" s="81"/>
      <c r="C44" s="169" t="s">
        <v>47</v>
      </c>
      <c r="D44" s="169"/>
      <c r="E44" s="170"/>
      <c r="F44" s="170">
        <v>400.0</v>
      </c>
      <c r="G44" s="170"/>
      <c r="H44" s="170"/>
      <c r="I44" s="170"/>
      <c r="J44" s="170"/>
      <c r="K44" s="90">
        <f t="shared" si="10"/>
        <v>0</v>
      </c>
      <c r="L44" s="170"/>
      <c r="M44" s="170">
        <v>400.0</v>
      </c>
      <c r="N44" s="170"/>
      <c r="O44" s="180"/>
      <c r="P44" s="170"/>
      <c r="Q44" s="88">
        <f t="shared" si="9"/>
        <v>23071.65</v>
      </c>
      <c r="R44" s="81"/>
    </row>
    <row r="45">
      <c r="B45" s="68"/>
      <c r="C45" s="188" t="s">
        <v>48</v>
      </c>
      <c r="D45" s="188">
        <v>2.0</v>
      </c>
      <c r="E45" s="191">
        <v>4000.0</v>
      </c>
      <c r="F45" s="191">
        <v>300.0</v>
      </c>
      <c r="G45" s="191"/>
      <c r="H45" s="191"/>
      <c r="I45" s="191"/>
      <c r="J45" s="191">
        <v>1000.0</v>
      </c>
      <c r="K45" s="69">
        <f t="shared" si="10"/>
        <v>0</v>
      </c>
      <c r="L45" s="191"/>
      <c r="M45" s="191">
        <v>300.0</v>
      </c>
      <c r="N45" s="195">
        <v>3000.0</v>
      </c>
      <c r="O45" s="197">
        <v>-700.0</v>
      </c>
      <c r="P45" s="195"/>
      <c r="Q45" s="201">
        <f t="shared" si="9"/>
        <v>25371.65</v>
      </c>
      <c r="R45" s="202"/>
    </row>
    <row r="46">
      <c r="B46" s="68"/>
      <c r="C46" s="188" t="s">
        <v>49</v>
      </c>
      <c r="D46" s="188">
        <v>1.0</v>
      </c>
      <c r="E46" s="191">
        <v>2500.0</v>
      </c>
      <c r="F46" s="191"/>
      <c r="G46" s="191"/>
      <c r="H46" s="191"/>
      <c r="I46" s="191"/>
      <c r="J46" s="191"/>
      <c r="K46" s="69">
        <f t="shared" si="10"/>
        <v>0</v>
      </c>
      <c r="L46" s="191"/>
      <c r="M46" s="191"/>
      <c r="N46" s="195">
        <v>2500.0</v>
      </c>
      <c r="O46" s="197">
        <v>-700.0</v>
      </c>
      <c r="P46" s="195"/>
      <c r="Q46" s="201">
        <f t="shared" si="9"/>
        <v>27171.65</v>
      </c>
      <c r="R46" s="202"/>
    </row>
    <row r="47">
      <c r="B47" s="81"/>
      <c r="C47" s="169" t="s">
        <v>75</v>
      </c>
      <c r="D47" s="169"/>
      <c r="E47" s="170"/>
      <c r="F47" s="170"/>
      <c r="G47" s="170"/>
      <c r="H47" s="170"/>
      <c r="I47" s="170"/>
      <c r="J47" s="170"/>
      <c r="K47" s="90">
        <f t="shared" si="10"/>
        <v>0</v>
      </c>
      <c r="L47" s="170"/>
      <c r="M47" s="170"/>
      <c r="N47" s="170"/>
      <c r="O47" s="180"/>
      <c r="P47" s="170"/>
      <c r="Q47" s="88">
        <f t="shared" si="9"/>
        <v>27171.65</v>
      </c>
      <c r="R47" s="81"/>
    </row>
    <row r="48">
      <c r="B48" s="68"/>
      <c r="C48" s="188"/>
      <c r="D48" s="188"/>
      <c r="E48" s="191"/>
      <c r="F48" s="191"/>
      <c r="G48" s="191"/>
      <c r="H48" s="191"/>
      <c r="I48" s="191"/>
      <c r="J48" s="191"/>
      <c r="K48" s="69"/>
      <c r="L48" s="191"/>
      <c r="M48" s="191"/>
      <c r="N48" s="195"/>
      <c r="O48" s="197"/>
      <c r="P48" s="195">
        <v>-2465.91</v>
      </c>
      <c r="Q48" s="201">
        <f t="shared" si="9"/>
        <v>24705.74</v>
      </c>
      <c r="R48" s="202" t="s">
        <v>55</v>
      </c>
      <c r="S48" s="276">
        <v>45690.0</v>
      </c>
    </row>
    <row r="49">
      <c r="B49" s="68"/>
      <c r="C49" s="188"/>
      <c r="D49" s="188"/>
      <c r="E49" s="191"/>
      <c r="F49" s="191"/>
      <c r="G49" s="191"/>
      <c r="H49" s="191"/>
      <c r="I49" s="191"/>
      <c r="J49" s="191"/>
      <c r="K49" s="69"/>
      <c r="L49" s="191"/>
      <c r="M49" s="191"/>
      <c r="N49" s="195"/>
      <c r="O49" s="197"/>
      <c r="P49" s="195">
        <v>-500.0</v>
      </c>
      <c r="Q49" s="201">
        <f t="shared" si="9"/>
        <v>24205.74</v>
      </c>
      <c r="R49" s="202" t="s">
        <v>93</v>
      </c>
    </row>
    <row r="50">
      <c r="B50" s="68"/>
      <c r="C50" s="188"/>
      <c r="D50" s="188"/>
      <c r="E50" s="191"/>
      <c r="F50" s="191"/>
      <c r="G50" s="191"/>
      <c r="H50" s="191"/>
      <c r="I50" s="191"/>
      <c r="J50" s="191"/>
      <c r="K50" s="69"/>
      <c r="L50" s="191"/>
      <c r="M50" s="191"/>
      <c r="N50" s="195"/>
      <c r="O50" s="197"/>
      <c r="P50" s="204">
        <v>-50.0</v>
      </c>
      <c r="Q50" s="201">
        <f t="shared" si="9"/>
        <v>24155.74</v>
      </c>
      <c r="R50" s="205" t="s">
        <v>114</v>
      </c>
    </row>
    <row r="51">
      <c r="B51" s="68"/>
      <c r="C51" s="188"/>
      <c r="D51" s="188"/>
      <c r="E51" s="191"/>
      <c r="F51" s="191"/>
      <c r="G51" s="191"/>
      <c r="H51" s="191"/>
      <c r="I51" s="191"/>
      <c r="J51" s="191"/>
      <c r="K51" s="69">
        <f>E51-J51-L51-M51-N51-I51+F51</f>
        <v>0</v>
      </c>
      <c r="L51" s="191"/>
      <c r="M51" s="191"/>
      <c r="N51" s="195"/>
      <c r="O51" s="197"/>
      <c r="P51" s="195">
        <v>-5481.7</v>
      </c>
      <c r="Q51" s="201">
        <f t="shared" si="9"/>
        <v>18674.04</v>
      </c>
      <c r="R51" s="202" t="s">
        <v>59</v>
      </c>
    </row>
    <row r="52">
      <c r="B52" s="68"/>
      <c r="C52" s="188"/>
      <c r="D52" s="188"/>
      <c r="E52" s="191"/>
      <c r="F52" s="191"/>
      <c r="G52" s="191"/>
      <c r="H52" s="191"/>
      <c r="I52" s="191"/>
      <c r="J52" s="191"/>
      <c r="K52" s="69"/>
      <c r="L52" s="191"/>
      <c r="M52" s="191"/>
      <c r="N52" s="195"/>
      <c r="O52" s="197"/>
      <c r="P52" s="204">
        <v>0.0</v>
      </c>
      <c r="Q52" s="201">
        <f t="shared" si="9"/>
        <v>18674.04</v>
      </c>
      <c r="R52" s="205" t="s">
        <v>119</v>
      </c>
    </row>
    <row r="53">
      <c r="A53" s="285"/>
      <c r="B53" s="286" t="s">
        <v>21</v>
      </c>
      <c r="C53" s="288" t="s">
        <v>66</v>
      </c>
      <c r="D53" s="290">
        <f t="shared" ref="D53:P53" si="11">sum(D32:D52)</f>
        <v>22</v>
      </c>
      <c r="E53" s="291">
        <f t="shared" si="11"/>
        <v>45081.4</v>
      </c>
      <c r="F53" s="291">
        <f t="shared" si="11"/>
        <v>5100</v>
      </c>
      <c r="G53" s="291">
        <f t="shared" si="11"/>
        <v>-1000</v>
      </c>
      <c r="H53" s="291">
        <f t="shared" si="11"/>
        <v>0</v>
      </c>
      <c r="I53" s="291">
        <f t="shared" si="11"/>
        <v>0</v>
      </c>
      <c r="J53" s="291">
        <f t="shared" si="11"/>
        <v>17100</v>
      </c>
      <c r="K53" s="291">
        <f t="shared" si="11"/>
        <v>0</v>
      </c>
      <c r="L53" s="291">
        <f t="shared" si="11"/>
        <v>1781.4</v>
      </c>
      <c r="M53" s="291">
        <f t="shared" si="11"/>
        <v>2600</v>
      </c>
      <c r="N53" s="291">
        <f t="shared" si="11"/>
        <v>29300</v>
      </c>
      <c r="O53" s="291">
        <f t="shared" si="11"/>
        <v>-7000</v>
      </c>
      <c r="P53" s="291">
        <f t="shared" si="11"/>
        <v>-8097.61</v>
      </c>
      <c r="Q53" s="292">
        <f>Q52</f>
        <v>18674.04</v>
      </c>
      <c r="R53" s="293"/>
      <c r="S53" s="285"/>
      <c r="T53" s="285"/>
      <c r="U53" s="285"/>
      <c r="V53" s="285"/>
      <c r="W53" s="285"/>
      <c r="X53" s="285"/>
      <c r="Y53" s="285"/>
      <c r="Z53" s="285"/>
      <c r="AA53" s="285"/>
      <c r="AB53" s="285"/>
      <c r="AC53" s="285"/>
      <c r="AD53" s="285"/>
      <c r="AE53" s="285"/>
      <c r="AF53" s="285"/>
      <c r="AG53" s="285"/>
      <c r="AH53" s="285"/>
      <c r="AI53" s="285"/>
      <c r="AJ53" s="285"/>
      <c r="AK53" s="285"/>
      <c r="AL53" s="285"/>
      <c r="AM53" s="285"/>
      <c r="AN53" s="285"/>
      <c r="AO53" s="285"/>
      <c r="AP53" s="285"/>
      <c r="AQ53" s="285"/>
      <c r="AR53" s="285"/>
      <c r="AS53" s="285"/>
      <c r="AT53" s="285"/>
    </row>
    <row r="54">
      <c r="B54" s="248" t="s">
        <v>38</v>
      </c>
      <c r="C54" s="313">
        <v>45659.0</v>
      </c>
      <c r="D54" s="314">
        <v>1.0</v>
      </c>
      <c r="E54" s="251">
        <v>2800.0</v>
      </c>
      <c r="F54" s="251">
        <v>800.0</v>
      </c>
      <c r="G54" s="191"/>
      <c r="H54" s="191"/>
      <c r="I54" s="191"/>
      <c r="J54" s="251">
        <v>1000.0</v>
      </c>
      <c r="K54" s="69">
        <f t="shared" ref="K54:K57" si="12">E54-J54-L54-M54-N54-I54+F54</f>
        <v>0</v>
      </c>
      <c r="L54" s="191"/>
      <c r="M54" s="191"/>
      <c r="N54" s="204">
        <f>1800+800</f>
        <v>2600</v>
      </c>
      <c r="O54" s="315">
        <v>-700.0</v>
      </c>
      <c r="P54" s="195"/>
      <c r="Q54" s="201">
        <f t="shared" ref="Q54:Q75" si="13">Q53+N54+O54+P54</f>
        <v>20574.04</v>
      </c>
      <c r="R54" s="205" t="s">
        <v>122</v>
      </c>
    </row>
    <row r="55">
      <c r="B55" s="68"/>
      <c r="C55" s="313">
        <v>45692.0</v>
      </c>
      <c r="D55" s="314">
        <v>2.0</v>
      </c>
      <c r="E55" s="251">
        <v>5000.0</v>
      </c>
      <c r="F55" s="191"/>
      <c r="G55" s="191"/>
      <c r="H55" s="191"/>
      <c r="I55" s="191"/>
      <c r="J55" s="251">
        <v>2000.0</v>
      </c>
      <c r="K55" s="69">
        <f t="shared" si="12"/>
        <v>0</v>
      </c>
      <c r="L55" s="191"/>
      <c r="M55" s="251">
        <v>3000.0</v>
      </c>
      <c r="N55" s="204"/>
      <c r="O55" s="315">
        <v>-700.0</v>
      </c>
      <c r="P55" s="195"/>
      <c r="Q55" s="201">
        <f t="shared" si="13"/>
        <v>19874.04</v>
      </c>
      <c r="R55" s="202"/>
    </row>
    <row r="56">
      <c r="B56" s="81"/>
      <c r="C56" s="318">
        <v>45754.0</v>
      </c>
      <c r="D56" s="169"/>
      <c r="E56" s="170"/>
      <c r="F56" s="170"/>
      <c r="G56" s="170"/>
      <c r="H56" s="170"/>
      <c r="I56" s="170"/>
      <c r="J56" s="170"/>
      <c r="K56" s="90">
        <f t="shared" si="12"/>
        <v>0</v>
      </c>
      <c r="L56" s="170"/>
      <c r="M56" s="170"/>
      <c r="N56" s="170"/>
      <c r="O56" s="170"/>
      <c r="P56" s="170"/>
      <c r="Q56" s="88">
        <f t="shared" si="13"/>
        <v>19874.04</v>
      </c>
      <c r="R56" s="81"/>
    </row>
    <row r="57">
      <c r="B57" s="68"/>
      <c r="C57" s="313">
        <v>45846.0</v>
      </c>
      <c r="D57" s="314">
        <v>1.0</v>
      </c>
      <c r="E57" s="251">
        <v>2500.0</v>
      </c>
      <c r="F57" s="191"/>
      <c r="G57" s="191"/>
      <c r="H57" s="191"/>
      <c r="I57" s="191"/>
      <c r="J57" s="251">
        <v>1000.0</v>
      </c>
      <c r="K57" s="69">
        <f t="shared" si="12"/>
        <v>0</v>
      </c>
      <c r="L57" s="191"/>
      <c r="M57" s="191"/>
      <c r="N57" s="204">
        <v>1500.0</v>
      </c>
      <c r="O57" s="204">
        <v>-700.0</v>
      </c>
      <c r="P57" s="195"/>
      <c r="Q57" s="201">
        <f t="shared" si="13"/>
        <v>20674.04</v>
      </c>
      <c r="R57" s="202"/>
    </row>
    <row r="58">
      <c r="B58" s="68"/>
      <c r="C58" s="313">
        <v>45879.0</v>
      </c>
      <c r="D58" s="314">
        <v>2.0</v>
      </c>
      <c r="E58" s="191">
        <f>5300+500</f>
        <v>5800</v>
      </c>
      <c r="F58" s="191"/>
      <c r="G58" s="251"/>
      <c r="H58" s="191"/>
      <c r="I58" s="191"/>
      <c r="J58" s="251">
        <v>1500.0</v>
      </c>
      <c r="K58" s="69">
        <f>E58-J58-L58-M58-N58-I58+F58-G58</f>
        <v>0</v>
      </c>
      <c r="L58" s="191"/>
      <c r="M58" s="191"/>
      <c r="N58" s="204">
        <v>4300.0</v>
      </c>
      <c r="O58" s="315">
        <v>-700.0</v>
      </c>
      <c r="P58" s="195"/>
      <c r="Q58" s="201">
        <f t="shared" si="13"/>
        <v>24274.04</v>
      </c>
      <c r="R58" s="202"/>
    </row>
    <row r="59">
      <c r="B59" s="81"/>
      <c r="C59" s="318">
        <v>45941.0</v>
      </c>
      <c r="D59" s="169"/>
      <c r="E59" s="170"/>
      <c r="F59" s="170"/>
      <c r="G59" s="170"/>
      <c r="H59" s="170"/>
      <c r="I59" s="170"/>
      <c r="J59" s="170"/>
      <c r="K59" s="90">
        <f t="shared" ref="K59:K70" si="14">E59-J59-L59-M59-N59-I59+F59-P59</f>
        <v>0</v>
      </c>
      <c r="L59" s="170"/>
      <c r="M59" s="182"/>
      <c r="N59" s="170"/>
      <c r="O59" s="180"/>
      <c r="P59" s="170"/>
      <c r="Q59" s="88">
        <f t="shared" si="13"/>
        <v>24274.04</v>
      </c>
      <c r="R59" s="81"/>
    </row>
    <row r="60">
      <c r="B60" s="68"/>
      <c r="C60" s="313">
        <v>45975.0</v>
      </c>
      <c r="D60" s="314">
        <v>3.0</v>
      </c>
      <c r="E60" s="251">
        <v>4209.8</v>
      </c>
      <c r="F60" s="191"/>
      <c r="G60" s="191"/>
      <c r="H60" s="191"/>
      <c r="I60" s="191"/>
      <c r="J60" s="191"/>
      <c r="K60" s="69">
        <f t="shared" si="14"/>
        <v>0</v>
      </c>
      <c r="L60" s="251">
        <v>4209.8</v>
      </c>
      <c r="M60" s="191"/>
      <c r="N60" s="195"/>
      <c r="O60" s="315">
        <v>-700.0</v>
      </c>
      <c r="P60" s="195"/>
      <c r="Q60" s="201">
        <f t="shared" si="13"/>
        <v>23574.04</v>
      </c>
      <c r="R60" s="202"/>
    </row>
    <row r="61">
      <c r="B61" s="68"/>
      <c r="C61" s="314" t="s">
        <v>101</v>
      </c>
      <c r="D61" s="314">
        <v>2.0</v>
      </c>
      <c r="E61" s="251">
        <f>5200+150</f>
        <v>5350</v>
      </c>
      <c r="F61" s="251">
        <v>800.0</v>
      </c>
      <c r="G61" s="191"/>
      <c r="H61" s="191"/>
      <c r="I61" s="191"/>
      <c r="J61" s="251">
        <v>2000.0</v>
      </c>
      <c r="K61" s="69">
        <f t="shared" si="14"/>
        <v>0</v>
      </c>
      <c r="L61" s="191"/>
      <c r="M61" s="191"/>
      <c r="N61" s="204">
        <f>4000+150</f>
        <v>4150</v>
      </c>
      <c r="O61" s="315">
        <v>-700.0</v>
      </c>
      <c r="P61" s="195"/>
      <c r="Q61" s="201">
        <f t="shared" si="13"/>
        <v>27024.04</v>
      </c>
      <c r="R61" s="202"/>
    </row>
    <row r="62">
      <c r="B62" s="68"/>
      <c r="C62" s="314" t="s">
        <v>31</v>
      </c>
      <c r="D62" s="314">
        <v>1.0</v>
      </c>
      <c r="E62" s="251">
        <v>2500.0</v>
      </c>
      <c r="F62" s="191"/>
      <c r="G62" s="191"/>
      <c r="H62" s="191"/>
      <c r="I62" s="191"/>
      <c r="J62" s="251">
        <v>1000.0</v>
      </c>
      <c r="K62" s="69">
        <f t="shared" si="14"/>
        <v>0</v>
      </c>
      <c r="L62" s="191"/>
      <c r="M62" s="251">
        <v>1500.0</v>
      </c>
      <c r="N62" s="204"/>
      <c r="O62" s="315">
        <v>-700.0</v>
      </c>
      <c r="P62" s="195"/>
      <c r="Q62" s="201">
        <f t="shared" si="13"/>
        <v>26324.04</v>
      </c>
      <c r="R62" s="202"/>
    </row>
    <row r="63">
      <c r="B63" s="68"/>
      <c r="C63" s="314" t="s">
        <v>56</v>
      </c>
      <c r="D63" s="314">
        <v>2.0</v>
      </c>
      <c r="E63" s="251">
        <v>3800.0</v>
      </c>
      <c r="F63" s="251">
        <v>700.0</v>
      </c>
      <c r="G63" s="191"/>
      <c r="H63" s="191"/>
      <c r="I63" s="191"/>
      <c r="J63" s="251">
        <v>1000.0</v>
      </c>
      <c r="K63" s="69">
        <f t="shared" si="14"/>
        <v>0</v>
      </c>
      <c r="L63" s="191"/>
      <c r="M63" s="251">
        <v>2800.0</v>
      </c>
      <c r="N63" s="204">
        <v>700.0</v>
      </c>
      <c r="O63" s="315">
        <v>-700.0</v>
      </c>
      <c r="P63" s="195"/>
      <c r="Q63" s="201">
        <f t="shared" si="13"/>
        <v>26324.04</v>
      </c>
      <c r="R63" s="205" t="s">
        <v>129</v>
      </c>
    </row>
    <row r="64">
      <c r="B64" s="81"/>
      <c r="C64" s="319" t="s">
        <v>64</v>
      </c>
      <c r="D64" s="169"/>
      <c r="E64" s="170"/>
      <c r="F64" s="170"/>
      <c r="G64" s="170"/>
      <c r="H64" s="170"/>
      <c r="I64" s="170"/>
      <c r="J64" s="170"/>
      <c r="K64" s="90">
        <f t="shared" si="14"/>
        <v>0</v>
      </c>
      <c r="L64" s="170"/>
      <c r="M64" s="170"/>
      <c r="N64" s="170"/>
      <c r="O64" s="180"/>
      <c r="P64" s="170"/>
      <c r="Q64" s="88">
        <f t="shared" si="13"/>
        <v>26324.04</v>
      </c>
      <c r="R64" s="81"/>
    </row>
    <row r="65">
      <c r="B65" s="68"/>
      <c r="C65" s="314" t="s">
        <v>68</v>
      </c>
      <c r="D65" s="314">
        <v>1.0</v>
      </c>
      <c r="E65" s="251">
        <v>2300.0</v>
      </c>
      <c r="F65" s="191"/>
      <c r="G65" s="191"/>
      <c r="H65" s="191"/>
      <c r="I65" s="191"/>
      <c r="J65" s="251">
        <v>1000.0</v>
      </c>
      <c r="K65" s="69">
        <f t="shared" si="14"/>
        <v>0</v>
      </c>
      <c r="L65" s="191"/>
      <c r="M65" s="191"/>
      <c r="N65" s="204">
        <v>1300.0</v>
      </c>
      <c r="O65" s="315">
        <v>-700.0</v>
      </c>
      <c r="P65" s="195"/>
      <c r="Q65" s="201">
        <f t="shared" si="13"/>
        <v>26924.04</v>
      </c>
      <c r="R65" s="202"/>
    </row>
    <row r="66">
      <c r="B66" s="68"/>
      <c r="C66" s="314" t="s">
        <v>37</v>
      </c>
      <c r="D66" s="314">
        <v>1.0</v>
      </c>
      <c r="E66" s="251">
        <v>2800.0</v>
      </c>
      <c r="F66" s="191"/>
      <c r="G66" s="191"/>
      <c r="H66" s="191"/>
      <c r="I66" s="191"/>
      <c r="J66" s="251">
        <v>1000.0</v>
      </c>
      <c r="K66" s="69">
        <f t="shared" si="14"/>
        <v>0</v>
      </c>
      <c r="L66" s="191"/>
      <c r="M66" s="191"/>
      <c r="N66" s="204">
        <v>1800.0</v>
      </c>
      <c r="O66" s="315">
        <v>-700.0</v>
      </c>
      <c r="P66" s="195"/>
      <c r="Q66" s="201">
        <f t="shared" si="13"/>
        <v>28024.04</v>
      </c>
      <c r="R66" s="202"/>
    </row>
    <row r="67">
      <c r="B67" s="81"/>
      <c r="C67" s="319" t="s">
        <v>108</v>
      </c>
      <c r="D67" s="169"/>
      <c r="E67" s="170"/>
      <c r="F67" s="170"/>
      <c r="G67" s="170"/>
      <c r="H67" s="170"/>
      <c r="I67" s="170"/>
      <c r="J67" s="170"/>
      <c r="K67" s="90">
        <f t="shared" si="14"/>
        <v>0</v>
      </c>
      <c r="L67" s="170"/>
      <c r="M67" s="170"/>
      <c r="N67" s="170"/>
      <c r="O67" s="180"/>
      <c r="P67" s="170"/>
      <c r="Q67" s="88">
        <f t="shared" si="13"/>
        <v>28024.04</v>
      </c>
      <c r="R67" s="81"/>
    </row>
    <row r="68">
      <c r="B68" s="68"/>
      <c r="C68" s="314" t="s">
        <v>99</v>
      </c>
      <c r="D68" s="314">
        <v>2.0</v>
      </c>
      <c r="E68" s="251">
        <v>4100.0</v>
      </c>
      <c r="F68" s="191"/>
      <c r="G68" s="191"/>
      <c r="H68" s="191"/>
      <c r="I68" s="191"/>
      <c r="J68" s="251">
        <v>1500.0</v>
      </c>
      <c r="K68" s="69">
        <f t="shared" si="14"/>
        <v>0</v>
      </c>
      <c r="L68" s="191"/>
      <c r="M68" s="191"/>
      <c r="N68" s="204">
        <v>2600.0</v>
      </c>
      <c r="O68" s="315">
        <v>-700.0</v>
      </c>
      <c r="P68" s="195"/>
      <c r="Q68" s="201">
        <f t="shared" si="13"/>
        <v>29924.04</v>
      </c>
      <c r="R68" s="202"/>
    </row>
    <row r="69">
      <c r="B69" s="68"/>
      <c r="C69" s="314" t="s">
        <v>72</v>
      </c>
      <c r="D69" s="314">
        <v>1.0</v>
      </c>
      <c r="E69" s="251">
        <v>2250.0</v>
      </c>
      <c r="F69" s="191"/>
      <c r="G69" s="191"/>
      <c r="H69" s="191"/>
      <c r="I69" s="191"/>
      <c r="J69" s="251">
        <v>1000.0</v>
      </c>
      <c r="K69" s="69">
        <f t="shared" si="14"/>
        <v>0</v>
      </c>
      <c r="L69" s="191"/>
      <c r="M69" s="191"/>
      <c r="N69" s="204">
        <v>1250.0</v>
      </c>
      <c r="O69" s="315">
        <v>-700.0</v>
      </c>
      <c r="P69" s="195"/>
      <c r="Q69" s="201">
        <f t="shared" si="13"/>
        <v>30474.04</v>
      </c>
      <c r="R69" s="202"/>
    </row>
    <row r="70">
      <c r="B70" s="68"/>
      <c r="C70" s="314" t="s">
        <v>74</v>
      </c>
      <c r="D70" s="314">
        <v>1.0</v>
      </c>
      <c r="E70" s="251">
        <v>2500.0</v>
      </c>
      <c r="F70" s="191"/>
      <c r="G70" s="191"/>
      <c r="H70" s="191"/>
      <c r="I70" s="191"/>
      <c r="J70" s="251">
        <v>1000.0</v>
      </c>
      <c r="K70" s="69">
        <f t="shared" si="14"/>
        <v>0</v>
      </c>
      <c r="L70" s="191"/>
      <c r="M70" s="191"/>
      <c r="N70" s="204">
        <v>1500.0</v>
      </c>
      <c r="O70" s="315">
        <v>-700.0</v>
      </c>
      <c r="P70" s="195"/>
      <c r="Q70" s="201">
        <f t="shared" si="13"/>
        <v>31274.04</v>
      </c>
      <c r="R70" s="202"/>
    </row>
    <row r="71">
      <c r="B71" s="68"/>
      <c r="C71" s="188"/>
      <c r="D71" s="188"/>
      <c r="E71" s="191"/>
      <c r="F71" s="191"/>
      <c r="G71" s="191"/>
      <c r="H71" s="191"/>
      <c r="I71" s="191"/>
      <c r="J71" s="191"/>
      <c r="K71" s="69"/>
      <c r="L71" s="191"/>
      <c r="M71" s="191"/>
      <c r="N71" s="195"/>
      <c r="O71" s="197"/>
      <c r="P71" s="321">
        <v>-2465.91</v>
      </c>
      <c r="Q71" s="201">
        <f t="shared" si="13"/>
        <v>28808.13</v>
      </c>
      <c r="R71" s="202" t="s">
        <v>55</v>
      </c>
      <c r="S71" s="276">
        <v>45706.0</v>
      </c>
    </row>
    <row r="72">
      <c r="B72" s="68"/>
      <c r="C72" s="188"/>
      <c r="D72" s="188"/>
      <c r="E72" s="191"/>
      <c r="F72" s="191"/>
      <c r="G72" s="191"/>
      <c r="H72" s="191"/>
      <c r="I72" s="191"/>
      <c r="J72" s="191"/>
      <c r="K72" s="69"/>
      <c r="L72" s="191"/>
      <c r="M72" s="191"/>
      <c r="N72" s="195"/>
      <c r="O72" s="197"/>
      <c r="P72" s="322">
        <v>-500.0</v>
      </c>
      <c r="Q72" s="201">
        <f t="shared" si="13"/>
        <v>28308.13</v>
      </c>
      <c r="R72" s="202" t="s">
        <v>93</v>
      </c>
    </row>
    <row r="73">
      <c r="B73" s="68"/>
      <c r="C73" s="188"/>
      <c r="D73" s="188"/>
      <c r="E73" s="191"/>
      <c r="F73" s="191"/>
      <c r="G73" s="191"/>
      <c r="H73" s="191"/>
      <c r="I73" s="191"/>
      <c r="J73" s="191"/>
      <c r="K73" s="69"/>
      <c r="L73" s="191"/>
      <c r="M73" s="191"/>
      <c r="N73" s="195"/>
      <c r="O73" s="197"/>
      <c r="P73" s="324">
        <v>-50.0</v>
      </c>
      <c r="Q73" s="201">
        <f t="shared" si="13"/>
        <v>28258.13</v>
      </c>
      <c r="R73" s="205" t="s">
        <v>114</v>
      </c>
    </row>
    <row r="74">
      <c r="B74" s="68"/>
      <c r="C74" s="188"/>
      <c r="D74" s="188"/>
      <c r="E74" s="191"/>
      <c r="F74" s="191"/>
      <c r="G74" s="191"/>
      <c r="H74" s="191"/>
      <c r="I74" s="191"/>
      <c r="J74" s="191"/>
      <c r="K74" s="69"/>
      <c r="L74" s="191"/>
      <c r="M74" s="191"/>
      <c r="N74" s="195"/>
      <c r="O74" s="197"/>
      <c r="P74" s="324">
        <v>-5257.98</v>
      </c>
      <c r="Q74" s="201">
        <f t="shared" si="13"/>
        <v>23000.15</v>
      </c>
      <c r="R74" s="202" t="s">
        <v>59</v>
      </c>
    </row>
    <row r="75">
      <c r="B75" s="68"/>
      <c r="C75" s="188"/>
      <c r="D75" s="188"/>
      <c r="E75" s="191"/>
      <c r="F75" s="191"/>
      <c r="G75" s="191"/>
      <c r="H75" s="191"/>
      <c r="I75" s="191"/>
      <c r="J75" s="191"/>
      <c r="K75" s="69"/>
      <c r="L75" s="191"/>
      <c r="M75" s="191"/>
      <c r="N75" s="195"/>
      <c r="O75" s="197"/>
      <c r="P75" s="204">
        <v>-23000.15</v>
      </c>
      <c r="Q75" s="201">
        <f t="shared" si="13"/>
        <v>0</v>
      </c>
      <c r="R75" s="205" t="s">
        <v>119</v>
      </c>
    </row>
    <row r="76">
      <c r="A76" s="285"/>
      <c r="B76" s="325" t="s">
        <v>38</v>
      </c>
      <c r="C76" s="288" t="s">
        <v>66</v>
      </c>
      <c r="D76" s="290">
        <f t="shared" ref="D76:P76" si="15">sum(D54:D75)</f>
        <v>20</v>
      </c>
      <c r="E76" s="291">
        <f t="shared" si="15"/>
        <v>45909.8</v>
      </c>
      <c r="F76" s="291">
        <f t="shared" si="15"/>
        <v>2300</v>
      </c>
      <c r="G76" s="291">
        <f t="shared" si="15"/>
        <v>0</v>
      </c>
      <c r="H76" s="291">
        <f t="shared" si="15"/>
        <v>0</v>
      </c>
      <c r="I76" s="291">
        <f t="shared" si="15"/>
        <v>0</v>
      </c>
      <c r="J76" s="291">
        <f t="shared" si="15"/>
        <v>15000</v>
      </c>
      <c r="K76" s="291">
        <f t="shared" si="15"/>
        <v>0</v>
      </c>
      <c r="L76" s="291">
        <f t="shared" si="15"/>
        <v>4209.8</v>
      </c>
      <c r="M76" s="291">
        <f t="shared" si="15"/>
        <v>7300</v>
      </c>
      <c r="N76" s="291">
        <f t="shared" si="15"/>
        <v>21700</v>
      </c>
      <c r="O76" s="291">
        <f t="shared" si="15"/>
        <v>-9100</v>
      </c>
      <c r="P76" s="291">
        <f t="shared" si="15"/>
        <v>-31274.04</v>
      </c>
      <c r="Q76" s="292">
        <f>Q75</f>
        <v>0</v>
      </c>
      <c r="R76" s="293"/>
      <c r="S76" s="285"/>
      <c r="T76" s="326">
        <v>23.0</v>
      </c>
      <c r="U76" s="285"/>
      <c r="V76" s="285"/>
      <c r="W76" s="285"/>
      <c r="X76" s="285"/>
      <c r="Y76" s="285"/>
      <c r="Z76" s="285"/>
      <c r="AA76" s="285"/>
      <c r="AB76" s="285"/>
      <c r="AC76" s="285"/>
      <c r="AD76" s="285"/>
      <c r="AE76" s="285"/>
      <c r="AF76" s="285"/>
      <c r="AG76" s="285"/>
      <c r="AH76" s="285"/>
      <c r="AI76" s="285"/>
      <c r="AJ76" s="285"/>
      <c r="AK76" s="285"/>
      <c r="AL76" s="285"/>
      <c r="AM76" s="285"/>
      <c r="AN76" s="285"/>
      <c r="AO76" s="285"/>
      <c r="AP76" s="285"/>
      <c r="AQ76" s="285"/>
      <c r="AR76" s="285"/>
      <c r="AS76" s="285"/>
      <c r="AT76" s="285"/>
    </row>
    <row r="77">
      <c r="B77" s="327" t="s">
        <v>91</v>
      </c>
      <c r="C77" s="328">
        <v>45659.0</v>
      </c>
      <c r="D77" s="329">
        <v>1.0</v>
      </c>
      <c r="E77" s="330">
        <v>2800.0</v>
      </c>
      <c r="F77" s="330">
        <v>450.0</v>
      </c>
      <c r="G77" s="331"/>
      <c r="H77" s="331"/>
      <c r="I77" s="331"/>
      <c r="J77" s="330">
        <v>1000.0</v>
      </c>
      <c r="K77" s="186">
        <f t="shared" ref="K77:K78" si="16">E77-J77-L77-M77-N77-I77+F77-P77</f>
        <v>0</v>
      </c>
      <c r="L77" s="331"/>
      <c r="M77" s="331"/>
      <c r="N77" s="332">
        <v>2250.0</v>
      </c>
      <c r="O77" s="333">
        <v>-700.0</v>
      </c>
      <c r="P77" s="334"/>
      <c r="Q77" s="201">
        <f t="shared" ref="Q77:Q95" si="17">Q76+N77+O77+P77</f>
        <v>1550</v>
      </c>
      <c r="R77" s="335"/>
      <c r="T77" s="174">
        <v>23000.15</v>
      </c>
    </row>
    <row r="78">
      <c r="B78" s="68"/>
      <c r="C78" s="313">
        <v>45692.0</v>
      </c>
      <c r="D78" s="314">
        <v>1.0</v>
      </c>
      <c r="E78" s="251">
        <f>1000+2500</f>
        <v>3500</v>
      </c>
      <c r="F78" s="251">
        <v>350.0</v>
      </c>
      <c r="G78" s="191"/>
      <c r="H78" s="191"/>
      <c r="I78" s="191"/>
      <c r="J78" s="251">
        <v>1200.0</v>
      </c>
      <c r="K78" s="69">
        <f t="shared" si="16"/>
        <v>0</v>
      </c>
      <c r="L78" s="191"/>
      <c r="M78" s="251">
        <v>2650.0</v>
      </c>
      <c r="N78" s="204"/>
      <c r="O78" s="315">
        <v>-700.0</v>
      </c>
      <c r="P78" s="195"/>
      <c r="Q78" s="201">
        <f t="shared" si="17"/>
        <v>850</v>
      </c>
      <c r="R78" s="202"/>
    </row>
    <row r="79">
      <c r="B79" s="81"/>
      <c r="C79" s="318">
        <v>45752.0</v>
      </c>
      <c r="D79" s="319"/>
      <c r="E79" s="182"/>
      <c r="F79" s="170"/>
      <c r="G79" s="170"/>
      <c r="H79" s="170"/>
      <c r="I79" s="170"/>
      <c r="J79" s="182"/>
      <c r="K79" s="90"/>
      <c r="L79" s="170"/>
      <c r="M79" s="182"/>
      <c r="N79" s="170"/>
      <c r="O79" s="338"/>
      <c r="P79" s="170"/>
      <c r="Q79" s="88">
        <f t="shared" si="17"/>
        <v>850</v>
      </c>
      <c r="R79" s="81"/>
    </row>
    <row r="80">
      <c r="B80" s="68"/>
      <c r="C80" s="313">
        <v>45784.0</v>
      </c>
      <c r="D80" s="314">
        <v>2.0</v>
      </c>
      <c r="E80" s="251">
        <v>4100.0</v>
      </c>
      <c r="F80" s="191"/>
      <c r="G80" s="191"/>
      <c r="H80" s="191"/>
      <c r="I80" s="191"/>
      <c r="J80" s="251">
        <v>1500.0</v>
      </c>
      <c r="K80" s="69">
        <f>E80-J80-L80-M80-N80-I80+F80-P80</f>
        <v>0</v>
      </c>
      <c r="L80" s="191"/>
      <c r="M80" s="251">
        <v>2600.0</v>
      </c>
      <c r="N80" s="204"/>
      <c r="O80" s="315">
        <v>-700.0</v>
      </c>
      <c r="P80" s="195"/>
      <c r="Q80" s="201">
        <f t="shared" si="17"/>
        <v>150</v>
      </c>
      <c r="R80" s="202"/>
    </row>
    <row r="81">
      <c r="B81" s="68"/>
      <c r="C81" s="313">
        <v>45847.0</v>
      </c>
      <c r="D81" s="314">
        <v>2.0</v>
      </c>
      <c r="E81" s="251">
        <v>5100.0</v>
      </c>
      <c r="F81" s="251">
        <v>900.0</v>
      </c>
      <c r="G81" s="191"/>
      <c r="H81" s="191"/>
      <c r="I81" s="191"/>
      <c r="J81" s="251">
        <v>1900.0</v>
      </c>
      <c r="K81" s="69"/>
      <c r="L81" s="191"/>
      <c r="M81" s="251">
        <v>4100.0</v>
      </c>
      <c r="N81" s="195"/>
      <c r="O81" s="315">
        <v>-700.0</v>
      </c>
      <c r="P81" s="195"/>
      <c r="Q81" s="201">
        <f t="shared" si="17"/>
        <v>-550</v>
      </c>
      <c r="R81" s="202"/>
    </row>
    <row r="82">
      <c r="B82" s="81"/>
      <c r="C82" s="318">
        <v>45910.0</v>
      </c>
      <c r="D82" s="169"/>
      <c r="E82" s="170"/>
      <c r="F82" s="170"/>
      <c r="G82" s="170"/>
      <c r="H82" s="170"/>
      <c r="I82" s="170"/>
      <c r="J82" s="170"/>
      <c r="K82" s="90">
        <f t="shared" ref="K82:K91" si="18">E82-J82-L82-M82-N82-I82+F82-P82</f>
        <v>0</v>
      </c>
      <c r="L82" s="170"/>
      <c r="M82" s="170"/>
      <c r="N82" s="170"/>
      <c r="O82" s="180"/>
      <c r="P82" s="170"/>
      <c r="Q82" s="88">
        <f t="shared" si="17"/>
        <v>-550</v>
      </c>
      <c r="R82" s="81"/>
    </row>
    <row r="83">
      <c r="B83" s="68"/>
      <c r="C83" s="313">
        <v>45941.0</v>
      </c>
      <c r="D83" s="314">
        <v>1.0</v>
      </c>
      <c r="E83" s="251">
        <v>2000.0</v>
      </c>
      <c r="F83" s="251"/>
      <c r="G83" s="191"/>
      <c r="H83" s="191"/>
      <c r="I83" s="191"/>
      <c r="J83" s="251">
        <v>1000.0</v>
      </c>
      <c r="K83" s="69">
        <f t="shared" si="18"/>
        <v>0</v>
      </c>
      <c r="L83" s="191"/>
      <c r="M83" s="191"/>
      <c r="N83" s="204">
        <v>1000.0</v>
      </c>
      <c r="O83" s="315">
        <v>-700.0</v>
      </c>
      <c r="P83" s="195"/>
      <c r="Q83" s="201">
        <f t="shared" si="17"/>
        <v>-250</v>
      </c>
      <c r="R83" s="202"/>
    </row>
    <row r="84">
      <c r="B84" s="81"/>
      <c r="C84" s="318">
        <v>45975.0</v>
      </c>
      <c r="D84" s="169"/>
      <c r="E84" s="170"/>
      <c r="F84" s="170"/>
      <c r="G84" s="170"/>
      <c r="H84" s="170"/>
      <c r="I84" s="170"/>
      <c r="J84" s="170"/>
      <c r="K84" s="90">
        <f t="shared" si="18"/>
        <v>0</v>
      </c>
      <c r="L84" s="170"/>
      <c r="M84" s="170"/>
      <c r="N84" s="170"/>
      <c r="O84" s="180"/>
      <c r="P84" s="170"/>
      <c r="Q84" s="88">
        <f t="shared" si="17"/>
        <v>-250</v>
      </c>
      <c r="R84" s="81"/>
    </row>
    <row r="85">
      <c r="B85" s="68"/>
      <c r="C85" s="314" t="s">
        <v>29</v>
      </c>
      <c r="D85" s="314">
        <v>1.0</v>
      </c>
      <c r="E85" s="251">
        <v>2200.0</v>
      </c>
      <c r="F85" s="191"/>
      <c r="G85" s="191"/>
      <c r="H85" s="191"/>
      <c r="I85" s="191"/>
      <c r="J85" s="251">
        <v>500.0</v>
      </c>
      <c r="K85" s="69">
        <f t="shared" si="18"/>
        <v>0</v>
      </c>
      <c r="L85" s="191"/>
      <c r="M85" s="191"/>
      <c r="N85" s="204">
        <v>1700.0</v>
      </c>
      <c r="O85" s="315">
        <v>-700.0</v>
      </c>
      <c r="P85" s="195"/>
      <c r="Q85" s="201">
        <f t="shared" si="17"/>
        <v>750</v>
      </c>
      <c r="R85" s="202"/>
    </row>
    <row r="86">
      <c r="B86" s="68"/>
      <c r="C86" s="314" t="s">
        <v>30</v>
      </c>
      <c r="D86" s="314">
        <v>1.0</v>
      </c>
      <c r="E86" s="251">
        <v>2800.0</v>
      </c>
      <c r="F86" s="191"/>
      <c r="G86" s="191"/>
      <c r="H86" s="191"/>
      <c r="I86" s="191"/>
      <c r="J86" s="251">
        <v>1000.0</v>
      </c>
      <c r="K86" s="69">
        <f t="shared" si="18"/>
        <v>0</v>
      </c>
      <c r="L86" s="191"/>
      <c r="M86" s="251">
        <v>1800.0</v>
      </c>
      <c r="N86" s="195"/>
      <c r="O86" s="315">
        <v>-700.0</v>
      </c>
      <c r="P86" s="204"/>
      <c r="Q86" s="201">
        <f t="shared" si="17"/>
        <v>50</v>
      </c>
      <c r="R86" s="205"/>
    </row>
    <row r="87">
      <c r="B87" s="68"/>
      <c r="C87" s="314" t="s">
        <v>149</v>
      </c>
      <c r="D87" s="314">
        <v>10.0</v>
      </c>
      <c r="E87" s="251">
        <f>4400-800+21100</f>
        <v>24700</v>
      </c>
      <c r="F87" s="251">
        <f>800+4000</f>
        <v>4800</v>
      </c>
      <c r="G87" s="191"/>
      <c r="H87" s="191"/>
      <c r="I87" s="191"/>
      <c r="J87" s="251">
        <v>7500.0</v>
      </c>
      <c r="K87" s="69">
        <f t="shared" si="18"/>
        <v>0</v>
      </c>
      <c r="L87" s="191"/>
      <c r="M87" s="251">
        <f>13800+4400</f>
        <v>18200</v>
      </c>
      <c r="N87" s="324">
        <v>3800.0</v>
      </c>
      <c r="O87" s="315">
        <v>-700.0</v>
      </c>
      <c r="P87" s="195"/>
      <c r="Q87" s="201">
        <f t="shared" si="17"/>
        <v>3150</v>
      </c>
      <c r="R87" s="205" t="s">
        <v>150</v>
      </c>
    </row>
    <row r="88">
      <c r="B88" s="68"/>
      <c r="C88" s="314" t="s">
        <v>73</v>
      </c>
      <c r="D88" s="314">
        <v>1.0</v>
      </c>
      <c r="E88" s="251">
        <v>2500.0</v>
      </c>
      <c r="F88" s="191"/>
      <c r="G88" s="191"/>
      <c r="H88" s="191"/>
      <c r="I88" s="191"/>
      <c r="J88" s="251">
        <v>1000.0</v>
      </c>
      <c r="K88" s="69">
        <f t="shared" si="18"/>
        <v>0</v>
      </c>
      <c r="L88" s="191"/>
      <c r="M88" s="191"/>
      <c r="N88" s="204">
        <v>1500.0</v>
      </c>
      <c r="O88" s="315">
        <v>-700.0</v>
      </c>
      <c r="P88" s="195"/>
      <c r="Q88" s="201">
        <f t="shared" si="17"/>
        <v>3950</v>
      </c>
      <c r="R88" s="202"/>
    </row>
    <row r="89">
      <c r="B89" s="68"/>
      <c r="C89" s="314" t="s">
        <v>49</v>
      </c>
      <c r="D89" s="314">
        <v>1.0</v>
      </c>
      <c r="E89" s="251">
        <v>3050.0</v>
      </c>
      <c r="F89" s="191"/>
      <c r="G89" s="191"/>
      <c r="H89" s="191"/>
      <c r="I89" s="191"/>
      <c r="J89" s="251">
        <v>1000.0</v>
      </c>
      <c r="K89" s="69">
        <f t="shared" si="18"/>
        <v>0</v>
      </c>
      <c r="L89" s="191"/>
      <c r="M89" s="251">
        <v>1050.0</v>
      </c>
      <c r="N89" s="204">
        <v>1000.0</v>
      </c>
      <c r="O89" s="315">
        <v>-700.0</v>
      </c>
      <c r="P89" s="195"/>
      <c r="Q89" s="201">
        <f t="shared" si="17"/>
        <v>4250</v>
      </c>
      <c r="R89" s="202"/>
    </row>
    <row r="90">
      <c r="B90" s="68"/>
      <c r="C90" s="314" t="s">
        <v>50</v>
      </c>
      <c r="D90" s="314">
        <v>1.0</v>
      </c>
      <c r="E90" s="251">
        <v>2000.0</v>
      </c>
      <c r="F90" s="191"/>
      <c r="G90" s="191"/>
      <c r="H90" s="191"/>
      <c r="I90" s="191"/>
      <c r="J90" s="251">
        <v>1000.0</v>
      </c>
      <c r="K90" s="69">
        <f t="shared" si="18"/>
        <v>0</v>
      </c>
      <c r="L90" s="191"/>
      <c r="M90" s="251">
        <v>1000.0</v>
      </c>
      <c r="N90" s="195"/>
      <c r="O90" s="315">
        <v>-700.0</v>
      </c>
      <c r="P90" s="195"/>
      <c r="Q90" s="201">
        <f t="shared" si="17"/>
        <v>3550</v>
      </c>
      <c r="R90" s="202"/>
    </row>
    <row r="91">
      <c r="B91" s="68"/>
      <c r="C91" s="314" t="s">
        <v>52</v>
      </c>
      <c r="D91" s="314">
        <v>1.0</v>
      </c>
      <c r="E91" s="251">
        <v>1800.0</v>
      </c>
      <c r="F91" s="191"/>
      <c r="G91" s="191"/>
      <c r="H91" s="191"/>
      <c r="I91" s="191"/>
      <c r="J91" s="191"/>
      <c r="K91" s="69">
        <f t="shared" si="18"/>
        <v>0</v>
      </c>
      <c r="L91" s="191"/>
      <c r="M91" s="191"/>
      <c r="N91" s="204">
        <v>1800.0</v>
      </c>
      <c r="O91" s="315">
        <v>-700.0</v>
      </c>
      <c r="P91" s="195"/>
      <c r="Q91" s="201">
        <f t="shared" si="17"/>
        <v>4650</v>
      </c>
      <c r="R91" s="202"/>
    </row>
    <row r="92">
      <c r="B92" s="68"/>
      <c r="C92" s="314"/>
      <c r="D92" s="314"/>
      <c r="E92" s="251"/>
      <c r="F92" s="251"/>
      <c r="G92" s="191"/>
      <c r="H92" s="191"/>
      <c r="I92" s="191"/>
      <c r="J92" s="251"/>
      <c r="K92" s="69"/>
      <c r="L92" s="191"/>
      <c r="M92" s="191"/>
      <c r="N92" s="195"/>
      <c r="O92" s="197"/>
      <c r="P92" s="324">
        <v>-1992.87</v>
      </c>
      <c r="Q92" s="201">
        <f t="shared" si="17"/>
        <v>2657.13</v>
      </c>
      <c r="R92" s="205" t="s">
        <v>151</v>
      </c>
      <c r="S92" s="276">
        <v>45733.0</v>
      </c>
    </row>
    <row r="93">
      <c r="B93" s="68"/>
      <c r="C93" s="314"/>
      <c r="D93" s="314"/>
      <c r="E93" s="251"/>
      <c r="F93" s="251"/>
      <c r="G93" s="191"/>
      <c r="H93" s="191"/>
      <c r="I93" s="191"/>
      <c r="J93" s="251"/>
      <c r="K93" s="69"/>
      <c r="L93" s="191"/>
      <c r="M93" s="191"/>
      <c r="N93" s="195"/>
      <c r="O93" s="197"/>
      <c r="P93" s="204">
        <v>-1892.75</v>
      </c>
      <c r="Q93" s="201">
        <f t="shared" si="17"/>
        <v>764.38</v>
      </c>
      <c r="R93" s="205" t="s">
        <v>153</v>
      </c>
      <c r="S93" s="276">
        <v>45741.0</v>
      </c>
    </row>
    <row r="94">
      <c r="B94" s="68"/>
      <c r="C94" s="314"/>
      <c r="D94" s="314"/>
      <c r="E94" s="251"/>
      <c r="F94" s="251"/>
      <c r="G94" s="191"/>
      <c r="H94" s="191"/>
      <c r="I94" s="191"/>
      <c r="J94" s="251"/>
      <c r="K94" s="69"/>
      <c r="L94" s="191"/>
      <c r="M94" s="191"/>
      <c r="N94" s="195"/>
      <c r="O94" s="197"/>
      <c r="P94" s="204">
        <v>-6442.18</v>
      </c>
      <c r="Q94" s="201">
        <f t="shared" si="17"/>
        <v>-5677.8</v>
      </c>
      <c r="R94" s="202" t="s">
        <v>59</v>
      </c>
    </row>
    <row r="95">
      <c r="B95" s="68"/>
      <c r="C95" s="188"/>
      <c r="D95" s="188"/>
      <c r="E95" s="191"/>
      <c r="F95" s="191"/>
      <c r="G95" s="191"/>
      <c r="H95" s="191"/>
      <c r="I95" s="191"/>
      <c r="J95" s="191"/>
      <c r="K95" s="69"/>
      <c r="L95" s="191"/>
      <c r="M95" s="191"/>
      <c r="N95" s="195"/>
      <c r="O95" s="197"/>
      <c r="P95" s="204">
        <v>-500.0</v>
      </c>
      <c r="Q95" s="201">
        <f t="shared" si="17"/>
        <v>-6177.8</v>
      </c>
      <c r="R95" s="205" t="s">
        <v>76</v>
      </c>
    </row>
    <row r="96">
      <c r="B96" s="325" t="s">
        <v>91</v>
      </c>
      <c r="C96" s="288" t="s">
        <v>66</v>
      </c>
      <c r="D96" s="290">
        <f t="shared" ref="D96:P96" si="19">sum(D77:D95)</f>
        <v>23</v>
      </c>
      <c r="E96" s="291">
        <f t="shared" si="19"/>
        <v>56550</v>
      </c>
      <c r="F96" s="291">
        <f t="shared" si="19"/>
        <v>6500</v>
      </c>
      <c r="G96" s="291">
        <f t="shared" si="19"/>
        <v>0</v>
      </c>
      <c r="H96" s="291">
        <f t="shared" si="19"/>
        <v>0</v>
      </c>
      <c r="I96" s="291">
        <f t="shared" si="19"/>
        <v>0</v>
      </c>
      <c r="J96" s="291">
        <f t="shared" si="19"/>
        <v>18600</v>
      </c>
      <c r="K96" s="291">
        <f t="shared" si="19"/>
        <v>0</v>
      </c>
      <c r="L96" s="291">
        <f t="shared" si="19"/>
        <v>0</v>
      </c>
      <c r="M96" s="291">
        <f t="shared" si="19"/>
        <v>31400</v>
      </c>
      <c r="N96" s="291">
        <f t="shared" si="19"/>
        <v>13050</v>
      </c>
      <c r="O96" s="291">
        <f t="shared" si="19"/>
        <v>-8400</v>
      </c>
      <c r="P96" s="291">
        <f t="shared" si="19"/>
        <v>-10827.8</v>
      </c>
      <c r="Q96" s="292">
        <f>Q95</f>
        <v>-6177.8</v>
      </c>
      <c r="R96" s="293"/>
    </row>
    <row r="97">
      <c r="B97" s="354" t="s">
        <v>156</v>
      </c>
      <c r="C97" s="318">
        <v>45662.0</v>
      </c>
      <c r="D97" s="319"/>
      <c r="E97" s="182"/>
      <c r="F97" s="182"/>
      <c r="G97" s="170"/>
      <c r="H97" s="170"/>
      <c r="I97" s="170"/>
      <c r="J97" s="182"/>
      <c r="K97" s="90">
        <f t="shared" ref="K97:K100" si="20">E97-J97-L97-M97-N97-I97+F97-P97</f>
        <v>0</v>
      </c>
      <c r="L97" s="170"/>
      <c r="M97" s="170"/>
      <c r="N97" s="182"/>
      <c r="O97" s="338"/>
      <c r="P97" s="170"/>
      <c r="Q97" s="88">
        <f t="shared" ref="Q97:Q120" si="21">Q96+N97+O97+P97</f>
        <v>-6177.8</v>
      </c>
      <c r="R97" s="81"/>
    </row>
    <row r="98">
      <c r="B98" s="248" t="s">
        <v>156</v>
      </c>
      <c r="C98" s="313">
        <v>45783.0</v>
      </c>
      <c r="D98" s="314">
        <v>1.0</v>
      </c>
      <c r="E98" s="251">
        <v>2800.0</v>
      </c>
      <c r="F98" s="251">
        <v>400.0</v>
      </c>
      <c r="G98" s="191"/>
      <c r="H98" s="191"/>
      <c r="I98" s="191"/>
      <c r="J98" s="251">
        <v>1000.0</v>
      </c>
      <c r="K98" s="69">
        <f t="shared" si="20"/>
        <v>-400</v>
      </c>
      <c r="L98" s="251">
        <v>2200.0</v>
      </c>
      <c r="M98" s="251"/>
      <c r="N98" s="204">
        <v>400.0</v>
      </c>
      <c r="O98" s="315">
        <v>-700.0</v>
      </c>
      <c r="P98" s="195"/>
      <c r="Q98" s="201">
        <f t="shared" si="21"/>
        <v>-6477.8</v>
      </c>
      <c r="R98" s="355" t="s">
        <v>43</v>
      </c>
    </row>
    <row r="99">
      <c r="B99" s="68"/>
      <c r="C99" s="313">
        <v>45815.0</v>
      </c>
      <c r="D99" s="314">
        <v>1.0</v>
      </c>
      <c r="E99" s="251">
        <v>2000.0</v>
      </c>
      <c r="F99" s="251">
        <v>750.0</v>
      </c>
      <c r="G99" s="191"/>
      <c r="H99" s="191"/>
      <c r="I99" s="191"/>
      <c r="J99" s="251">
        <v>500.0</v>
      </c>
      <c r="K99" s="69">
        <f t="shared" si="20"/>
        <v>0</v>
      </c>
      <c r="L99" s="191"/>
      <c r="M99" s="251"/>
      <c r="N99" s="204">
        <v>2250.0</v>
      </c>
      <c r="O99" s="315">
        <v>-700.0</v>
      </c>
      <c r="P99" s="195"/>
      <c r="Q99" s="201">
        <f t="shared" si="21"/>
        <v>-4927.8</v>
      </c>
      <c r="R99" s="355" t="s">
        <v>159</v>
      </c>
    </row>
    <row r="100">
      <c r="B100" s="81"/>
      <c r="C100" s="318">
        <v>45850.0</v>
      </c>
      <c r="D100" s="319"/>
      <c r="E100" s="182"/>
      <c r="F100" s="182">
        <v>300.0</v>
      </c>
      <c r="G100" s="170"/>
      <c r="H100" s="170"/>
      <c r="I100" s="170"/>
      <c r="J100" s="182"/>
      <c r="K100" s="90">
        <f t="shared" si="20"/>
        <v>0</v>
      </c>
      <c r="L100" s="170"/>
      <c r="M100" s="182"/>
      <c r="N100" s="182">
        <v>300.0</v>
      </c>
      <c r="O100" s="338"/>
      <c r="P100" s="170"/>
      <c r="Q100" s="88">
        <f t="shared" si="21"/>
        <v>-4627.8</v>
      </c>
      <c r="R100" s="357" t="s">
        <v>43</v>
      </c>
    </row>
    <row r="101">
      <c r="B101" s="68"/>
      <c r="C101" s="313">
        <v>46004.0</v>
      </c>
      <c r="D101" s="314">
        <v>1.0</v>
      </c>
      <c r="E101" s="251">
        <v>2800.0</v>
      </c>
      <c r="F101" s="251"/>
      <c r="G101" s="191"/>
      <c r="H101" s="191"/>
      <c r="I101" s="191"/>
      <c r="J101" s="251">
        <v>1000.0</v>
      </c>
      <c r="K101" s="69"/>
      <c r="L101" s="191"/>
      <c r="M101" s="251"/>
      <c r="N101" s="204">
        <v>1800.0</v>
      </c>
      <c r="O101" s="315">
        <v>-700.0</v>
      </c>
      <c r="P101" s="195"/>
      <c r="Q101" s="201">
        <f t="shared" si="21"/>
        <v>-3527.8</v>
      </c>
      <c r="R101" s="202"/>
    </row>
    <row r="102">
      <c r="B102" s="81"/>
      <c r="C102" s="319" t="s">
        <v>163</v>
      </c>
      <c r="D102" s="169"/>
      <c r="E102" s="182">
        <v>1000.0</v>
      </c>
      <c r="F102" s="170"/>
      <c r="G102" s="170"/>
      <c r="H102" s="182" t="s">
        <v>165</v>
      </c>
      <c r="I102" s="170"/>
      <c r="J102" s="182">
        <v>1000.0</v>
      </c>
      <c r="K102" s="90">
        <f t="shared" ref="K102:K112" si="22">E102-J102-L102-M102-N102-I102+F102-P102</f>
        <v>0</v>
      </c>
      <c r="L102" s="170"/>
      <c r="M102" s="170"/>
      <c r="N102" s="170"/>
      <c r="O102" s="180"/>
      <c r="P102" s="170"/>
      <c r="Q102" s="88">
        <f t="shared" si="21"/>
        <v>-3527.8</v>
      </c>
      <c r="R102" s="81"/>
    </row>
    <row r="103">
      <c r="B103" s="68"/>
      <c r="C103" s="314" t="s">
        <v>32</v>
      </c>
      <c r="D103" s="314">
        <v>1.0</v>
      </c>
      <c r="E103" s="251">
        <v>3000.0</v>
      </c>
      <c r="F103" s="251"/>
      <c r="G103" s="191"/>
      <c r="H103" s="191"/>
      <c r="I103" s="191"/>
      <c r="J103" s="251">
        <v>905.0</v>
      </c>
      <c r="K103" s="69">
        <f t="shared" si="22"/>
        <v>0</v>
      </c>
      <c r="L103" s="191"/>
      <c r="M103" s="191"/>
      <c r="N103" s="204">
        <v>2095.0</v>
      </c>
      <c r="O103" s="315">
        <v>-700.0</v>
      </c>
      <c r="P103" s="195"/>
      <c r="Q103" s="201">
        <f t="shared" si="21"/>
        <v>-2132.8</v>
      </c>
      <c r="R103" s="202"/>
    </row>
    <row r="104">
      <c r="B104" s="68"/>
      <c r="C104" s="314" t="s">
        <v>120</v>
      </c>
      <c r="D104" s="314">
        <v>2.0</v>
      </c>
      <c r="E104" s="251">
        <v>6900.0</v>
      </c>
      <c r="F104" s="251"/>
      <c r="G104" s="191"/>
      <c r="H104" s="191"/>
      <c r="I104" s="191"/>
      <c r="J104" s="251">
        <v>1500.0</v>
      </c>
      <c r="K104" s="69">
        <f t="shared" si="22"/>
        <v>0</v>
      </c>
      <c r="L104" s="191"/>
      <c r="M104" s="191"/>
      <c r="N104" s="204">
        <v>5400.0</v>
      </c>
      <c r="O104" s="315">
        <v>-700.0</v>
      </c>
      <c r="P104" s="195"/>
      <c r="Q104" s="201">
        <f t="shared" si="21"/>
        <v>2567.2</v>
      </c>
      <c r="R104" s="202"/>
    </row>
    <row r="105">
      <c r="B105" s="68"/>
      <c r="C105" s="314"/>
      <c r="D105" s="314"/>
      <c r="E105" s="251"/>
      <c r="F105" s="251">
        <v>400.0</v>
      </c>
      <c r="G105" s="191"/>
      <c r="H105" s="191"/>
      <c r="I105" s="191"/>
      <c r="J105" s="251"/>
      <c r="K105" s="69">
        <f t="shared" si="22"/>
        <v>0</v>
      </c>
      <c r="L105" s="191"/>
      <c r="M105" s="191"/>
      <c r="N105" s="204">
        <v>400.0</v>
      </c>
      <c r="O105" s="315"/>
      <c r="P105" s="195"/>
      <c r="Q105" s="201">
        <f t="shared" si="21"/>
        <v>2967.2</v>
      </c>
      <c r="R105" s="205" t="s">
        <v>170</v>
      </c>
    </row>
    <row r="106">
      <c r="B106" s="68"/>
      <c r="C106" s="314" t="s">
        <v>69</v>
      </c>
      <c r="D106" s="314">
        <v>1.0</v>
      </c>
      <c r="E106" s="251">
        <v>2500.0</v>
      </c>
      <c r="F106" s="191"/>
      <c r="G106" s="191"/>
      <c r="H106" s="191"/>
      <c r="I106" s="191"/>
      <c r="J106" s="251">
        <v>1000.0</v>
      </c>
      <c r="K106" s="69">
        <f t="shared" si="22"/>
        <v>0</v>
      </c>
      <c r="L106" s="191"/>
      <c r="M106" s="251"/>
      <c r="N106" s="204">
        <v>1500.0</v>
      </c>
      <c r="O106" s="315">
        <v>-700.0</v>
      </c>
      <c r="P106" s="204"/>
      <c r="Q106" s="201">
        <f t="shared" si="21"/>
        <v>3767.2</v>
      </c>
      <c r="R106" s="205"/>
    </row>
    <row r="107">
      <c r="B107" s="81"/>
      <c r="C107" s="319" t="s">
        <v>68</v>
      </c>
      <c r="D107" s="319"/>
      <c r="E107" s="182"/>
      <c r="F107" s="182"/>
      <c r="G107" s="170"/>
      <c r="H107" s="170"/>
      <c r="I107" s="170"/>
      <c r="J107" s="182"/>
      <c r="K107" s="90">
        <f t="shared" si="22"/>
        <v>0</v>
      </c>
      <c r="L107" s="170"/>
      <c r="M107" s="182"/>
      <c r="N107" s="182"/>
      <c r="O107" s="338"/>
      <c r="P107" s="170"/>
      <c r="Q107" s="88">
        <f t="shared" si="21"/>
        <v>3767.2</v>
      </c>
      <c r="R107" s="81"/>
    </row>
    <row r="108">
      <c r="B108" s="68"/>
      <c r="C108" s="314" t="s">
        <v>37</v>
      </c>
      <c r="D108" s="314">
        <v>1.0</v>
      </c>
      <c r="E108" s="251">
        <v>2050.0</v>
      </c>
      <c r="F108" s="191"/>
      <c r="G108" s="191"/>
      <c r="H108" s="191"/>
      <c r="I108" s="191"/>
      <c r="J108" s="251"/>
      <c r="K108" s="69">
        <f t="shared" si="22"/>
        <v>0</v>
      </c>
      <c r="L108" s="191"/>
      <c r="M108" s="191"/>
      <c r="N108" s="204">
        <v>2050.0</v>
      </c>
      <c r="O108" s="315">
        <v>-700.0</v>
      </c>
      <c r="P108" s="195"/>
      <c r="Q108" s="201">
        <f t="shared" si="21"/>
        <v>5117.2</v>
      </c>
      <c r="R108" s="202"/>
    </row>
    <row r="109">
      <c r="B109" s="81"/>
      <c r="C109" s="319" t="s">
        <v>108</v>
      </c>
      <c r="D109" s="319"/>
      <c r="E109" s="182"/>
      <c r="F109" s="170"/>
      <c r="G109" s="170"/>
      <c r="H109" s="170"/>
      <c r="I109" s="170"/>
      <c r="J109" s="182"/>
      <c r="K109" s="90">
        <f t="shared" si="22"/>
        <v>0</v>
      </c>
      <c r="L109" s="170"/>
      <c r="M109" s="182"/>
      <c r="N109" s="182"/>
      <c r="O109" s="338"/>
      <c r="P109" s="170"/>
      <c r="Q109" s="88">
        <f t="shared" si="21"/>
        <v>5117.2</v>
      </c>
      <c r="R109" s="81"/>
    </row>
    <row r="110">
      <c r="B110" s="68"/>
      <c r="C110" s="314" t="s">
        <v>45</v>
      </c>
      <c r="D110" s="314">
        <v>1.0</v>
      </c>
      <c r="E110" s="251">
        <v>2400.0</v>
      </c>
      <c r="F110" s="191"/>
      <c r="G110" s="191"/>
      <c r="H110" s="191"/>
      <c r="I110" s="191"/>
      <c r="J110" s="251">
        <v>1000.0</v>
      </c>
      <c r="K110" s="69">
        <f t="shared" si="22"/>
        <v>0</v>
      </c>
      <c r="L110" s="191"/>
      <c r="M110" s="251"/>
      <c r="N110" s="204">
        <v>1400.0</v>
      </c>
      <c r="O110" s="315">
        <v>-700.0</v>
      </c>
      <c r="P110" s="195"/>
      <c r="Q110" s="201">
        <f t="shared" si="21"/>
        <v>5817.2</v>
      </c>
      <c r="R110" s="202"/>
    </row>
    <row r="111">
      <c r="B111" s="68"/>
      <c r="C111" s="314" t="s">
        <v>86</v>
      </c>
      <c r="D111" s="314">
        <v>1.0</v>
      </c>
      <c r="E111" s="251">
        <v>5000.0</v>
      </c>
      <c r="F111" s="191"/>
      <c r="G111" s="191"/>
      <c r="H111" s="191"/>
      <c r="I111" s="191"/>
      <c r="J111" s="251">
        <v>1500.0</v>
      </c>
      <c r="K111" s="69">
        <f t="shared" si="22"/>
        <v>0</v>
      </c>
      <c r="L111" s="191"/>
      <c r="M111" s="191"/>
      <c r="N111" s="204">
        <v>3500.0</v>
      </c>
      <c r="O111" s="315">
        <v>-700.0</v>
      </c>
      <c r="P111" s="195"/>
      <c r="Q111" s="201">
        <f t="shared" si="21"/>
        <v>8617.2</v>
      </c>
      <c r="R111" s="202"/>
    </row>
    <row r="112">
      <c r="B112" s="68"/>
      <c r="C112" s="314" t="s">
        <v>73</v>
      </c>
      <c r="D112" s="314">
        <v>1.0</v>
      </c>
      <c r="E112" s="251">
        <v>2000.0</v>
      </c>
      <c r="F112" s="251"/>
      <c r="G112" s="191"/>
      <c r="H112" s="191"/>
      <c r="I112" s="191"/>
      <c r="J112" s="251">
        <v>1000.0</v>
      </c>
      <c r="K112" s="69">
        <f t="shared" si="22"/>
        <v>0</v>
      </c>
      <c r="L112" s="191"/>
      <c r="M112" s="251">
        <v>1000.0</v>
      </c>
      <c r="N112" s="195"/>
      <c r="O112" s="315">
        <v>-700.0</v>
      </c>
      <c r="P112" s="195"/>
      <c r="Q112" s="201">
        <f t="shared" si="21"/>
        <v>7917.2</v>
      </c>
      <c r="R112" s="202"/>
      <c r="S112" s="314"/>
      <c r="T112" s="314"/>
      <c r="U112" s="251"/>
      <c r="V112" s="251">
        <v>400.0</v>
      </c>
      <c r="W112" s="191"/>
      <c r="X112" s="191"/>
      <c r="Y112" s="191"/>
      <c r="Z112" s="251"/>
      <c r="AA112" s="69">
        <f>U112-Z112-AB112-AC112-AD112-Y112+V112-AF112</f>
        <v>0</v>
      </c>
      <c r="AB112" s="191"/>
      <c r="AC112" s="191"/>
      <c r="AD112" s="204">
        <v>400.0</v>
      </c>
      <c r="AE112" s="315"/>
      <c r="AF112" s="195"/>
      <c r="AG112" s="201">
        <f>AG111+AD112+AE112+AF112</f>
        <v>400</v>
      </c>
      <c r="AH112" s="205" t="s">
        <v>170</v>
      </c>
    </row>
    <row r="113">
      <c r="B113" s="81"/>
      <c r="C113" s="319" t="s">
        <v>49</v>
      </c>
      <c r="D113" s="169"/>
      <c r="E113" s="170"/>
      <c r="F113" s="170"/>
      <c r="G113" s="170"/>
      <c r="H113" s="170"/>
      <c r="I113" s="170"/>
      <c r="J113" s="170"/>
      <c r="K113" s="90"/>
      <c r="L113" s="170"/>
      <c r="M113" s="170"/>
      <c r="N113" s="170"/>
      <c r="O113" s="180"/>
      <c r="P113" s="170"/>
      <c r="Q113" s="88">
        <f t="shared" si="21"/>
        <v>7917.2</v>
      </c>
      <c r="R113" s="81"/>
    </row>
    <row r="114">
      <c r="B114" s="68"/>
      <c r="C114" s="314" t="s">
        <v>75</v>
      </c>
      <c r="D114" s="314">
        <v>1.0</v>
      </c>
      <c r="E114" s="251">
        <v>2100.0</v>
      </c>
      <c r="F114" s="191"/>
      <c r="G114" s="191"/>
      <c r="H114" s="191"/>
      <c r="I114" s="191"/>
      <c r="J114" s="251">
        <v>1000.0</v>
      </c>
      <c r="K114" s="69">
        <f t="shared" ref="K114:K115" si="23">E114-J114-L114-M114-N114-I114+F114-P114</f>
        <v>0</v>
      </c>
      <c r="L114" s="191"/>
      <c r="M114" s="251">
        <v>1100.0</v>
      </c>
      <c r="N114" s="372"/>
      <c r="O114" s="315">
        <v>-700.0</v>
      </c>
      <c r="P114" s="195"/>
      <c r="Q114" s="201">
        <f t="shared" si="21"/>
        <v>7217.2</v>
      </c>
      <c r="R114" s="202"/>
    </row>
    <row r="115">
      <c r="B115" s="68"/>
      <c r="C115" s="188"/>
      <c r="D115" s="188"/>
      <c r="E115" s="191"/>
      <c r="F115" s="251">
        <v>400.0</v>
      </c>
      <c r="G115" s="191"/>
      <c r="H115" s="191"/>
      <c r="I115" s="191"/>
      <c r="J115" s="191"/>
      <c r="K115" s="69">
        <f t="shared" si="23"/>
        <v>0</v>
      </c>
      <c r="L115" s="191"/>
      <c r="M115" s="191"/>
      <c r="N115" s="204">
        <v>400.0</v>
      </c>
      <c r="O115" s="197"/>
      <c r="P115" s="195"/>
      <c r="Q115" s="201">
        <f t="shared" si="21"/>
        <v>7617.2</v>
      </c>
      <c r="R115" s="205" t="s">
        <v>43</v>
      </c>
    </row>
    <row r="116">
      <c r="B116" s="68"/>
      <c r="C116" s="188"/>
      <c r="D116" s="188"/>
      <c r="E116" s="191"/>
      <c r="F116" s="191"/>
      <c r="G116" s="191"/>
      <c r="H116" s="191"/>
      <c r="I116" s="191"/>
      <c r="J116" s="191"/>
      <c r="K116" s="69"/>
      <c r="L116" s="191"/>
      <c r="M116" s="191"/>
      <c r="N116" s="195"/>
      <c r="O116" s="197"/>
      <c r="P116" s="204">
        <v>-1200.0</v>
      </c>
      <c r="Q116" s="201">
        <f t="shared" si="21"/>
        <v>6417.2</v>
      </c>
      <c r="R116" s="205" t="s">
        <v>183</v>
      </c>
    </row>
    <row r="117">
      <c r="B117" s="68"/>
      <c r="C117" s="188"/>
      <c r="D117" s="188"/>
      <c r="E117" s="191"/>
      <c r="F117" s="191"/>
      <c r="G117" s="191"/>
      <c r="H117" s="191"/>
      <c r="I117" s="191"/>
      <c r="J117" s="191"/>
      <c r="K117" s="69"/>
      <c r="L117" s="191"/>
      <c r="M117" s="191"/>
      <c r="N117" s="195"/>
      <c r="O117" s="197"/>
      <c r="P117" s="204">
        <v>-500.0</v>
      </c>
      <c r="Q117" s="201">
        <f t="shared" si="21"/>
        <v>5917.2</v>
      </c>
      <c r="R117" s="205" t="s">
        <v>76</v>
      </c>
    </row>
    <row r="118">
      <c r="B118" s="68"/>
      <c r="C118" s="188"/>
      <c r="D118" s="188"/>
      <c r="E118" s="191"/>
      <c r="F118" s="191"/>
      <c r="G118" s="191"/>
      <c r="H118" s="191"/>
      <c r="I118" s="191"/>
      <c r="J118" s="191"/>
      <c r="K118" s="69"/>
      <c r="L118" s="191"/>
      <c r="M118" s="191"/>
      <c r="N118" s="195"/>
      <c r="O118" s="197"/>
      <c r="P118" s="204">
        <f>-50-50</f>
        <v>-100</v>
      </c>
      <c r="Q118" s="201">
        <f t="shared" si="21"/>
        <v>5817.2</v>
      </c>
      <c r="R118" s="205" t="s">
        <v>92</v>
      </c>
    </row>
    <row r="119">
      <c r="B119" s="68"/>
      <c r="C119" s="188"/>
      <c r="D119" s="188"/>
      <c r="E119" s="191"/>
      <c r="F119" s="191"/>
      <c r="G119" s="191"/>
      <c r="H119" s="191"/>
      <c r="I119" s="191"/>
      <c r="J119" s="191"/>
      <c r="K119" s="69"/>
      <c r="L119" s="191"/>
      <c r="M119" s="191"/>
      <c r="N119" s="195"/>
      <c r="O119" s="197"/>
      <c r="P119" s="204">
        <v>0.0</v>
      </c>
      <c r="Q119" s="201">
        <f t="shared" si="21"/>
        <v>5817.2</v>
      </c>
      <c r="R119" s="205" t="s">
        <v>55</v>
      </c>
    </row>
    <row r="120">
      <c r="B120" s="68"/>
      <c r="C120" s="188"/>
      <c r="D120" s="188"/>
      <c r="E120" s="191"/>
      <c r="F120" s="191"/>
      <c r="G120" s="191"/>
      <c r="H120" s="191"/>
      <c r="I120" s="191"/>
      <c r="J120" s="191"/>
      <c r="K120" s="69"/>
      <c r="L120" s="191"/>
      <c r="M120" s="191"/>
      <c r="N120" s="195"/>
      <c r="O120" s="197"/>
      <c r="P120" s="204">
        <v>-6325.53</v>
      </c>
      <c r="Q120" s="201">
        <f t="shared" si="21"/>
        <v>-508.33</v>
      </c>
      <c r="R120" s="202" t="s">
        <v>59</v>
      </c>
    </row>
    <row r="121">
      <c r="B121" s="325" t="s">
        <v>156</v>
      </c>
      <c r="C121" s="288" t="s">
        <v>66</v>
      </c>
      <c r="D121" s="290">
        <f t="shared" ref="D121:P121" si="24">sum(D97:D120)</f>
        <v>12</v>
      </c>
      <c r="E121" s="291">
        <f t="shared" si="24"/>
        <v>34550</v>
      </c>
      <c r="F121" s="291">
        <f t="shared" si="24"/>
        <v>2250</v>
      </c>
      <c r="G121" s="291">
        <f t="shared" si="24"/>
        <v>0</v>
      </c>
      <c r="H121" s="291">
        <f t="shared" si="24"/>
        <v>0</v>
      </c>
      <c r="I121" s="291">
        <f t="shared" si="24"/>
        <v>0</v>
      </c>
      <c r="J121" s="291">
        <f t="shared" si="24"/>
        <v>11405</v>
      </c>
      <c r="K121" s="291">
        <f t="shared" si="24"/>
        <v>-400</v>
      </c>
      <c r="L121" s="291">
        <f t="shared" si="24"/>
        <v>2200</v>
      </c>
      <c r="M121" s="291">
        <f t="shared" si="24"/>
        <v>2100</v>
      </c>
      <c r="N121" s="291">
        <f t="shared" si="24"/>
        <v>21495</v>
      </c>
      <c r="O121" s="291">
        <f t="shared" si="24"/>
        <v>-7700</v>
      </c>
      <c r="P121" s="291">
        <f t="shared" si="24"/>
        <v>-8125.53</v>
      </c>
      <c r="Q121" s="292">
        <f>Q120</f>
        <v>-508.33</v>
      </c>
      <c r="R121" s="293"/>
    </row>
    <row r="122">
      <c r="B122" s="248" t="s">
        <v>127</v>
      </c>
      <c r="C122" s="313">
        <v>45660.0</v>
      </c>
      <c r="D122" s="314">
        <v>2.0</v>
      </c>
      <c r="E122" s="251">
        <v>3244.46</v>
      </c>
      <c r="F122" s="251"/>
      <c r="G122" s="191"/>
      <c r="H122" s="191"/>
      <c r="I122" s="251"/>
      <c r="J122" s="251"/>
      <c r="K122" s="69">
        <f>E122-J122-L122-M122-N122-I122+F122-P122</f>
        <v>0</v>
      </c>
      <c r="L122" s="251">
        <v>3244.46</v>
      </c>
      <c r="M122" s="251"/>
      <c r="N122" s="204"/>
      <c r="O122" s="315">
        <v>-700.0</v>
      </c>
      <c r="P122" s="195"/>
      <c r="Q122" s="201">
        <f t="shared" ref="Q122:Q123" si="25">Q121+N122+O122+P122</f>
        <v>-1208.33</v>
      </c>
      <c r="R122" s="202"/>
    </row>
    <row r="123">
      <c r="B123" s="248"/>
      <c r="C123" s="313"/>
      <c r="D123" s="314"/>
      <c r="E123" s="251">
        <v>400.0</v>
      </c>
      <c r="F123" s="251"/>
      <c r="G123" s="191"/>
      <c r="H123" s="191"/>
      <c r="I123" s="191"/>
      <c r="J123" s="251"/>
      <c r="K123" s="69"/>
      <c r="L123" s="251"/>
      <c r="M123" s="251"/>
      <c r="N123" s="204">
        <v>400.0</v>
      </c>
      <c r="O123" s="315"/>
      <c r="P123" s="195"/>
      <c r="Q123" s="201">
        <f t="shared" si="25"/>
        <v>-808.33</v>
      </c>
      <c r="R123" s="205" t="s">
        <v>9</v>
      </c>
    </row>
    <row r="124">
      <c r="B124" s="248"/>
      <c r="C124" s="313">
        <v>45720.0</v>
      </c>
      <c r="D124" s="314">
        <v>1.0</v>
      </c>
      <c r="E124" s="251">
        <v>2800.0</v>
      </c>
      <c r="F124" s="251"/>
      <c r="G124" s="191"/>
      <c r="H124" s="191"/>
      <c r="I124" s="191"/>
      <c r="J124" s="251">
        <v>1000.0</v>
      </c>
      <c r="K124" s="69">
        <f t="shared" ref="K124:K140" si="26">E124-J124-L124-M124-N124-I124+F124-P124</f>
        <v>0</v>
      </c>
      <c r="L124" s="251"/>
      <c r="M124" s="251">
        <v>1800.0</v>
      </c>
      <c r="N124" s="204"/>
      <c r="O124" s="315">
        <v>-700.0</v>
      </c>
      <c r="P124" s="195"/>
      <c r="Q124" s="201">
        <f>Q122+N124+O124+P124</f>
        <v>-1908.33</v>
      </c>
      <c r="R124" s="202"/>
    </row>
    <row r="125">
      <c r="B125" s="81"/>
      <c r="C125" s="318">
        <v>45756.0</v>
      </c>
      <c r="D125" s="319"/>
      <c r="E125" s="182"/>
      <c r="F125" s="182"/>
      <c r="G125" s="170"/>
      <c r="H125" s="170"/>
      <c r="I125" s="170"/>
      <c r="J125" s="182"/>
      <c r="K125" s="90">
        <f t="shared" si="26"/>
        <v>0</v>
      </c>
      <c r="L125" s="170"/>
      <c r="M125" s="182"/>
      <c r="N125" s="182"/>
      <c r="O125" s="338"/>
      <c r="P125" s="170"/>
      <c r="Q125" s="88">
        <f t="shared" ref="Q125:Q143" si="27">Q124+N125+O125+P125</f>
        <v>-1908.33</v>
      </c>
      <c r="R125" s="81"/>
    </row>
    <row r="126">
      <c r="B126" s="68"/>
      <c r="C126" s="313">
        <v>45910.0</v>
      </c>
      <c r="D126" s="314">
        <v>1.0</v>
      </c>
      <c r="E126" s="251">
        <v>2750.0</v>
      </c>
      <c r="F126" s="251"/>
      <c r="G126" s="191"/>
      <c r="H126" s="191"/>
      <c r="I126" s="191"/>
      <c r="J126" s="251">
        <v>1000.0</v>
      </c>
      <c r="K126" s="69">
        <f t="shared" si="26"/>
        <v>0</v>
      </c>
      <c r="L126" s="191"/>
      <c r="M126" s="251"/>
      <c r="N126" s="204">
        <v>1750.0</v>
      </c>
      <c r="O126" s="315">
        <v>-700.0</v>
      </c>
      <c r="P126" s="195"/>
      <c r="Q126" s="201">
        <f t="shared" si="27"/>
        <v>-858.33</v>
      </c>
      <c r="R126" s="202"/>
    </row>
    <row r="127">
      <c r="B127" s="68"/>
      <c r="C127" s="313">
        <v>45942.0</v>
      </c>
      <c r="D127" s="314">
        <v>2.0</v>
      </c>
      <c r="E127" s="251">
        <v>5000.0</v>
      </c>
      <c r="F127" s="251">
        <v>800.0</v>
      </c>
      <c r="G127" s="191"/>
      <c r="H127" s="191"/>
      <c r="I127" s="191"/>
      <c r="J127" s="251"/>
      <c r="K127" s="69">
        <f t="shared" si="26"/>
        <v>0</v>
      </c>
      <c r="L127" s="191"/>
      <c r="M127" s="191"/>
      <c r="N127" s="204">
        <v>5800.0</v>
      </c>
      <c r="O127" s="315">
        <v>-700.0</v>
      </c>
      <c r="P127" s="195"/>
      <c r="Q127" s="201">
        <f t="shared" si="27"/>
        <v>4241.67</v>
      </c>
      <c r="R127" s="205" t="s">
        <v>193</v>
      </c>
    </row>
    <row r="128">
      <c r="B128" s="81"/>
      <c r="C128" s="318">
        <v>46008.0</v>
      </c>
      <c r="D128" s="319"/>
      <c r="E128" s="182"/>
      <c r="F128" s="182"/>
      <c r="G128" s="170"/>
      <c r="H128" s="170"/>
      <c r="I128" s="170"/>
      <c r="J128" s="182"/>
      <c r="K128" s="90">
        <f t="shared" si="26"/>
        <v>0</v>
      </c>
      <c r="L128" s="170"/>
      <c r="M128" s="170"/>
      <c r="N128" s="182"/>
      <c r="O128" s="338"/>
      <c r="P128" s="170"/>
      <c r="Q128" s="88">
        <f t="shared" si="27"/>
        <v>4241.67</v>
      </c>
      <c r="R128" s="81"/>
    </row>
    <row r="129">
      <c r="B129" s="68"/>
      <c r="C129" s="314"/>
      <c r="D129" s="314"/>
      <c r="E129" s="251"/>
      <c r="F129" s="251">
        <v>800.0</v>
      </c>
      <c r="G129" s="191"/>
      <c r="H129" s="191"/>
      <c r="I129" s="191"/>
      <c r="J129" s="251"/>
      <c r="K129" s="69">
        <f t="shared" si="26"/>
        <v>0</v>
      </c>
      <c r="L129" s="191"/>
      <c r="M129" s="191"/>
      <c r="N129" s="204">
        <v>800.0</v>
      </c>
      <c r="O129" s="315">
        <v>-700.0</v>
      </c>
      <c r="P129" s="195"/>
      <c r="Q129" s="201">
        <f t="shared" si="27"/>
        <v>4341.67</v>
      </c>
      <c r="R129" s="205" t="s">
        <v>196</v>
      </c>
    </row>
    <row r="130">
      <c r="B130" s="68"/>
      <c r="C130" s="314" t="s">
        <v>32</v>
      </c>
      <c r="D130" s="314">
        <v>1.0</v>
      </c>
      <c r="E130" s="251">
        <v>2800.0</v>
      </c>
      <c r="F130" s="251"/>
      <c r="G130" s="191"/>
      <c r="H130" s="191"/>
      <c r="I130" s="191"/>
      <c r="J130" s="251">
        <v>1000.0</v>
      </c>
      <c r="K130" s="69">
        <f t="shared" si="26"/>
        <v>0</v>
      </c>
      <c r="L130" s="191"/>
      <c r="M130" s="251">
        <v>1800.0</v>
      </c>
      <c r="N130" s="204"/>
      <c r="O130" s="315">
        <v>-700.0</v>
      </c>
      <c r="P130" s="195"/>
      <c r="Q130" s="201">
        <f t="shared" si="27"/>
        <v>3641.67</v>
      </c>
      <c r="R130" s="205"/>
    </row>
    <row r="131">
      <c r="B131" s="81"/>
      <c r="C131" s="319" t="s">
        <v>33</v>
      </c>
      <c r="D131" s="319"/>
      <c r="E131" s="182"/>
      <c r="F131" s="182"/>
      <c r="G131" s="170"/>
      <c r="H131" s="170"/>
      <c r="I131" s="170"/>
      <c r="J131" s="182"/>
      <c r="K131" s="90">
        <f t="shared" si="26"/>
        <v>0</v>
      </c>
      <c r="L131" s="170"/>
      <c r="M131" s="182"/>
      <c r="N131" s="182"/>
      <c r="O131" s="338"/>
      <c r="P131" s="170"/>
      <c r="Q131" s="88">
        <f t="shared" si="27"/>
        <v>3641.67</v>
      </c>
      <c r="R131" s="81"/>
    </row>
    <row r="132">
      <c r="B132" s="68"/>
      <c r="C132" s="314" t="s">
        <v>34</v>
      </c>
      <c r="D132" s="314">
        <v>1.0</v>
      </c>
      <c r="E132" s="251">
        <v>2300.0</v>
      </c>
      <c r="F132" s="191"/>
      <c r="G132" s="191"/>
      <c r="H132" s="191"/>
      <c r="I132" s="191"/>
      <c r="J132" s="251">
        <v>1000.0</v>
      </c>
      <c r="K132" s="69">
        <f t="shared" si="26"/>
        <v>500</v>
      </c>
      <c r="L132" s="191"/>
      <c r="M132" s="191"/>
      <c r="N132" s="204">
        <v>1300.0</v>
      </c>
      <c r="O132" s="315">
        <v>-700.0</v>
      </c>
      <c r="P132" s="204">
        <v>-500.0</v>
      </c>
      <c r="Q132" s="201">
        <f t="shared" si="27"/>
        <v>3741.67</v>
      </c>
      <c r="R132" s="205" t="s">
        <v>128</v>
      </c>
    </row>
    <row r="133">
      <c r="B133" s="81"/>
      <c r="C133" s="319" t="s">
        <v>69</v>
      </c>
      <c r="D133" s="319"/>
      <c r="E133" s="182"/>
      <c r="F133" s="170"/>
      <c r="G133" s="170"/>
      <c r="H133" s="170"/>
      <c r="I133" s="170"/>
      <c r="J133" s="182"/>
      <c r="K133" s="90">
        <f t="shared" si="26"/>
        <v>0</v>
      </c>
      <c r="L133" s="170"/>
      <c r="M133" s="182"/>
      <c r="N133" s="182"/>
      <c r="O133" s="338"/>
      <c r="P133" s="170"/>
      <c r="Q133" s="88">
        <f t="shared" si="27"/>
        <v>3741.67</v>
      </c>
      <c r="R133" s="81"/>
    </row>
    <row r="134">
      <c r="B134" s="68"/>
      <c r="C134" s="314" t="s">
        <v>78</v>
      </c>
      <c r="D134" s="314">
        <v>2.0</v>
      </c>
      <c r="E134" s="251">
        <v>3589.0</v>
      </c>
      <c r="F134" s="191"/>
      <c r="G134" s="191"/>
      <c r="H134" s="191"/>
      <c r="I134" s="191"/>
      <c r="J134" s="251"/>
      <c r="K134" s="69">
        <f t="shared" si="26"/>
        <v>0</v>
      </c>
      <c r="L134" s="251">
        <v>3589.0</v>
      </c>
      <c r="M134" s="251"/>
      <c r="N134" s="204"/>
      <c r="O134" s="315">
        <v>-700.0</v>
      </c>
      <c r="P134" s="195"/>
      <c r="Q134" s="201">
        <f t="shared" si="27"/>
        <v>3041.67</v>
      </c>
      <c r="R134" s="202"/>
    </row>
    <row r="135">
      <c r="B135" s="68"/>
      <c r="C135" s="314" t="s">
        <v>108</v>
      </c>
      <c r="D135" s="314">
        <v>2.0</v>
      </c>
      <c r="E135" s="251">
        <v>4800.0</v>
      </c>
      <c r="F135" s="191"/>
      <c r="G135" s="191"/>
      <c r="H135" s="191"/>
      <c r="I135" s="191"/>
      <c r="J135" s="251">
        <v>1500.0</v>
      </c>
      <c r="K135" s="69">
        <f t="shared" si="26"/>
        <v>0</v>
      </c>
      <c r="L135" s="191"/>
      <c r="M135" s="191"/>
      <c r="N135" s="204">
        <v>3300.0</v>
      </c>
      <c r="O135" s="315">
        <v>-700.0</v>
      </c>
      <c r="P135" s="195"/>
      <c r="Q135" s="201">
        <f t="shared" si="27"/>
        <v>5641.67</v>
      </c>
      <c r="R135" s="202"/>
    </row>
    <row r="136">
      <c r="B136" s="68"/>
      <c r="C136" s="314" t="s">
        <v>45</v>
      </c>
      <c r="D136" s="314">
        <v>1.0</v>
      </c>
      <c r="E136" s="251">
        <v>2328.0</v>
      </c>
      <c r="F136" s="251"/>
      <c r="G136" s="191"/>
      <c r="H136" s="191"/>
      <c r="I136" s="191"/>
      <c r="J136" s="251"/>
      <c r="K136" s="69">
        <f t="shared" si="26"/>
        <v>0</v>
      </c>
      <c r="L136" s="251">
        <v>2328.0</v>
      </c>
      <c r="M136" s="251"/>
      <c r="N136" s="195"/>
      <c r="O136" s="315">
        <v>-700.0</v>
      </c>
      <c r="P136" s="195"/>
      <c r="Q136" s="201">
        <f t="shared" si="27"/>
        <v>4941.67</v>
      </c>
      <c r="R136" s="202"/>
      <c r="S136" s="314"/>
      <c r="T136" s="314"/>
      <c r="U136" s="251"/>
      <c r="V136" s="251">
        <v>400.0</v>
      </c>
      <c r="W136" s="191"/>
      <c r="X136" s="191"/>
      <c r="Y136" s="191"/>
      <c r="Z136" s="251"/>
      <c r="AA136" s="69">
        <f>U136-Z136-AB136-AC136-AD136-Y136+V136-AF136</f>
        <v>0</v>
      </c>
      <c r="AB136" s="191"/>
      <c r="AC136" s="191"/>
      <c r="AD136" s="204">
        <v>400.0</v>
      </c>
      <c r="AE136" s="315"/>
      <c r="AF136" s="195"/>
      <c r="AG136" s="201">
        <f>AG135+AD136+AE136+AF136</f>
        <v>400</v>
      </c>
      <c r="AH136" s="205" t="s">
        <v>170</v>
      </c>
    </row>
    <row r="137">
      <c r="B137" s="68"/>
      <c r="C137" s="314" t="s">
        <v>47</v>
      </c>
      <c r="D137" s="314">
        <v>2.0</v>
      </c>
      <c r="E137" s="251">
        <v>2300.0</v>
      </c>
      <c r="F137" s="191"/>
      <c r="G137" s="191"/>
      <c r="H137" s="191"/>
      <c r="I137" s="191"/>
      <c r="J137" s="251"/>
      <c r="K137" s="69">
        <f t="shared" si="26"/>
        <v>0</v>
      </c>
      <c r="L137" s="191"/>
      <c r="M137" s="191"/>
      <c r="N137" s="204">
        <v>2300.0</v>
      </c>
      <c r="O137" s="315">
        <v>-700.0</v>
      </c>
      <c r="P137" s="195"/>
      <c r="Q137" s="201">
        <f t="shared" si="27"/>
        <v>6541.67</v>
      </c>
      <c r="R137" s="202"/>
    </row>
    <row r="138">
      <c r="B138" s="81"/>
      <c r="C138" s="319" t="s">
        <v>48</v>
      </c>
      <c r="D138" s="319"/>
      <c r="E138" s="182"/>
      <c r="F138" s="170"/>
      <c r="G138" s="170"/>
      <c r="H138" s="170"/>
      <c r="I138" s="170"/>
      <c r="J138" s="182"/>
      <c r="K138" s="90">
        <f t="shared" si="26"/>
        <v>0</v>
      </c>
      <c r="L138" s="170"/>
      <c r="M138" s="170"/>
      <c r="N138" s="182"/>
      <c r="O138" s="338"/>
      <c r="P138" s="170"/>
      <c r="Q138" s="88">
        <f t="shared" si="27"/>
        <v>6541.67</v>
      </c>
      <c r="R138" s="81"/>
    </row>
    <row r="139">
      <c r="B139" s="68"/>
      <c r="C139" s="314" t="s">
        <v>137</v>
      </c>
      <c r="D139" s="314">
        <v>2.0</v>
      </c>
      <c r="E139" s="251">
        <v>4300.0</v>
      </c>
      <c r="F139" s="251"/>
      <c r="G139" s="191"/>
      <c r="H139" s="191"/>
      <c r="I139" s="251">
        <v>1500.0</v>
      </c>
      <c r="J139" s="191"/>
      <c r="K139" s="69">
        <f t="shared" si="26"/>
        <v>0</v>
      </c>
      <c r="L139" s="191"/>
      <c r="M139" s="251">
        <v>800.0</v>
      </c>
      <c r="N139" s="204">
        <v>2000.0</v>
      </c>
      <c r="O139" s="315">
        <v>-700.0</v>
      </c>
      <c r="P139" s="195"/>
      <c r="Q139" s="201">
        <f t="shared" si="27"/>
        <v>7841.67</v>
      </c>
      <c r="R139" s="205"/>
    </row>
    <row r="140">
      <c r="B140" s="68"/>
      <c r="C140" s="314" t="s">
        <v>52</v>
      </c>
      <c r="D140" s="314">
        <v>1.0</v>
      </c>
      <c r="E140" s="251">
        <v>2800.0</v>
      </c>
      <c r="F140" s="251"/>
      <c r="G140" s="191"/>
      <c r="H140" s="191"/>
      <c r="I140" s="191"/>
      <c r="J140" s="251">
        <v>1000.0</v>
      </c>
      <c r="K140" s="69">
        <f t="shared" si="26"/>
        <v>0</v>
      </c>
      <c r="L140" s="191"/>
      <c r="M140" s="191"/>
      <c r="N140" s="204">
        <v>1800.0</v>
      </c>
      <c r="O140" s="315">
        <v>-700.0</v>
      </c>
      <c r="P140" s="195"/>
      <c r="Q140" s="201">
        <f t="shared" si="27"/>
        <v>8941.67</v>
      </c>
      <c r="R140" s="205"/>
    </row>
    <row r="141">
      <c r="B141" s="68"/>
      <c r="C141" s="188"/>
      <c r="D141" s="188"/>
      <c r="E141" s="191"/>
      <c r="F141" s="191"/>
      <c r="G141" s="191"/>
      <c r="H141" s="191"/>
      <c r="I141" s="191"/>
      <c r="J141" s="191"/>
      <c r="K141" s="69"/>
      <c r="L141" s="191"/>
      <c r="M141" s="191"/>
      <c r="N141" s="195"/>
      <c r="O141" s="197"/>
      <c r="P141" s="204">
        <v>-6143.69</v>
      </c>
      <c r="Q141" s="201">
        <f t="shared" si="27"/>
        <v>2797.98</v>
      </c>
      <c r="R141" s="202" t="s">
        <v>59</v>
      </c>
    </row>
    <row r="142">
      <c r="B142" s="68"/>
      <c r="C142" s="188"/>
      <c r="D142" s="188"/>
      <c r="E142" s="191"/>
      <c r="F142" s="191"/>
      <c r="G142" s="191"/>
      <c r="H142" s="191"/>
      <c r="I142" s="191"/>
      <c r="J142" s="191"/>
      <c r="K142" s="69"/>
      <c r="L142" s="191"/>
      <c r="M142" s="191"/>
      <c r="N142" s="195"/>
      <c r="O142" s="197"/>
      <c r="P142" s="204">
        <v>-2584.39</v>
      </c>
      <c r="Q142" s="201">
        <f t="shared" si="27"/>
        <v>213.59</v>
      </c>
      <c r="R142" s="205" t="s">
        <v>55</v>
      </c>
    </row>
    <row r="143">
      <c r="B143" s="68"/>
      <c r="C143" s="188"/>
      <c r="D143" s="188"/>
      <c r="E143" s="191"/>
      <c r="F143" s="191"/>
      <c r="G143" s="191"/>
      <c r="H143" s="191"/>
      <c r="I143" s="191"/>
      <c r="J143" s="191"/>
      <c r="K143" s="69"/>
      <c r="L143" s="191"/>
      <c r="M143" s="191"/>
      <c r="N143" s="195"/>
      <c r="O143" s="197"/>
      <c r="P143" s="204">
        <v>-213.59</v>
      </c>
      <c r="Q143" s="201">
        <f t="shared" si="27"/>
        <v>0</v>
      </c>
      <c r="R143" s="205" t="s">
        <v>63</v>
      </c>
    </row>
    <row r="144">
      <c r="B144" s="325" t="s">
        <v>127</v>
      </c>
      <c r="C144" s="288" t="s">
        <v>66</v>
      </c>
      <c r="D144" s="290">
        <f t="shared" ref="D144:O144" si="28">sum(D122:D142)</f>
        <v>18</v>
      </c>
      <c r="E144" s="291">
        <f t="shared" si="28"/>
        <v>39411.46</v>
      </c>
      <c r="F144" s="291">
        <f t="shared" si="28"/>
        <v>1600</v>
      </c>
      <c r="G144" s="291">
        <f t="shared" si="28"/>
        <v>0</v>
      </c>
      <c r="H144" s="291">
        <f t="shared" si="28"/>
        <v>0</v>
      </c>
      <c r="I144" s="291">
        <f t="shared" si="28"/>
        <v>1500</v>
      </c>
      <c r="J144" s="291">
        <f t="shared" si="28"/>
        <v>6500</v>
      </c>
      <c r="K144" s="291">
        <f t="shared" si="28"/>
        <v>500</v>
      </c>
      <c r="L144" s="291">
        <f t="shared" si="28"/>
        <v>9161.46</v>
      </c>
      <c r="M144" s="291">
        <f t="shared" si="28"/>
        <v>4400</v>
      </c>
      <c r="N144" s="291">
        <f t="shared" si="28"/>
        <v>19450</v>
      </c>
      <c r="O144" s="291">
        <f t="shared" si="28"/>
        <v>-9100</v>
      </c>
      <c r="P144" s="291">
        <f>sum(P122:P143)</f>
        <v>-9441.67</v>
      </c>
      <c r="Q144" s="292">
        <f>Q143</f>
        <v>0</v>
      </c>
      <c r="R144" s="293"/>
    </row>
    <row r="145">
      <c r="B145" s="248" t="s">
        <v>154</v>
      </c>
      <c r="C145" s="313">
        <v>45659.0</v>
      </c>
      <c r="D145" s="314">
        <v>1.0</v>
      </c>
      <c r="E145" s="251">
        <v>2600.0</v>
      </c>
      <c r="F145" s="251">
        <v>350.0</v>
      </c>
      <c r="G145" s="191"/>
      <c r="H145" s="191"/>
      <c r="I145" s="251"/>
      <c r="J145" s="251">
        <v>1250.0</v>
      </c>
      <c r="K145" s="69">
        <f t="shared" ref="K145:K163" si="29">E145-J145-L145-M145-N145-I145+F145-P145</f>
        <v>0</v>
      </c>
      <c r="L145" s="251"/>
      <c r="M145" s="251"/>
      <c r="N145" s="204">
        <v>1700.0</v>
      </c>
      <c r="O145" s="315">
        <v>-700.0</v>
      </c>
      <c r="P145" s="195"/>
      <c r="Q145" s="201">
        <f t="shared" ref="Q145:Q166" si="30">Q144+N145+O145+P145</f>
        <v>1000</v>
      </c>
      <c r="R145" s="202"/>
    </row>
    <row r="146">
      <c r="B146" s="183"/>
      <c r="C146" s="318">
        <v>45693.0</v>
      </c>
      <c r="D146" s="319"/>
      <c r="E146" s="182"/>
      <c r="F146" s="182"/>
      <c r="G146" s="170"/>
      <c r="H146" s="170"/>
      <c r="I146" s="170"/>
      <c r="J146" s="182"/>
      <c r="K146" s="90">
        <f t="shared" si="29"/>
        <v>0</v>
      </c>
      <c r="L146" s="182"/>
      <c r="M146" s="182"/>
      <c r="N146" s="182"/>
      <c r="O146" s="338"/>
      <c r="P146" s="170"/>
      <c r="Q146" s="88">
        <f t="shared" si="30"/>
        <v>1000</v>
      </c>
      <c r="R146" s="183"/>
    </row>
    <row r="147">
      <c r="B147" s="248"/>
      <c r="C147" s="313">
        <v>45783.0</v>
      </c>
      <c r="D147" s="314">
        <v>1.0</v>
      </c>
      <c r="E147" s="251">
        <v>2000.0</v>
      </c>
      <c r="F147" s="251"/>
      <c r="G147" s="191"/>
      <c r="H147" s="191"/>
      <c r="I147" s="191"/>
      <c r="J147" s="251"/>
      <c r="K147" s="69">
        <f t="shared" si="29"/>
        <v>0</v>
      </c>
      <c r="L147" s="251"/>
      <c r="M147" s="251"/>
      <c r="N147" s="204">
        <v>2000.0</v>
      </c>
      <c r="O147" s="315">
        <v>-700.0</v>
      </c>
      <c r="P147" s="195"/>
      <c r="Q147" s="201">
        <f t="shared" si="30"/>
        <v>2300</v>
      </c>
      <c r="R147" s="205"/>
    </row>
    <row r="148">
      <c r="B148" s="248"/>
      <c r="C148" s="313">
        <v>45815.0</v>
      </c>
      <c r="D148" s="314">
        <v>1.0</v>
      </c>
      <c r="E148" s="251">
        <f>2500+480</f>
        <v>2980</v>
      </c>
      <c r="F148" s="251"/>
      <c r="G148" s="191"/>
      <c r="H148" s="191"/>
      <c r="I148" s="251">
        <v>1000.0</v>
      </c>
      <c r="J148" s="251"/>
      <c r="K148" s="69">
        <f t="shared" si="29"/>
        <v>0</v>
      </c>
      <c r="L148" s="251"/>
      <c r="M148" s="251"/>
      <c r="N148" s="204">
        <f>1500+480</f>
        <v>1980</v>
      </c>
      <c r="O148" s="315">
        <v>-700.0</v>
      </c>
      <c r="P148" s="195"/>
      <c r="Q148" s="201">
        <f t="shared" si="30"/>
        <v>3580</v>
      </c>
      <c r="R148" s="205" t="s">
        <v>205</v>
      </c>
    </row>
    <row r="149">
      <c r="B149" s="248"/>
      <c r="C149" s="313">
        <v>45846.0</v>
      </c>
      <c r="D149" s="314">
        <v>1.0</v>
      </c>
      <c r="E149" s="251">
        <v>2800.0</v>
      </c>
      <c r="F149" s="251">
        <v>400.0</v>
      </c>
      <c r="G149" s="191"/>
      <c r="H149" s="191"/>
      <c r="I149" s="191"/>
      <c r="J149" s="251">
        <v>1000.0</v>
      </c>
      <c r="K149" s="69">
        <f t="shared" si="29"/>
        <v>0</v>
      </c>
      <c r="L149" s="251"/>
      <c r="M149" s="251"/>
      <c r="N149" s="204">
        <v>1800.0</v>
      </c>
      <c r="O149" s="315">
        <v>-700.0</v>
      </c>
      <c r="P149" s="204">
        <v>400.0</v>
      </c>
      <c r="Q149" s="201">
        <f t="shared" si="30"/>
        <v>5080</v>
      </c>
      <c r="R149" s="205" t="s">
        <v>43</v>
      </c>
    </row>
    <row r="150" hidden="1">
      <c r="B150" s="183"/>
      <c r="C150" s="318">
        <v>45880.0</v>
      </c>
      <c r="D150" s="319"/>
      <c r="E150" s="182"/>
      <c r="F150" s="182"/>
      <c r="G150" s="170"/>
      <c r="H150" s="170"/>
      <c r="I150" s="170"/>
      <c r="J150" s="182"/>
      <c r="K150" s="90">
        <f t="shared" si="29"/>
        <v>0</v>
      </c>
      <c r="L150" s="182"/>
      <c r="M150" s="182"/>
      <c r="N150" s="182"/>
      <c r="O150" s="338"/>
      <c r="P150" s="170"/>
      <c r="Q150" s="88">
        <f t="shared" si="30"/>
        <v>5080</v>
      </c>
      <c r="R150" s="183"/>
    </row>
    <row r="151">
      <c r="B151" s="248"/>
      <c r="C151" s="313">
        <v>45973.0</v>
      </c>
      <c r="D151" s="314">
        <v>1.0</v>
      </c>
      <c r="E151" s="251">
        <v>2500.0</v>
      </c>
      <c r="F151" s="251"/>
      <c r="G151" s="191"/>
      <c r="H151" s="191"/>
      <c r="I151" s="191"/>
      <c r="J151" s="251">
        <v>400.0</v>
      </c>
      <c r="K151" s="69">
        <f t="shared" si="29"/>
        <v>0</v>
      </c>
      <c r="L151" s="251"/>
      <c r="M151" s="251">
        <v>2100.0</v>
      </c>
      <c r="N151" s="204"/>
      <c r="O151" s="315">
        <v>-700.0</v>
      </c>
      <c r="P151" s="195"/>
      <c r="Q151" s="201">
        <f t="shared" si="30"/>
        <v>4380</v>
      </c>
      <c r="R151" s="205" t="s">
        <v>157</v>
      </c>
    </row>
    <row r="152">
      <c r="B152" s="248"/>
      <c r="C152" s="313">
        <v>46004.0</v>
      </c>
      <c r="D152" s="314">
        <v>1.0</v>
      </c>
      <c r="E152" s="251">
        <v>2300.0</v>
      </c>
      <c r="F152" s="251"/>
      <c r="G152" s="191"/>
      <c r="H152" s="191"/>
      <c r="I152" s="191"/>
      <c r="J152" s="251">
        <v>1000.0</v>
      </c>
      <c r="K152" s="69">
        <f t="shared" si="29"/>
        <v>0</v>
      </c>
      <c r="L152" s="251"/>
      <c r="M152" s="251"/>
      <c r="N152" s="204">
        <v>1300.0</v>
      </c>
      <c r="O152" s="315">
        <v>-700.0</v>
      </c>
      <c r="P152" s="195"/>
      <c r="Q152" s="201">
        <f t="shared" si="30"/>
        <v>4980</v>
      </c>
      <c r="R152" s="205"/>
    </row>
    <row r="153">
      <c r="B153" s="248"/>
      <c r="C153" s="314" t="s">
        <v>46</v>
      </c>
      <c r="D153" s="314">
        <v>1.0</v>
      </c>
      <c r="E153" s="251">
        <v>3000.0</v>
      </c>
      <c r="F153" s="251"/>
      <c r="G153" s="251">
        <v>-500.0</v>
      </c>
      <c r="H153" s="191"/>
      <c r="I153" s="191"/>
      <c r="J153" s="251"/>
      <c r="K153" s="69">
        <f t="shared" si="29"/>
        <v>0</v>
      </c>
      <c r="L153" s="251"/>
      <c r="M153" s="251"/>
      <c r="N153" s="204">
        <v>3500.0</v>
      </c>
      <c r="O153" s="315">
        <v>-700.0</v>
      </c>
      <c r="P153" s="204">
        <v>-500.0</v>
      </c>
      <c r="Q153" s="201">
        <f t="shared" si="30"/>
        <v>7280</v>
      </c>
      <c r="R153" s="205" t="s">
        <v>207</v>
      </c>
    </row>
    <row r="154">
      <c r="B154" s="248"/>
      <c r="C154" s="314" t="s">
        <v>29</v>
      </c>
      <c r="D154" s="314">
        <v>1.0</v>
      </c>
      <c r="E154" s="251">
        <v>2700.0</v>
      </c>
      <c r="F154" s="251"/>
      <c r="G154" s="191"/>
      <c r="H154" s="191"/>
      <c r="I154" s="191"/>
      <c r="J154" s="251">
        <v>500.0</v>
      </c>
      <c r="K154" s="69">
        <f t="shared" si="29"/>
        <v>0</v>
      </c>
      <c r="L154" s="251"/>
      <c r="M154" s="251"/>
      <c r="N154" s="204">
        <v>2200.0</v>
      </c>
      <c r="O154" s="315">
        <v>-700.0</v>
      </c>
      <c r="P154" s="195"/>
      <c r="Q154" s="201">
        <f t="shared" si="30"/>
        <v>8780</v>
      </c>
      <c r="R154" s="205"/>
    </row>
    <row r="155">
      <c r="B155" s="248"/>
      <c r="C155" s="314" t="s">
        <v>54</v>
      </c>
      <c r="D155" s="314">
        <v>2.0</v>
      </c>
      <c r="E155" s="251">
        <v>3700.0</v>
      </c>
      <c r="F155" s="251">
        <v>900.0</v>
      </c>
      <c r="G155" s="191"/>
      <c r="H155" s="191"/>
      <c r="I155" s="191"/>
      <c r="J155" s="251">
        <v>1000.0</v>
      </c>
      <c r="K155" s="69">
        <f t="shared" si="29"/>
        <v>0</v>
      </c>
      <c r="L155" s="251"/>
      <c r="M155" s="251">
        <v>3600.0</v>
      </c>
      <c r="N155" s="204"/>
      <c r="O155" s="315">
        <v>-700.0</v>
      </c>
      <c r="P155" s="195"/>
      <c r="Q155" s="201">
        <f t="shared" si="30"/>
        <v>8080</v>
      </c>
      <c r="R155" s="205"/>
    </row>
    <row r="156" hidden="1">
      <c r="B156" s="183"/>
      <c r="C156" s="319" t="s">
        <v>32</v>
      </c>
      <c r="D156" s="319"/>
      <c r="E156" s="182"/>
      <c r="F156" s="182"/>
      <c r="G156" s="170"/>
      <c r="H156" s="170"/>
      <c r="I156" s="170"/>
      <c r="J156" s="182"/>
      <c r="K156" s="90">
        <f t="shared" si="29"/>
        <v>0</v>
      </c>
      <c r="L156" s="182"/>
      <c r="M156" s="182"/>
      <c r="N156" s="182"/>
      <c r="O156" s="338"/>
      <c r="P156" s="170"/>
      <c r="Q156" s="88">
        <f t="shared" si="30"/>
        <v>8080</v>
      </c>
      <c r="R156" s="183"/>
    </row>
    <row r="157" hidden="1">
      <c r="B157" s="183"/>
      <c r="C157" s="319" t="s">
        <v>33</v>
      </c>
      <c r="D157" s="319"/>
      <c r="E157" s="182"/>
      <c r="F157" s="182">
        <v>400.0</v>
      </c>
      <c r="G157" s="170"/>
      <c r="H157" s="170"/>
      <c r="I157" s="170"/>
      <c r="J157" s="182"/>
      <c r="K157" s="90">
        <f t="shared" si="29"/>
        <v>0</v>
      </c>
      <c r="L157" s="182"/>
      <c r="M157" s="182">
        <v>400.0</v>
      </c>
      <c r="N157" s="182"/>
      <c r="O157" s="338"/>
      <c r="P157" s="170"/>
      <c r="Q157" s="88">
        <f t="shared" si="30"/>
        <v>8080</v>
      </c>
      <c r="R157" s="183"/>
    </row>
    <row r="158">
      <c r="B158" s="248"/>
      <c r="C158" s="314" t="s">
        <v>34</v>
      </c>
      <c r="D158" s="314">
        <v>1.0</v>
      </c>
      <c r="E158" s="251">
        <v>2000.0</v>
      </c>
      <c r="F158" s="251">
        <v>400.0</v>
      </c>
      <c r="G158" s="191"/>
      <c r="H158" s="191"/>
      <c r="I158" s="191"/>
      <c r="J158" s="251"/>
      <c r="K158" s="69">
        <f t="shared" si="29"/>
        <v>0</v>
      </c>
      <c r="L158" s="251"/>
      <c r="M158" s="251"/>
      <c r="N158" s="204">
        <v>2000.0</v>
      </c>
      <c r="O158" s="315">
        <v>-700.0</v>
      </c>
      <c r="P158" s="204">
        <v>400.0</v>
      </c>
      <c r="Q158" s="201">
        <f t="shared" si="30"/>
        <v>9780</v>
      </c>
      <c r="R158" s="205" t="s">
        <v>43</v>
      </c>
    </row>
    <row r="159">
      <c r="B159" s="248"/>
      <c r="C159" s="314" t="s">
        <v>69</v>
      </c>
      <c r="D159" s="314">
        <v>1.0</v>
      </c>
      <c r="E159" s="251">
        <v>2300.0</v>
      </c>
      <c r="F159" s="251"/>
      <c r="G159" s="191"/>
      <c r="H159" s="191"/>
      <c r="I159" s="191"/>
      <c r="J159" s="251">
        <v>500.0</v>
      </c>
      <c r="K159" s="69">
        <f t="shared" si="29"/>
        <v>0</v>
      </c>
      <c r="L159" s="251"/>
      <c r="M159" s="251"/>
      <c r="N159" s="204">
        <v>1800.0</v>
      </c>
      <c r="O159" s="315">
        <v>-700.0</v>
      </c>
      <c r="P159" s="195"/>
      <c r="Q159" s="201">
        <f t="shared" si="30"/>
        <v>10880</v>
      </c>
      <c r="R159" s="205"/>
    </row>
    <row r="160">
      <c r="B160" s="248"/>
      <c r="C160" s="314" t="s">
        <v>78</v>
      </c>
      <c r="D160" s="314">
        <v>2.0</v>
      </c>
      <c r="E160" s="251">
        <v>5000.0</v>
      </c>
      <c r="F160" s="251">
        <v>900.0</v>
      </c>
      <c r="G160" s="191"/>
      <c r="H160" s="191"/>
      <c r="I160" s="191"/>
      <c r="J160" s="251">
        <v>1950.0</v>
      </c>
      <c r="K160" s="69">
        <f t="shared" si="29"/>
        <v>0</v>
      </c>
      <c r="L160" s="251"/>
      <c r="M160" s="251"/>
      <c r="N160" s="204">
        <v>3950.0</v>
      </c>
      <c r="O160" s="315"/>
      <c r="P160" s="195"/>
      <c r="Q160" s="201">
        <f t="shared" si="30"/>
        <v>14830</v>
      </c>
      <c r="R160" s="205"/>
    </row>
    <row r="161" hidden="1">
      <c r="B161" s="183"/>
      <c r="C161" s="319" t="s">
        <v>209</v>
      </c>
      <c r="D161" s="319"/>
      <c r="E161" s="182"/>
      <c r="F161" s="182"/>
      <c r="G161" s="170"/>
      <c r="H161" s="170"/>
      <c r="I161" s="170"/>
      <c r="J161" s="182"/>
      <c r="K161" s="90">
        <f t="shared" si="29"/>
        <v>0</v>
      </c>
      <c r="L161" s="182"/>
      <c r="M161" s="182"/>
      <c r="N161" s="182"/>
      <c r="O161" s="338"/>
      <c r="P161" s="170"/>
      <c r="Q161" s="88">
        <f t="shared" si="30"/>
        <v>14830</v>
      </c>
      <c r="R161" s="183"/>
    </row>
    <row r="162">
      <c r="B162" s="248"/>
      <c r="C162" s="314" t="s">
        <v>73</v>
      </c>
      <c r="D162" s="314">
        <v>1.0</v>
      </c>
      <c r="E162" s="251">
        <v>2500.0</v>
      </c>
      <c r="F162" s="251">
        <v>450.0</v>
      </c>
      <c r="G162" s="191"/>
      <c r="H162" s="191"/>
      <c r="I162" s="191"/>
      <c r="J162" s="251"/>
      <c r="K162" s="69">
        <f t="shared" si="29"/>
        <v>0</v>
      </c>
      <c r="L162" s="251"/>
      <c r="M162" s="251"/>
      <c r="N162" s="204">
        <v>2950.0</v>
      </c>
      <c r="O162" s="315">
        <v>-700.0</v>
      </c>
      <c r="P162" s="195"/>
      <c r="Q162" s="201">
        <f t="shared" si="30"/>
        <v>17080</v>
      </c>
      <c r="R162" s="205"/>
    </row>
    <row r="163">
      <c r="B163" s="248"/>
      <c r="C163" s="314" t="s">
        <v>124</v>
      </c>
      <c r="D163" s="314">
        <v>4.0</v>
      </c>
      <c r="E163" s="251">
        <v>5542.3</v>
      </c>
      <c r="F163" s="251"/>
      <c r="G163" s="191"/>
      <c r="H163" s="251" t="s">
        <v>42</v>
      </c>
      <c r="I163" s="191"/>
      <c r="J163" s="251"/>
      <c r="K163" s="69">
        <f t="shared" si="29"/>
        <v>0</v>
      </c>
      <c r="L163" s="251">
        <v>5542.3</v>
      </c>
      <c r="M163" s="251"/>
      <c r="N163" s="204"/>
      <c r="O163" s="315">
        <v>-700.0</v>
      </c>
      <c r="P163" s="195"/>
      <c r="Q163" s="201">
        <f t="shared" si="30"/>
        <v>16380</v>
      </c>
      <c r="R163" s="205"/>
    </row>
    <row r="164">
      <c r="B164" s="68"/>
      <c r="C164" s="188"/>
      <c r="D164" s="188"/>
      <c r="E164" s="191"/>
      <c r="F164" s="191"/>
      <c r="G164" s="191"/>
      <c r="H164" s="191"/>
      <c r="I164" s="191"/>
      <c r="J164" s="191"/>
      <c r="K164" s="69"/>
      <c r="L164" s="191"/>
      <c r="M164" s="191"/>
      <c r="N164" s="195"/>
      <c r="O164" s="197"/>
      <c r="P164" s="204">
        <f>-50+-50</f>
        <v>-100</v>
      </c>
      <c r="Q164" s="201">
        <f t="shared" si="30"/>
        <v>16280</v>
      </c>
      <c r="R164" s="205" t="s">
        <v>210</v>
      </c>
    </row>
    <row r="165">
      <c r="B165" s="68"/>
      <c r="C165" s="188"/>
      <c r="D165" s="188"/>
      <c r="E165" s="191"/>
      <c r="F165" s="191"/>
      <c r="G165" s="191"/>
      <c r="H165" s="191"/>
      <c r="I165" s="191"/>
      <c r="J165" s="191"/>
      <c r="K165" s="69"/>
      <c r="L165" s="191"/>
      <c r="M165" s="191"/>
      <c r="N165" s="195"/>
      <c r="O165" s="197"/>
      <c r="P165" s="204">
        <v>-6290.93</v>
      </c>
      <c r="Q165" s="201">
        <f t="shared" si="30"/>
        <v>9989.07</v>
      </c>
      <c r="R165" s="202" t="s">
        <v>59</v>
      </c>
    </row>
    <row r="166">
      <c r="B166" s="68"/>
      <c r="C166" s="188"/>
      <c r="D166" s="188"/>
      <c r="E166" s="191"/>
      <c r="F166" s="191"/>
      <c r="G166" s="191"/>
      <c r="H166" s="191"/>
      <c r="I166" s="191"/>
      <c r="J166" s="191"/>
      <c r="K166" s="69"/>
      <c r="L166" s="191"/>
      <c r="M166" s="191"/>
      <c r="N166" s="195"/>
      <c r="O166" s="197"/>
      <c r="P166" s="204">
        <v>-2412.17</v>
      </c>
      <c r="Q166" s="201">
        <f t="shared" si="30"/>
        <v>7576.9</v>
      </c>
      <c r="R166" s="205" t="s">
        <v>55</v>
      </c>
    </row>
    <row r="167">
      <c r="B167" s="325" t="s">
        <v>154</v>
      </c>
      <c r="C167" s="288" t="s">
        <v>66</v>
      </c>
      <c r="D167" s="290">
        <f t="shared" ref="D167:P167" si="31">sum(D145:D166)</f>
        <v>19</v>
      </c>
      <c r="E167" s="291">
        <f t="shared" si="31"/>
        <v>41922.3</v>
      </c>
      <c r="F167" s="291">
        <f t="shared" si="31"/>
        <v>3800</v>
      </c>
      <c r="G167" s="291">
        <f t="shared" si="31"/>
        <v>-500</v>
      </c>
      <c r="H167" s="291">
        <f t="shared" si="31"/>
        <v>0</v>
      </c>
      <c r="I167" s="291">
        <f t="shared" si="31"/>
        <v>1000</v>
      </c>
      <c r="J167" s="291">
        <f t="shared" si="31"/>
        <v>7600</v>
      </c>
      <c r="K167" s="291">
        <f t="shared" si="31"/>
        <v>0</v>
      </c>
      <c r="L167" s="291">
        <f t="shared" si="31"/>
        <v>5542.3</v>
      </c>
      <c r="M167" s="291">
        <f t="shared" si="31"/>
        <v>6100</v>
      </c>
      <c r="N167" s="291">
        <f t="shared" si="31"/>
        <v>25180</v>
      </c>
      <c r="O167" s="291">
        <f t="shared" si="31"/>
        <v>-9100</v>
      </c>
      <c r="P167" s="291">
        <f t="shared" si="31"/>
        <v>-8503.1</v>
      </c>
      <c r="Q167" s="292">
        <f>Q166</f>
        <v>7576.9</v>
      </c>
      <c r="R167" s="293"/>
    </row>
    <row r="168">
      <c r="B168" s="183" t="s">
        <v>172</v>
      </c>
      <c r="C168" s="318">
        <v>45692.0</v>
      </c>
      <c r="D168" s="319"/>
      <c r="E168" s="182"/>
      <c r="F168" s="182"/>
      <c r="G168" s="170"/>
      <c r="H168" s="170"/>
      <c r="I168" s="170"/>
      <c r="J168" s="182"/>
      <c r="K168" s="90">
        <f t="shared" ref="K168:K187" si="32">E168-J168-L168-M168-N168-I168+F168-P168</f>
        <v>0</v>
      </c>
      <c r="L168" s="182"/>
      <c r="M168" s="182"/>
      <c r="N168" s="182"/>
      <c r="O168" s="338"/>
      <c r="P168" s="170"/>
      <c r="Q168" s="88">
        <f t="shared" ref="Q168:Q190" si="33">Q167+N168+O168+P168</f>
        <v>7576.9</v>
      </c>
      <c r="R168" s="183"/>
    </row>
    <row r="169">
      <c r="B169" s="248"/>
      <c r="C169" s="313">
        <v>45752.0</v>
      </c>
      <c r="D169" s="314">
        <v>1.0</v>
      </c>
      <c r="E169" s="251">
        <v>2000.0</v>
      </c>
      <c r="F169" s="251">
        <v>450.0</v>
      </c>
      <c r="G169" s="191"/>
      <c r="H169" s="191"/>
      <c r="I169" s="251">
        <v>1225.0</v>
      </c>
      <c r="J169" s="251"/>
      <c r="K169" s="69">
        <f t="shared" si="32"/>
        <v>0</v>
      </c>
      <c r="L169" s="251"/>
      <c r="M169" s="251">
        <v>1225.0</v>
      </c>
      <c r="N169" s="204"/>
      <c r="O169" s="315">
        <v>-700.0</v>
      </c>
      <c r="P169" s="195"/>
      <c r="Q169" s="201">
        <f t="shared" si="33"/>
        <v>6876.9</v>
      </c>
      <c r="R169" s="205"/>
      <c r="S169" s="174" t="s">
        <v>157</v>
      </c>
    </row>
    <row r="170">
      <c r="B170" s="248"/>
      <c r="C170" s="313">
        <v>45783.0</v>
      </c>
      <c r="D170" s="314">
        <v>1.0</v>
      </c>
      <c r="E170" s="251">
        <v>2800.0</v>
      </c>
      <c r="F170" s="251">
        <v>400.0</v>
      </c>
      <c r="G170" s="191"/>
      <c r="H170" s="191"/>
      <c r="I170" s="251"/>
      <c r="J170" s="251">
        <v>1000.0</v>
      </c>
      <c r="K170" s="69">
        <f t="shared" si="32"/>
        <v>0</v>
      </c>
      <c r="L170" s="251"/>
      <c r="M170" s="251">
        <v>1800.0</v>
      </c>
      <c r="N170" s="204"/>
      <c r="O170" s="315">
        <v>-700.0</v>
      </c>
      <c r="P170" s="204">
        <v>400.0</v>
      </c>
      <c r="Q170" s="201">
        <f t="shared" si="33"/>
        <v>6576.9</v>
      </c>
      <c r="R170" s="205" t="s">
        <v>43</v>
      </c>
    </row>
    <row r="171">
      <c r="B171" s="248"/>
      <c r="C171" s="313">
        <v>45815.0</v>
      </c>
      <c r="D171" s="314">
        <v>1.0</v>
      </c>
      <c r="E171" s="251">
        <v>2500.0</v>
      </c>
      <c r="F171" s="251">
        <v>350.0</v>
      </c>
      <c r="G171" s="191"/>
      <c r="H171" s="191"/>
      <c r="I171" s="191"/>
      <c r="J171" s="251">
        <v>1000.0</v>
      </c>
      <c r="K171" s="69">
        <f t="shared" si="32"/>
        <v>0</v>
      </c>
      <c r="L171" s="251"/>
      <c r="M171" s="251"/>
      <c r="N171" s="204">
        <v>1500.0</v>
      </c>
      <c r="O171" s="315">
        <v>-700.0</v>
      </c>
      <c r="P171" s="204">
        <v>350.0</v>
      </c>
      <c r="Q171" s="201">
        <f t="shared" si="33"/>
        <v>7726.9</v>
      </c>
      <c r="R171" s="205" t="s">
        <v>43</v>
      </c>
    </row>
    <row r="172" hidden="1">
      <c r="B172" s="183"/>
      <c r="C172" s="318">
        <v>45847.0</v>
      </c>
      <c r="D172" s="319"/>
      <c r="E172" s="182"/>
      <c r="F172" s="182"/>
      <c r="G172" s="170"/>
      <c r="H172" s="170"/>
      <c r="I172" s="170"/>
      <c r="J172" s="182"/>
      <c r="K172" s="90">
        <f t="shared" si="32"/>
        <v>0</v>
      </c>
      <c r="L172" s="182"/>
      <c r="M172" s="182"/>
      <c r="N172" s="182"/>
      <c r="O172" s="338"/>
      <c r="P172" s="170"/>
      <c r="Q172" s="88">
        <f t="shared" si="33"/>
        <v>7726.9</v>
      </c>
      <c r="R172" s="183"/>
    </row>
    <row r="173">
      <c r="B173" s="248"/>
      <c r="C173" s="313">
        <v>45911.0</v>
      </c>
      <c r="D173" s="314">
        <v>2.0</v>
      </c>
      <c r="E173" s="251">
        <v>4100.0</v>
      </c>
      <c r="F173" s="251"/>
      <c r="G173" s="191"/>
      <c r="H173" s="191"/>
      <c r="I173" s="191"/>
      <c r="J173" s="251"/>
      <c r="K173" s="69">
        <f t="shared" si="32"/>
        <v>0</v>
      </c>
      <c r="L173" s="251"/>
      <c r="M173" s="251"/>
      <c r="N173" s="204">
        <v>4100.0</v>
      </c>
      <c r="O173" s="315">
        <v>-700.0</v>
      </c>
      <c r="P173" s="195"/>
      <c r="Q173" s="201">
        <f t="shared" si="33"/>
        <v>11126.9</v>
      </c>
      <c r="R173" s="205"/>
    </row>
    <row r="174">
      <c r="B174" s="248"/>
      <c r="C174" s="313">
        <v>45974.0</v>
      </c>
      <c r="D174" s="314">
        <v>2.0</v>
      </c>
      <c r="E174" s="251">
        <v>4300.0</v>
      </c>
      <c r="F174" s="251">
        <v>400.0</v>
      </c>
      <c r="G174" s="191"/>
      <c r="H174" s="191"/>
      <c r="I174" s="191"/>
      <c r="J174" s="251">
        <v>500.0</v>
      </c>
      <c r="K174" s="69">
        <f t="shared" si="32"/>
        <v>0</v>
      </c>
      <c r="L174" s="251"/>
      <c r="M174" s="251">
        <v>3800.0</v>
      </c>
      <c r="N174" s="204"/>
      <c r="O174" s="315">
        <v>-700.0</v>
      </c>
      <c r="P174" s="204">
        <v>400.0</v>
      </c>
      <c r="Q174" s="201">
        <f t="shared" si="33"/>
        <v>10826.9</v>
      </c>
      <c r="R174" s="205" t="s">
        <v>43</v>
      </c>
    </row>
    <row r="175">
      <c r="B175" s="248"/>
      <c r="C175" s="314" t="s">
        <v>117</v>
      </c>
      <c r="D175" s="314">
        <v>2.0</v>
      </c>
      <c r="E175" s="251">
        <v>4300.0</v>
      </c>
      <c r="F175" s="251"/>
      <c r="G175" s="251"/>
      <c r="H175" s="191"/>
      <c r="I175" s="191"/>
      <c r="J175" s="251">
        <v>1500.0</v>
      </c>
      <c r="K175" s="69">
        <f t="shared" si="32"/>
        <v>0</v>
      </c>
      <c r="L175" s="251"/>
      <c r="M175" s="251"/>
      <c r="N175" s="204">
        <v>2800.0</v>
      </c>
      <c r="O175" s="315">
        <v>-700.0</v>
      </c>
      <c r="P175" s="204"/>
      <c r="Q175" s="201">
        <f t="shared" si="33"/>
        <v>12926.9</v>
      </c>
      <c r="R175" s="205"/>
    </row>
    <row r="176" hidden="1">
      <c r="B176" s="183"/>
      <c r="C176" s="319" t="s">
        <v>54</v>
      </c>
      <c r="D176" s="319"/>
      <c r="E176" s="182"/>
      <c r="F176" s="182"/>
      <c r="G176" s="170"/>
      <c r="H176" s="170"/>
      <c r="I176" s="170"/>
      <c r="J176" s="182"/>
      <c r="K176" s="90">
        <f t="shared" si="32"/>
        <v>0</v>
      </c>
      <c r="L176" s="182"/>
      <c r="M176" s="182"/>
      <c r="N176" s="182"/>
      <c r="O176" s="338"/>
      <c r="P176" s="170"/>
      <c r="Q176" s="88">
        <f t="shared" si="33"/>
        <v>12926.9</v>
      </c>
      <c r="R176" s="183"/>
    </row>
    <row r="177">
      <c r="B177" s="248"/>
      <c r="C177" s="314" t="s">
        <v>32</v>
      </c>
      <c r="D177" s="314">
        <v>1.0</v>
      </c>
      <c r="E177" s="251">
        <v>2000.0</v>
      </c>
      <c r="F177" s="251"/>
      <c r="G177" s="191"/>
      <c r="H177" s="191"/>
      <c r="I177" s="191"/>
      <c r="J177" s="251">
        <v>1000.0</v>
      </c>
      <c r="K177" s="69">
        <f t="shared" si="32"/>
        <v>0</v>
      </c>
      <c r="L177" s="251"/>
      <c r="M177" s="251"/>
      <c r="N177" s="204">
        <v>1000.0</v>
      </c>
      <c r="O177" s="315">
        <v>-700.0</v>
      </c>
      <c r="P177" s="195"/>
      <c r="Q177" s="201">
        <f t="shared" si="33"/>
        <v>13226.9</v>
      </c>
      <c r="R177" s="205"/>
    </row>
    <row r="178">
      <c r="B178" s="248"/>
      <c r="C178" s="314" t="s">
        <v>33</v>
      </c>
      <c r="D178" s="314">
        <v>1.0</v>
      </c>
      <c r="E178" s="251">
        <f>2500+200</f>
        <v>2700</v>
      </c>
      <c r="F178" s="251"/>
      <c r="G178" s="191"/>
      <c r="H178" s="191"/>
      <c r="I178" s="191"/>
      <c r="J178" s="251">
        <v>1000.0</v>
      </c>
      <c r="K178" s="69">
        <f t="shared" si="32"/>
        <v>0</v>
      </c>
      <c r="L178" s="251"/>
      <c r="M178" s="251">
        <v>1700.0</v>
      </c>
      <c r="N178" s="204"/>
      <c r="O178" s="315">
        <v>-700.0</v>
      </c>
      <c r="P178" s="204"/>
      <c r="Q178" s="201">
        <f t="shared" si="33"/>
        <v>12526.9</v>
      </c>
      <c r="R178" s="205" t="s">
        <v>215</v>
      </c>
    </row>
    <row r="179">
      <c r="B179" s="248"/>
      <c r="C179" s="314" t="s">
        <v>34</v>
      </c>
      <c r="D179" s="314">
        <v>1.0</v>
      </c>
      <c r="E179" s="251">
        <v>2850.0</v>
      </c>
      <c r="F179" s="251"/>
      <c r="G179" s="191"/>
      <c r="H179" s="191"/>
      <c r="I179" s="191"/>
      <c r="J179" s="251">
        <v>550.0</v>
      </c>
      <c r="K179" s="69">
        <f t="shared" si="32"/>
        <v>0</v>
      </c>
      <c r="L179" s="251"/>
      <c r="M179" s="251">
        <v>2300.0</v>
      </c>
      <c r="N179" s="204"/>
      <c r="O179" s="315">
        <v>-700.0</v>
      </c>
      <c r="P179" s="195"/>
      <c r="Q179" s="201">
        <f t="shared" si="33"/>
        <v>11826.9</v>
      </c>
      <c r="R179" s="205"/>
    </row>
    <row r="180" hidden="1">
      <c r="B180" s="183"/>
      <c r="C180" s="319" t="s">
        <v>69</v>
      </c>
      <c r="D180" s="319"/>
      <c r="E180" s="182"/>
      <c r="F180" s="182"/>
      <c r="G180" s="170"/>
      <c r="H180" s="170"/>
      <c r="I180" s="170"/>
      <c r="J180" s="182"/>
      <c r="K180" s="90">
        <f t="shared" si="32"/>
        <v>0</v>
      </c>
      <c r="L180" s="182"/>
      <c r="M180" s="182"/>
      <c r="N180" s="182"/>
      <c r="O180" s="338"/>
      <c r="P180" s="170"/>
      <c r="Q180" s="88">
        <f t="shared" si="33"/>
        <v>11826.9</v>
      </c>
      <c r="R180" s="183"/>
    </row>
    <row r="181">
      <c r="B181" s="248"/>
      <c r="C181" s="314" t="s">
        <v>68</v>
      </c>
      <c r="D181" s="314">
        <v>1.0</v>
      </c>
      <c r="E181" s="251">
        <v>2000.0</v>
      </c>
      <c r="F181" s="251">
        <v>350.0</v>
      </c>
      <c r="G181" s="191"/>
      <c r="H181" s="191"/>
      <c r="I181" s="191"/>
      <c r="J181" s="251">
        <v>1000.0</v>
      </c>
      <c r="K181" s="69">
        <f t="shared" si="32"/>
        <v>0</v>
      </c>
      <c r="L181" s="251"/>
      <c r="M181" s="251"/>
      <c r="N181" s="204">
        <v>1350.0</v>
      </c>
      <c r="O181" s="315">
        <v>-700.0</v>
      </c>
      <c r="P181" s="195"/>
      <c r="Q181" s="201">
        <f t="shared" si="33"/>
        <v>12476.9</v>
      </c>
      <c r="R181" s="205"/>
    </row>
    <row r="182" hidden="1">
      <c r="B182" s="183"/>
      <c r="C182" s="319" t="s">
        <v>164</v>
      </c>
      <c r="D182" s="319"/>
      <c r="E182" s="182"/>
      <c r="F182" s="182"/>
      <c r="G182" s="170"/>
      <c r="H182" s="170"/>
      <c r="I182" s="170"/>
      <c r="J182" s="182"/>
      <c r="K182" s="90">
        <f t="shared" si="32"/>
        <v>0</v>
      </c>
      <c r="L182" s="182"/>
      <c r="M182" s="182"/>
      <c r="N182" s="182"/>
      <c r="O182" s="338"/>
      <c r="P182" s="170"/>
      <c r="Q182" s="294">
        <f t="shared" si="33"/>
        <v>12476.9</v>
      </c>
      <c r="R182" s="183"/>
    </row>
    <row r="183">
      <c r="B183" s="248"/>
      <c r="C183" s="314" t="s">
        <v>45</v>
      </c>
      <c r="D183" s="314">
        <v>1.0</v>
      </c>
      <c r="E183" s="251">
        <v>2500.0</v>
      </c>
      <c r="F183" s="251"/>
      <c r="G183" s="191"/>
      <c r="H183" s="191"/>
      <c r="I183" s="191"/>
      <c r="J183" s="251"/>
      <c r="K183" s="69">
        <f t="shared" si="32"/>
        <v>0</v>
      </c>
      <c r="L183" s="251">
        <v>2500.0</v>
      </c>
      <c r="M183" s="251"/>
      <c r="N183" s="204"/>
      <c r="O183" s="315">
        <v>-700.0</v>
      </c>
      <c r="P183" s="195"/>
      <c r="Q183" s="201">
        <f t="shared" si="33"/>
        <v>11776.9</v>
      </c>
      <c r="R183" s="205"/>
    </row>
    <row r="184">
      <c r="B184" s="248"/>
      <c r="C184" s="314" t="s">
        <v>47</v>
      </c>
      <c r="D184" s="314">
        <v>1.0</v>
      </c>
      <c r="E184" s="251">
        <v>2800.0</v>
      </c>
      <c r="F184" s="251"/>
      <c r="G184" s="191"/>
      <c r="H184" s="191"/>
      <c r="I184" s="191"/>
      <c r="J184" s="251">
        <v>1000.0</v>
      </c>
      <c r="K184" s="69">
        <f t="shared" si="32"/>
        <v>0</v>
      </c>
      <c r="L184" s="251"/>
      <c r="M184" s="251">
        <v>1800.0</v>
      </c>
      <c r="N184" s="204"/>
      <c r="O184" s="315">
        <v>-700.0</v>
      </c>
      <c r="P184" s="195"/>
      <c r="Q184" s="201">
        <f t="shared" si="33"/>
        <v>11076.9</v>
      </c>
      <c r="R184" s="205"/>
    </row>
    <row r="185" hidden="1">
      <c r="B185" s="183"/>
      <c r="C185" s="319" t="s">
        <v>72</v>
      </c>
      <c r="D185" s="319"/>
      <c r="E185" s="182"/>
      <c r="F185" s="182"/>
      <c r="G185" s="170"/>
      <c r="H185" s="170"/>
      <c r="I185" s="170"/>
      <c r="J185" s="182"/>
      <c r="K185" s="90">
        <f t="shared" si="32"/>
        <v>0</v>
      </c>
      <c r="L185" s="182"/>
      <c r="M185" s="182"/>
      <c r="N185" s="182"/>
      <c r="O185" s="338"/>
      <c r="P185" s="170"/>
      <c r="Q185" s="88">
        <f t="shared" si="33"/>
        <v>11076.9</v>
      </c>
      <c r="R185" s="183"/>
    </row>
    <row r="186">
      <c r="B186" s="248"/>
      <c r="C186" s="314" t="s">
        <v>220</v>
      </c>
      <c r="D186" s="314">
        <v>3.0</v>
      </c>
      <c r="E186" s="251">
        <v>5400.0</v>
      </c>
      <c r="F186" s="251"/>
      <c r="G186" s="191"/>
      <c r="H186" s="191"/>
      <c r="I186" s="191"/>
      <c r="J186" s="251">
        <v>2000.0</v>
      </c>
      <c r="K186" s="69">
        <f t="shared" si="32"/>
        <v>0</v>
      </c>
      <c r="L186" s="251"/>
      <c r="M186" s="251">
        <v>3400.0</v>
      </c>
      <c r="N186" s="204"/>
      <c r="O186" s="315">
        <v>-700.0</v>
      </c>
      <c r="P186" s="195"/>
      <c r="Q186" s="201">
        <f t="shared" si="33"/>
        <v>10376.9</v>
      </c>
      <c r="R186" s="205"/>
    </row>
    <row r="187">
      <c r="B187" s="248"/>
      <c r="C187" s="314" t="s">
        <v>89</v>
      </c>
      <c r="D187" s="314">
        <v>2.0</v>
      </c>
      <c r="E187" s="251">
        <v>3500.0</v>
      </c>
      <c r="F187" s="251">
        <v>900.0</v>
      </c>
      <c r="G187" s="191"/>
      <c r="H187" s="191"/>
      <c r="I187" s="191"/>
      <c r="J187" s="251">
        <v>1950.0</v>
      </c>
      <c r="K187" s="69">
        <f t="shared" si="32"/>
        <v>0</v>
      </c>
      <c r="L187" s="251"/>
      <c r="M187" s="251">
        <v>2450.0</v>
      </c>
      <c r="N187" s="204"/>
      <c r="O187" s="315">
        <v>-700.0</v>
      </c>
      <c r="P187" s="195"/>
      <c r="Q187" s="201">
        <f t="shared" si="33"/>
        <v>9676.9</v>
      </c>
      <c r="R187" s="205" t="s">
        <v>221</v>
      </c>
    </row>
    <row r="188">
      <c r="B188" s="68"/>
      <c r="C188" s="188"/>
      <c r="D188" s="188"/>
      <c r="E188" s="191"/>
      <c r="F188" s="191"/>
      <c r="G188" s="191"/>
      <c r="H188" s="191"/>
      <c r="I188" s="191"/>
      <c r="J188" s="191"/>
      <c r="K188" s="69"/>
      <c r="L188" s="191"/>
      <c r="M188" s="191"/>
      <c r="N188" s="195"/>
      <c r="O188" s="197"/>
      <c r="P188" s="204">
        <v>-50.0</v>
      </c>
      <c r="Q188" s="201">
        <f t="shared" si="33"/>
        <v>9626.9</v>
      </c>
      <c r="R188" s="205" t="s">
        <v>222</v>
      </c>
    </row>
    <row r="189">
      <c r="B189" s="68"/>
      <c r="C189" s="188"/>
      <c r="D189" s="188"/>
      <c r="E189" s="191"/>
      <c r="F189" s="191"/>
      <c r="G189" s="191"/>
      <c r="H189" s="191"/>
      <c r="I189" s="191"/>
      <c r="J189" s="191"/>
      <c r="K189" s="69"/>
      <c r="L189" s="191"/>
      <c r="M189" s="191"/>
      <c r="N189" s="195"/>
      <c r="O189" s="197"/>
      <c r="P189" s="204">
        <v>-6420.53</v>
      </c>
      <c r="Q189" s="201">
        <f t="shared" si="33"/>
        <v>3206.37</v>
      </c>
      <c r="R189" s="202" t="s">
        <v>59</v>
      </c>
    </row>
    <row r="190">
      <c r="B190" s="68"/>
      <c r="C190" s="188"/>
      <c r="D190" s="188"/>
      <c r="E190" s="191"/>
      <c r="F190" s="191"/>
      <c r="G190" s="191"/>
      <c r="H190" s="191"/>
      <c r="I190" s="191"/>
      <c r="J190" s="191"/>
      <c r="K190" s="69"/>
      <c r="L190" s="191"/>
      <c r="M190" s="191"/>
      <c r="N190" s="195"/>
      <c r="O190" s="197"/>
      <c r="P190" s="204">
        <v>-3133.12</v>
      </c>
      <c r="Q190" s="201">
        <f t="shared" si="33"/>
        <v>73.25</v>
      </c>
      <c r="R190" s="205" t="s">
        <v>55</v>
      </c>
    </row>
    <row r="191">
      <c r="B191" s="325" t="s">
        <v>172</v>
      </c>
      <c r="C191" s="288" t="s">
        <v>66</v>
      </c>
      <c r="D191" s="290">
        <f t="shared" ref="D191:P191" si="34">sum(D168:D190)</f>
        <v>20</v>
      </c>
      <c r="E191" s="291">
        <f t="shared" si="34"/>
        <v>43750</v>
      </c>
      <c r="F191" s="291">
        <f t="shared" si="34"/>
        <v>2850</v>
      </c>
      <c r="G191" s="291">
        <f t="shared" si="34"/>
        <v>0</v>
      </c>
      <c r="H191" s="291">
        <f t="shared" si="34"/>
        <v>0</v>
      </c>
      <c r="I191" s="291">
        <f t="shared" si="34"/>
        <v>1225</v>
      </c>
      <c r="J191" s="291">
        <f t="shared" si="34"/>
        <v>12500</v>
      </c>
      <c r="K191" s="291">
        <f t="shared" si="34"/>
        <v>0</v>
      </c>
      <c r="L191" s="291">
        <f t="shared" si="34"/>
        <v>2500</v>
      </c>
      <c r="M191" s="291">
        <f t="shared" si="34"/>
        <v>18475</v>
      </c>
      <c r="N191" s="291">
        <f t="shared" si="34"/>
        <v>10750</v>
      </c>
      <c r="O191" s="291">
        <f t="shared" si="34"/>
        <v>-9800</v>
      </c>
      <c r="P191" s="291">
        <f t="shared" si="34"/>
        <v>-8453.65</v>
      </c>
      <c r="Q191" s="292">
        <f>Q190</f>
        <v>73.25</v>
      </c>
      <c r="R191" s="293"/>
    </row>
    <row r="192">
      <c r="B192" s="235" t="s">
        <v>166</v>
      </c>
      <c r="C192" s="313">
        <v>45691.0</v>
      </c>
      <c r="D192" s="314">
        <v>1.0</v>
      </c>
      <c r="E192" s="251">
        <v>2800.0</v>
      </c>
      <c r="F192" s="251"/>
      <c r="G192" s="191"/>
      <c r="H192" s="191"/>
      <c r="I192" s="251"/>
      <c r="J192" s="251">
        <v>1000.0</v>
      </c>
      <c r="K192" s="69">
        <f t="shared" ref="K192:K204" si="35">E192-J192-L192-M192-N192-I192+F192-P192</f>
        <v>0</v>
      </c>
      <c r="L192" s="251"/>
      <c r="M192" s="251"/>
      <c r="N192" s="204">
        <v>1800.0</v>
      </c>
      <c r="O192" s="315">
        <v>-700.0</v>
      </c>
      <c r="P192" s="195"/>
      <c r="Q192" s="201">
        <f t="shared" ref="Q192:Q210" si="36">Q191+N192+O192+P192</f>
        <v>1173.25</v>
      </c>
      <c r="R192" s="205"/>
    </row>
    <row r="193">
      <c r="B193" s="248"/>
      <c r="C193" s="313">
        <v>45720.0</v>
      </c>
      <c r="D193" s="314">
        <v>1.0</v>
      </c>
      <c r="E193" s="251">
        <v>2200.0</v>
      </c>
      <c r="F193" s="251">
        <v>400.0</v>
      </c>
      <c r="G193" s="191"/>
      <c r="H193" s="191"/>
      <c r="I193" s="251"/>
      <c r="J193" s="251">
        <v>1000.0</v>
      </c>
      <c r="K193" s="69">
        <f t="shared" si="35"/>
        <v>0</v>
      </c>
      <c r="L193" s="251"/>
      <c r="M193" s="251"/>
      <c r="N193" s="204">
        <v>1200.0</v>
      </c>
      <c r="O193" s="315">
        <v>-700.0</v>
      </c>
      <c r="P193" s="204">
        <v>400.0</v>
      </c>
      <c r="Q193" s="201">
        <f t="shared" si="36"/>
        <v>2073.25</v>
      </c>
      <c r="R193" s="205" t="s">
        <v>223</v>
      </c>
    </row>
    <row r="194">
      <c r="B194" s="248"/>
      <c r="C194" s="313">
        <v>45754.0</v>
      </c>
      <c r="D194" s="314">
        <v>3.0</v>
      </c>
      <c r="E194" s="251">
        <v>5900.0</v>
      </c>
      <c r="F194" s="251"/>
      <c r="G194" s="191"/>
      <c r="H194" s="191"/>
      <c r="I194" s="251"/>
      <c r="J194" s="251">
        <v>2000.0</v>
      </c>
      <c r="K194" s="69">
        <f t="shared" si="35"/>
        <v>0</v>
      </c>
      <c r="L194" s="251"/>
      <c r="M194" s="251"/>
      <c r="N194" s="204">
        <v>3900.0</v>
      </c>
      <c r="O194" s="315">
        <v>-700.0</v>
      </c>
      <c r="P194" s="195"/>
      <c r="Q194" s="201">
        <f t="shared" si="36"/>
        <v>5273.25</v>
      </c>
      <c r="R194" s="205"/>
    </row>
    <row r="195">
      <c r="B195" s="248"/>
      <c r="C195" s="313">
        <v>45848.0</v>
      </c>
      <c r="D195" s="314">
        <v>3.0</v>
      </c>
      <c r="E195" s="251">
        <v>5900.0</v>
      </c>
      <c r="F195" s="251"/>
      <c r="G195" s="191"/>
      <c r="H195" s="191"/>
      <c r="I195" s="251"/>
      <c r="J195" s="251">
        <v>2000.0</v>
      </c>
      <c r="K195" s="69">
        <f t="shared" si="35"/>
        <v>0</v>
      </c>
      <c r="L195" s="251"/>
      <c r="M195" s="251">
        <v>3900.0</v>
      </c>
      <c r="N195" s="204"/>
      <c r="O195" s="315">
        <v>-700.0</v>
      </c>
      <c r="P195" s="195"/>
      <c r="Q195" s="201">
        <f t="shared" si="36"/>
        <v>4573.25</v>
      </c>
      <c r="R195" s="205"/>
      <c r="V195" s="174">
        <v>1127.0</v>
      </c>
      <c r="W195" s="367">
        <f>Q211</f>
        <v>0</v>
      </c>
    </row>
    <row r="196" hidden="1">
      <c r="B196" s="183"/>
      <c r="C196" s="318">
        <v>45946.0</v>
      </c>
      <c r="D196" s="319"/>
      <c r="E196" s="182"/>
      <c r="F196" s="182">
        <v>350.0</v>
      </c>
      <c r="G196" s="170"/>
      <c r="H196" s="170"/>
      <c r="I196" s="182"/>
      <c r="J196" s="182"/>
      <c r="K196" s="90">
        <f t="shared" si="35"/>
        <v>0</v>
      </c>
      <c r="L196" s="182"/>
      <c r="M196" s="182"/>
      <c r="N196" s="182"/>
      <c r="O196" s="338"/>
      <c r="P196" s="182">
        <v>350.0</v>
      </c>
      <c r="Q196" s="88">
        <f t="shared" si="36"/>
        <v>4923.25</v>
      </c>
      <c r="R196" s="183" t="s">
        <v>225</v>
      </c>
    </row>
    <row r="197">
      <c r="B197" s="248"/>
      <c r="C197" s="314" t="s">
        <v>102</v>
      </c>
      <c r="D197" s="314">
        <v>1.0</v>
      </c>
      <c r="E197" s="251">
        <f>600+2800</f>
        <v>3400</v>
      </c>
      <c r="F197" s="251">
        <v>350.0</v>
      </c>
      <c r="G197" s="191"/>
      <c r="H197" s="191"/>
      <c r="I197" s="251"/>
      <c r="J197" s="251">
        <v>1175.0</v>
      </c>
      <c r="K197" s="69">
        <f t="shared" si="35"/>
        <v>0</v>
      </c>
      <c r="L197" s="251"/>
      <c r="M197" s="251">
        <f>1800+175+600</f>
        <v>2575</v>
      </c>
      <c r="N197" s="204"/>
      <c r="O197" s="315">
        <v>-700.0</v>
      </c>
      <c r="P197" s="195"/>
      <c r="Q197" s="201">
        <f t="shared" si="36"/>
        <v>4223.25</v>
      </c>
      <c r="R197" s="205" t="s">
        <v>125</v>
      </c>
      <c r="V197" s="174">
        <v>1230.0</v>
      </c>
      <c r="W197" s="367">
        <f>'1230'!Q253</f>
        <v>0</v>
      </c>
    </row>
    <row r="198">
      <c r="B198" s="248"/>
      <c r="C198" s="314" t="s">
        <v>33</v>
      </c>
      <c r="D198" s="314">
        <v>1.0</v>
      </c>
      <c r="E198" s="251">
        <v>2000.0</v>
      </c>
      <c r="F198" s="251"/>
      <c r="G198" s="191"/>
      <c r="H198" s="191"/>
      <c r="I198" s="251"/>
      <c r="J198" s="251">
        <v>500.0</v>
      </c>
      <c r="K198" s="69">
        <f t="shared" si="35"/>
        <v>0</v>
      </c>
      <c r="L198" s="251"/>
      <c r="M198" s="251">
        <v>1500.0</v>
      </c>
      <c r="N198" s="204"/>
      <c r="O198" s="315">
        <v>-700.0</v>
      </c>
      <c r="P198" s="195"/>
      <c r="Q198" s="201">
        <f t="shared" si="36"/>
        <v>3523.25</v>
      </c>
      <c r="R198" s="205"/>
      <c r="V198" s="174">
        <v>828.0</v>
      </c>
      <c r="W198" s="367">
        <f>'828'!Q220</f>
        <v>0.001999999999</v>
      </c>
    </row>
    <row r="199" hidden="1">
      <c r="B199" s="183"/>
      <c r="C199" s="319" t="s">
        <v>64</v>
      </c>
      <c r="D199" s="319"/>
      <c r="E199" s="182"/>
      <c r="F199" s="182"/>
      <c r="G199" s="170"/>
      <c r="H199" s="170"/>
      <c r="I199" s="182"/>
      <c r="J199" s="182"/>
      <c r="K199" s="90">
        <f t="shared" si="35"/>
        <v>0</v>
      </c>
      <c r="L199" s="182"/>
      <c r="M199" s="182"/>
      <c r="N199" s="182"/>
      <c r="O199" s="338"/>
      <c r="P199" s="170"/>
      <c r="Q199" s="88">
        <f t="shared" si="36"/>
        <v>3523.25</v>
      </c>
      <c r="R199" s="183"/>
    </row>
    <row r="200">
      <c r="B200" s="248"/>
      <c r="C200" s="314" t="s">
        <v>78</v>
      </c>
      <c r="D200" s="314">
        <v>2.0</v>
      </c>
      <c r="E200" s="251">
        <v>4300.0</v>
      </c>
      <c r="F200" s="251">
        <v>800.0</v>
      </c>
      <c r="G200" s="191"/>
      <c r="H200" s="191"/>
      <c r="I200" s="251"/>
      <c r="J200" s="251">
        <v>1500.0</v>
      </c>
      <c r="K200" s="69">
        <f t="shared" si="35"/>
        <v>0</v>
      </c>
      <c r="L200" s="251"/>
      <c r="M200" s="251"/>
      <c r="N200" s="204">
        <v>2800.0</v>
      </c>
      <c r="O200" s="315">
        <v>-700.0</v>
      </c>
      <c r="P200" s="204">
        <v>800.0</v>
      </c>
      <c r="Q200" s="201">
        <f t="shared" si="36"/>
        <v>6423.25</v>
      </c>
      <c r="R200" s="205" t="s">
        <v>228</v>
      </c>
      <c r="V200" s="174">
        <v>1228.0</v>
      </c>
      <c r="W200" s="367">
        <f>'1228'!Q207</f>
        <v>0</v>
      </c>
    </row>
    <row r="201">
      <c r="B201" s="248"/>
      <c r="C201" s="314" t="s">
        <v>108</v>
      </c>
      <c r="D201" s="314">
        <v>2.0</v>
      </c>
      <c r="E201" s="251">
        <v>5100.0</v>
      </c>
      <c r="F201" s="251">
        <v>400.0</v>
      </c>
      <c r="G201" s="191"/>
      <c r="H201" s="191"/>
      <c r="I201" s="251"/>
      <c r="J201" s="251">
        <v>1500.0</v>
      </c>
      <c r="K201" s="69">
        <f t="shared" si="35"/>
        <v>0</v>
      </c>
      <c r="L201" s="251"/>
      <c r="M201" s="251"/>
      <c r="N201" s="204">
        <v>3600.0</v>
      </c>
      <c r="O201" s="315">
        <v>-700.0</v>
      </c>
      <c r="P201" s="204">
        <v>400.0</v>
      </c>
      <c r="Q201" s="201">
        <f t="shared" si="36"/>
        <v>9723.25</v>
      </c>
      <c r="R201" s="205" t="s">
        <v>229</v>
      </c>
      <c r="V201" s="413" t="s">
        <v>66</v>
      </c>
      <c r="W201" s="414">
        <f>sum(W195:W200)</f>
        <v>0.002000000002</v>
      </c>
    </row>
    <row r="202">
      <c r="B202" s="248"/>
      <c r="C202" s="314" t="s">
        <v>45</v>
      </c>
      <c r="D202" s="314">
        <v>1.0</v>
      </c>
      <c r="E202" s="251">
        <v>2500.0</v>
      </c>
      <c r="F202" s="251">
        <v>300.0</v>
      </c>
      <c r="G202" s="191"/>
      <c r="H202" s="191"/>
      <c r="I202" s="251"/>
      <c r="J202" s="251">
        <v>1000.0</v>
      </c>
      <c r="K202" s="69">
        <f t="shared" si="35"/>
        <v>0</v>
      </c>
      <c r="L202" s="251"/>
      <c r="M202" s="251"/>
      <c r="N202" s="204">
        <v>1500.0</v>
      </c>
      <c r="O202" s="315">
        <v>-700.0</v>
      </c>
      <c r="P202" s="204">
        <v>300.0</v>
      </c>
      <c r="Q202" s="201">
        <f t="shared" si="36"/>
        <v>10823.25</v>
      </c>
      <c r="R202" s="205" t="s">
        <v>232</v>
      </c>
    </row>
    <row r="203">
      <c r="B203" s="248"/>
      <c r="C203" s="314" t="s">
        <v>233</v>
      </c>
      <c r="D203" s="314">
        <v>4.0</v>
      </c>
      <c r="E203" s="251">
        <v>10500.0</v>
      </c>
      <c r="F203" s="251">
        <v>800.0</v>
      </c>
      <c r="G203" s="191"/>
      <c r="H203" s="191"/>
      <c r="I203" s="251"/>
      <c r="J203" s="251">
        <v>2500.0</v>
      </c>
      <c r="K203" s="69">
        <f t="shared" si="35"/>
        <v>0</v>
      </c>
      <c r="L203" s="251"/>
      <c r="M203" s="251"/>
      <c r="N203" s="204">
        <v>8000.0</v>
      </c>
      <c r="O203" s="315">
        <v>-700.0</v>
      </c>
      <c r="P203" s="204">
        <v>800.0</v>
      </c>
      <c r="Q203" s="201">
        <f t="shared" si="36"/>
        <v>18923.25</v>
      </c>
      <c r="R203" s="205" t="s">
        <v>234</v>
      </c>
    </row>
    <row r="204">
      <c r="B204" s="248"/>
      <c r="C204" s="314" t="s">
        <v>50</v>
      </c>
      <c r="D204" s="314">
        <v>1.0</v>
      </c>
      <c r="E204" s="251">
        <v>2800.0</v>
      </c>
      <c r="F204" s="251">
        <v>400.0</v>
      </c>
      <c r="G204" s="191"/>
      <c r="H204" s="191"/>
      <c r="I204" s="251"/>
      <c r="J204" s="251">
        <v>1000.0</v>
      </c>
      <c r="K204" s="69">
        <f t="shared" si="35"/>
        <v>0</v>
      </c>
      <c r="L204" s="251"/>
      <c r="M204" s="251">
        <v>1800.0</v>
      </c>
      <c r="N204" s="204"/>
      <c r="O204" s="315">
        <v>-700.0</v>
      </c>
      <c r="P204" s="204">
        <v>400.0</v>
      </c>
      <c r="Q204" s="201">
        <f t="shared" si="36"/>
        <v>18623.25</v>
      </c>
      <c r="R204" s="205" t="s">
        <v>235</v>
      </c>
    </row>
    <row r="205">
      <c r="B205" s="68"/>
      <c r="C205" s="188"/>
      <c r="D205" s="188"/>
      <c r="E205" s="191"/>
      <c r="F205" s="191"/>
      <c r="G205" s="191"/>
      <c r="H205" s="191"/>
      <c r="I205" s="191"/>
      <c r="J205" s="191"/>
      <c r="K205" s="69"/>
      <c r="L205" s="191"/>
      <c r="M205" s="191"/>
      <c r="N205" s="195"/>
      <c r="O205" s="197"/>
      <c r="P205" s="324">
        <v>-500.0</v>
      </c>
      <c r="Q205" s="201">
        <f t="shared" si="36"/>
        <v>18123.25</v>
      </c>
      <c r="R205" s="205" t="s">
        <v>187</v>
      </c>
    </row>
    <row r="206">
      <c r="B206" s="68"/>
      <c r="C206" s="188"/>
      <c r="D206" s="188"/>
      <c r="E206" s="191"/>
      <c r="F206" s="191"/>
      <c r="G206" s="191"/>
      <c r="H206" s="191"/>
      <c r="I206" s="191"/>
      <c r="J206" s="191"/>
      <c r="K206" s="69"/>
      <c r="L206" s="191"/>
      <c r="M206" s="191"/>
      <c r="N206" s="195"/>
      <c r="O206" s="197"/>
      <c r="P206" s="324">
        <v>-499.0</v>
      </c>
      <c r="Q206" s="201">
        <f t="shared" si="36"/>
        <v>17624.25</v>
      </c>
      <c r="R206" s="205" t="s">
        <v>236</v>
      </c>
    </row>
    <row r="207">
      <c r="B207" s="68"/>
      <c r="C207" s="188"/>
      <c r="D207" s="188"/>
      <c r="E207" s="191"/>
      <c r="F207" s="191"/>
      <c r="G207" s="191"/>
      <c r="H207" s="191"/>
      <c r="I207" s="191"/>
      <c r="J207" s="191"/>
      <c r="K207" s="69"/>
      <c r="L207" s="191"/>
      <c r="M207" s="191"/>
      <c r="N207" s="195"/>
      <c r="O207" s="197"/>
      <c r="P207" s="324">
        <v>-150.0</v>
      </c>
      <c r="Q207" s="201">
        <f t="shared" si="36"/>
        <v>17474.25</v>
      </c>
      <c r="R207" s="205" t="s">
        <v>222</v>
      </c>
    </row>
    <row r="208">
      <c r="B208" s="68"/>
      <c r="C208" s="188"/>
      <c r="D208" s="188"/>
      <c r="E208" s="191"/>
      <c r="F208" s="191"/>
      <c r="G208" s="191"/>
      <c r="H208" s="191"/>
      <c r="I208" s="191"/>
      <c r="J208" s="191"/>
      <c r="K208" s="69"/>
      <c r="L208" s="191"/>
      <c r="M208" s="191"/>
      <c r="N208" s="195"/>
      <c r="O208" s="197"/>
      <c r="P208" s="324">
        <v>-6765.79</v>
      </c>
      <c r="Q208" s="201">
        <f t="shared" si="36"/>
        <v>10708.46</v>
      </c>
      <c r="R208" s="202" t="s">
        <v>59</v>
      </c>
    </row>
    <row r="209">
      <c r="B209" s="68"/>
      <c r="C209" s="188"/>
      <c r="D209" s="188"/>
      <c r="E209" s="191"/>
      <c r="F209" s="191"/>
      <c r="G209" s="191"/>
      <c r="H209" s="191"/>
      <c r="I209" s="191"/>
      <c r="J209" s="191"/>
      <c r="K209" s="69"/>
      <c r="L209" s="191"/>
      <c r="M209" s="191"/>
      <c r="N209" s="195"/>
      <c r="O209" s="197"/>
      <c r="P209" s="324">
        <v>-3324.17</v>
      </c>
      <c r="Q209" s="201">
        <f t="shared" si="36"/>
        <v>7384.29</v>
      </c>
      <c r="R209" s="205" t="s">
        <v>55</v>
      </c>
    </row>
    <row r="210">
      <c r="B210" s="68"/>
      <c r="C210" s="188"/>
      <c r="D210" s="188"/>
      <c r="E210" s="191"/>
      <c r="F210" s="191"/>
      <c r="G210" s="191"/>
      <c r="H210" s="191"/>
      <c r="I210" s="191"/>
      <c r="J210" s="191"/>
      <c r="K210" s="69"/>
      <c r="L210" s="191"/>
      <c r="M210" s="191"/>
      <c r="N210" s="195"/>
      <c r="O210" s="197"/>
      <c r="P210" s="324">
        <v>-7384.29</v>
      </c>
      <c r="Q210" s="201">
        <f t="shared" si="36"/>
        <v>0</v>
      </c>
      <c r="R210" s="205" t="s">
        <v>63</v>
      </c>
    </row>
    <row r="211">
      <c r="B211" s="325" t="s">
        <v>166</v>
      </c>
      <c r="C211" s="288" t="s">
        <v>66</v>
      </c>
      <c r="D211" s="290">
        <f t="shared" ref="D211:P211" si="37">sum(D192:D210)</f>
        <v>20</v>
      </c>
      <c r="E211" s="291">
        <f t="shared" si="37"/>
        <v>47400</v>
      </c>
      <c r="F211" s="291">
        <f t="shared" si="37"/>
        <v>3800</v>
      </c>
      <c r="G211" s="291">
        <f t="shared" si="37"/>
        <v>0</v>
      </c>
      <c r="H211" s="291">
        <f t="shared" si="37"/>
        <v>0</v>
      </c>
      <c r="I211" s="291">
        <f t="shared" si="37"/>
        <v>0</v>
      </c>
      <c r="J211" s="291">
        <f t="shared" si="37"/>
        <v>15175</v>
      </c>
      <c r="K211" s="291">
        <f t="shared" si="37"/>
        <v>0</v>
      </c>
      <c r="L211" s="291">
        <f t="shared" si="37"/>
        <v>0</v>
      </c>
      <c r="M211" s="291">
        <f t="shared" si="37"/>
        <v>9775</v>
      </c>
      <c r="N211" s="291">
        <f t="shared" si="37"/>
        <v>22800</v>
      </c>
      <c r="O211" s="291">
        <f t="shared" si="37"/>
        <v>-7700</v>
      </c>
      <c r="P211" s="430">
        <f t="shared" si="37"/>
        <v>-15173.25</v>
      </c>
      <c r="Q211" s="292">
        <f>Q210</f>
        <v>0</v>
      </c>
      <c r="R211" s="293"/>
    </row>
    <row r="212">
      <c r="B212" s="354" t="s">
        <v>179</v>
      </c>
      <c r="C212" s="318">
        <v>45659.0</v>
      </c>
      <c r="D212" s="319"/>
      <c r="E212" s="182"/>
      <c r="F212" s="182"/>
      <c r="G212" s="170"/>
      <c r="H212" s="170"/>
      <c r="I212" s="182"/>
      <c r="J212" s="182"/>
      <c r="K212" s="90">
        <f t="shared" ref="K212:K225" si="38">E212-J212-L212-M212-N212-I212+F212-P212</f>
        <v>0</v>
      </c>
      <c r="L212" s="182"/>
      <c r="M212" s="182"/>
      <c r="N212" s="182"/>
      <c r="O212" s="338"/>
      <c r="P212" s="170"/>
      <c r="Q212" s="88">
        <f t="shared" ref="Q212:Q215" si="39">Q211+N212+O212+P212</f>
        <v>0</v>
      </c>
      <c r="R212" s="183"/>
    </row>
    <row r="213">
      <c r="B213" s="248"/>
      <c r="C213" s="313">
        <v>45692.0</v>
      </c>
      <c r="D213" s="314">
        <v>2.0</v>
      </c>
      <c r="E213" s="251">
        <v>3600.0</v>
      </c>
      <c r="F213" s="251"/>
      <c r="G213" s="191"/>
      <c r="H213" s="191"/>
      <c r="I213" s="251"/>
      <c r="J213" s="251">
        <v>1000.0</v>
      </c>
      <c r="K213" s="69">
        <f t="shared" si="38"/>
        <v>0</v>
      </c>
      <c r="L213" s="251"/>
      <c r="M213" s="251">
        <v>2600.0</v>
      </c>
      <c r="N213" s="204"/>
      <c r="O213" s="315">
        <v>-700.0</v>
      </c>
      <c r="P213" s="204"/>
      <c r="Q213" s="201">
        <f t="shared" si="39"/>
        <v>-700</v>
      </c>
      <c r="R213" s="205"/>
    </row>
    <row r="214">
      <c r="B214" s="183"/>
      <c r="C214" s="318">
        <v>45752.0</v>
      </c>
      <c r="D214" s="319"/>
      <c r="E214" s="182"/>
      <c r="F214" s="182"/>
      <c r="G214" s="170"/>
      <c r="H214" s="170"/>
      <c r="I214" s="182"/>
      <c r="J214" s="182"/>
      <c r="K214" s="90">
        <f t="shared" si="38"/>
        <v>0</v>
      </c>
      <c r="L214" s="182"/>
      <c r="M214" s="182"/>
      <c r="N214" s="182"/>
      <c r="O214" s="338"/>
      <c r="P214" s="182"/>
      <c r="Q214" s="88">
        <f t="shared" si="39"/>
        <v>-700</v>
      </c>
      <c r="R214" s="183"/>
    </row>
    <row r="215">
      <c r="B215" s="248"/>
      <c r="C215" s="313">
        <v>45783.0</v>
      </c>
      <c r="D215" s="314">
        <v>1.0</v>
      </c>
      <c r="E215" s="251">
        <v>2300.0</v>
      </c>
      <c r="F215" s="251">
        <v>400.0</v>
      </c>
      <c r="G215" s="191"/>
      <c r="H215" s="191"/>
      <c r="I215" s="251"/>
      <c r="J215" s="251">
        <v>1000.0</v>
      </c>
      <c r="K215" s="69">
        <f t="shared" si="38"/>
        <v>0</v>
      </c>
      <c r="L215" s="251"/>
      <c r="M215" s="251"/>
      <c r="N215" s="204">
        <v>1300.0</v>
      </c>
      <c r="O215" s="315">
        <v>-700.0</v>
      </c>
      <c r="P215" s="195">
        <v>400.0</v>
      </c>
      <c r="Q215" s="201">
        <f t="shared" si="39"/>
        <v>300</v>
      </c>
      <c r="R215" s="205" t="s">
        <v>43</v>
      </c>
      <c r="V215" s="174"/>
      <c r="W215" s="367"/>
    </row>
    <row r="216">
      <c r="B216" s="248"/>
      <c r="C216" s="313">
        <v>45815.0</v>
      </c>
      <c r="D216" s="314">
        <v>1.0</v>
      </c>
      <c r="E216" s="251">
        <v>2800.0</v>
      </c>
      <c r="F216" s="251"/>
      <c r="G216" s="191"/>
      <c r="H216" s="191"/>
      <c r="I216" s="251"/>
      <c r="J216" s="251">
        <v>1000.0</v>
      </c>
      <c r="K216" s="69">
        <f t="shared" si="38"/>
        <v>0</v>
      </c>
      <c r="L216" s="251"/>
      <c r="M216" s="450">
        <v>1800.0</v>
      </c>
      <c r="N216" s="204"/>
      <c r="O216" s="315">
        <v>-700.0</v>
      </c>
      <c r="P216" s="195"/>
      <c r="Q216" s="201">
        <f>Q215+N216+O216+P21544</f>
        <v>-400</v>
      </c>
      <c r="R216" s="205"/>
    </row>
    <row r="217">
      <c r="B217" s="248"/>
      <c r="C217" s="313">
        <v>45846.0</v>
      </c>
      <c r="D217" s="314">
        <v>1.0</v>
      </c>
      <c r="E217" s="251">
        <v>2300.0</v>
      </c>
      <c r="F217" s="251">
        <v>350.0</v>
      </c>
      <c r="G217" s="191"/>
      <c r="H217" s="191"/>
      <c r="I217" s="251"/>
      <c r="J217" s="251">
        <v>1225.0</v>
      </c>
      <c r="K217" s="69">
        <f t="shared" si="38"/>
        <v>0</v>
      </c>
      <c r="L217" s="251"/>
      <c r="M217" s="251"/>
      <c r="N217" s="204">
        <v>1425.0</v>
      </c>
      <c r="O217" s="315">
        <v>-700.0</v>
      </c>
      <c r="P217" s="195"/>
      <c r="Q217" s="201">
        <f t="shared" ref="Q217:Q234" si="40">Q216+N217+O217+P217</f>
        <v>325</v>
      </c>
      <c r="R217" s="205"/>
      <c r="V217" s="174">
        <v>1127.0</v>
      </c>
      <c r="W217" s="367">
        <f>Q230</f>
        <v>0</v>
      </c>
    </row>
    <row r="218">
      <c r="B218" s="183"/>
      <c r="C218" s="318">
        <v>45881.0</v>
      </c>
      <c r="D218" s="319"/>
      <c r="E218" s="182"/>
      <c r="F218" s="182"/>
      <c r="G218" s="170"/>
      <c r="H218" s="170"/>
      <c r="I218" s="182"/>
      <c r="J218" s="182"/>
      <c r="K218" s="90">
        <f t="shared" si="38"/>
        <v>0</v>
      </c>
      <c r="L218" s="182"/>
      <c r="M218" s="182"/>
      <c r="N218" s="182"/>
      <c r="O218" s="338"/>
      <c r="P218" s="170"/>
      <c r="Q218" s="88">
        <f t="shared" si="40"/>
        <v>325</v>
      </c>
      <c r="R218" s="183"/>
      <c r="V218" s="174">
        <v>1230.0</v>
      </c>
      <c r="W218" s="367">
        <f>'1230'!Q272</f>
        <v>0</v>
      </c>
    </row>
    <row r="219">
      <c r="B219" s="248"/>
      <c r="C219" s="313">
        <v>46005.0</v>
      </c>
      <c r="D219" s="314">
        <v>2.0</v>
      </c>
      <c r="E219" s="251">
        <v>5000.0</v>
      </c>
      <c r="F219" s="251"/>
      <c r="G219" s="191"/>
      <c r="H219" s="191"/>
      <c r="I219" s="251"/>
      <c r="J219" s="251">
        <v>1500.0</v>
      </c>
      <c r="K219" s="69">
        <f t="shared" si="38"/>
        <v>0</v>
      </c>
      <c r="L219" s="251"/>
      <c r="M219" s="251"/>
      <c r="N219" s="204">
        <v>3500.0</v>
      </c>
      <c r="O219" s="315">
        <v>-700.0</v>
      </c>
      <c r="P219" s="195"/>
      <c r="Q219" s="201">
        <f t="shared" si="40"/>
        <v>3125</v>
      </c>
      <c r="R219" s="205"/>
      <c r="V219" s="174">
        <v>828.0</v>
      </c>
      <c r="W219" s="367">
        <f>'828'!Q232</f>
        <v>0.001999999999</v>
      </c>
    </row>
    <row r="220">
      <c r="B220" s="183"/>
      <c r="C220" s="319" t="s">
        <v>101</v>
      </c>
      <c r="D220" s="319"/>
      <c r="E220" s="182"/>
      <c r="F220" s="182"/>
      <c r="G220" s="170"/>
      <c r="H220" s="170"/>
      <c r="I220" s="182"/>
      <c r="J220" s="182"/>
      <c r="K220" s="90">
        <f t="shared" si="38"/>
        <v>0</v>
      </c>
      <c r="L220" s="182"/>
      <c r="M220" s="182"/>
      <c r="N220" s="182"/>
      <c r="O220" s="338"/>
      <c r="P220" s="170"/>
      <c r="Q220" s="88">
        <f t="shared" si="40"/>
        <v>3125</v>
      </c>
      <c r="R220" s="183"/>
      <c r="V220" s="174">
        <v>1228.0</v>
      </c>
      <c r="W220" s="367">
        <f>'1228'!Q224</f>
        <v>3700</v>
      </c>
    </row>
    <row r="221">
      <c r="B221" s="248"/>
      <c r="C221" s="314" t="s">
        <v>247</v>
      </c>
      <c r="D221" s="314">
        <v>3.0</v>
      </c>
      <c r="E221" s="251">
        <v>5400.0</v>
      </c>
      <c r="F221" s="251"/>
      <c r="G221" s="191"/>
      <c r="H221" s="191"/>
      <c r="I221" s="251"/>
      <c r="J221" s="251"/>
      <c r="K221" s="69">
        <f t="shared" si="38"/>
        <v>0</v>
      </c>
      <c r="L221" s="251"/>
      <c r="M221" s="251">
        <v>5400.0</v>
      </c>
      <c r="N221" s="204"/>
      <c r="O221" s="315">
        <v>-700.0</v>
      </c>
      <c r="P221" s="204"/>
      <c r="Q221" s="201">
        <f t="shared" si="40"/>
        <v>2425</v>
      </c>
      <c r="R221" s="205"/>
      <c r="V221" s="174" t="s">
        <v>248</v>
      </c>
      <c r="W221" s="174">
        <v>-7500.0</v>
      </c>
    </row>
    <row r="222">
      <c r="B222" s="248"/>
      <c r="C222" s="314" t="s">
        <v>34</v>
      </c>
      <c r="D222" s="314">
        <v>1.0</v>
      </c>
      <c r="E222" s="251">
        <v>2200.0</v>
      </c>
      <c r="F222" s="251"/>
      <c r="G222" s="191"/>
      <c r="H222" s="191"/>
      <c r="I222" s="251"/>
      <c r="J222" s="251">
        <v>1000.0</v>
      </c>
      <c r="K222" s="69">
        <f t="shared" si="38"/>
        <v>0</v>
      </c>
      <c r="L222" s="251"/>
      <c r="M222" s="450">
        <v>1200.0</v>
      </c>
      <c r="N222" s="204"/>
      <c r="O222" s="315">
        <v>-700.0</v>
      </c>
      <c r="P222" s="204"/>
      <c r="Q222" s="201">
        <f t="shared" si="40"/>
        <v>1725</v>
      </c>
      <c r="R222" s="205"/>
      <c r="V222" s="413" t="s">
        <v>66</v>
      </c>
      <c r="W222" s="414">
        <f>sum(W217:W221)</f>
        <v>-3799.998</v>
      </c>
    </row>
    <row r="223">
      <c r="B223" s="248"/>
      <c r="C223" s="314" t="s">
        <v>69</v>
      </c>
      <c r="D223" s="314">
        <v>1.0</v>
      </c>
      <c r="E223" s="251">
        <v>2800.0</v>
      </c>
      <c r="F223" s="251"/>
      <c r="G223" s="191"/>
      <c r="H223" s="191"/>
      <c r="I223" s="251"/>
      <c r="J223" s="251">
        <v>1000.0</v>
      </c>
      <c r="K223" s="69">
        <f t="shared" si="38"/>
        <v>0</v>
      </c>
      <c r="L223" s="251"/>
      <c r="M223" s="251"/>
      <c r="N223" s="204">
        <v>1800.0</v>
      </c>
      <c r="O223" s="315">
        <v>-700.0</v>
      </c>
      <c r="P223" s="204"/>
      <c r="Q223" s="201">
        <f t="shared" si="40"/>
        <v>2825</v>
      </c>
      <c r="R223" s="205"/>
    </row>
    <row r="224">
      <c r="B224" s="183"/>
      <c r="C224" s="319" t="s">
        <v>68</v>
      </c>
      <c r="D224" s="319"/>
      <c r="E224" s="182"/>
      <c r="F224" s="182"/>
      <c r="G224" s="170"/>
      <c r="H224" s="170"/>
      <c r="I224" s="182"/>
      <c r="J224" s="182"/>
      <c r="K224" s="90">
        <f t="shared" si="38"/>
        <v>0</v>
      </c>
      <c r="L224" s="182"/>
      <c r="M224" s="182"/>
      <c r="N224" s="182"/>
      <c r="O224" s="338"/>
      <c r="P224" s="182"/>
      <c r="Q224" s="88">
        <f t="shared" si="40"/>
        <v>2825</v>
      </c>
      <c r="R224" s="183"/>
    </row>
    <row r="225">
      <c r="B225" s="248"/>
      <c r="C225" s="314" t="s">
        <v>70</v>
      </c>
      <c r="D225" s="314">
        <v>2.0</v>
      </c>
      <c r="E225" s="251">
        <v>4000.0</v>
      </c>
      <c r="F225" s="251"/>
      <c r="G225" s="191"/>
      <c r="H225" s="191"/>
      <c r="I225" s="251"/>
      <c r="J225" s="251">
        <v>1500.0</v>
      </c>
      <c r="K225" s="69">
        <f t="shared" si="38"/>
        <v>0</v>
      </c>
      <c r="L225" s="251"/>
      <c r="M225" s="251"/>
      <c r="N225" s="204">
        <v>2500.0</v>
      </c>
      <c r="O225" s="315">
        <v>-700.0</v>
      </c>
      <c r="P225" s="204"/>
      <c r="Q225" s="201">
        <f t="shared" si="40"/>
        <v>4625</v>
      </c>
      <c r="R225" s="205"/>
    </row>
    <row r="226">
      <c r="B226" s="81"/>
      <c r="C226" s="319" t="s">
        <v>252</v>
      </c>
      <c r="D226" s="169"/>
      <c r="E226" s="170"/>
      <c r="F226" s="182">
        <v>800.0</v>
      </c>
      <c r="G226" s="170"/>
      <c r="H226" s="170"/>
      <c r="I226" s="170"/>
      <c r="J226" s="170"/>
      <c r="K226" s="90"/>
      <c r="L226" s="170"/>
      <c r="M226" s="170"/>
      <c r="N226" s="170"/>
      <c r="O226" s="180"/>
      <c r="P226" s="453">
        <v>800.0</v>
      </c>
      <c r="Q226" s="88">
        <f t="shared" si="40"/>
        <v>5425</v>
      </c>
      <c r="R226" s="183" t="s">
        <v>254</v>
      </c>
    </row>
    <row r="227">
      <c r="B227" s="68"/>
      <c r="C227" s="314" t="s">
        <v>72</v>
      </c>
      <c r="D227" s="314">
        <v>1.0</v>
      </c>
      <c r="E227" s="191"/>
      <c r="F227" s="191"/>
      <c r="G227" s="191"/>
      <c r="H227" s="191"/>
      <c r="I227" s="191"/>
      <c r="J227" s="191"/>
      <c r="K227" s="69"/>
      <c r="L227" s="191"/>
      <c r="M227" s="191"/>
      <c r="N227" s="195"/>
      <c r="O227" s="197"/>
      <c r="P227" s="324">
        <v>-500.0</v>
      </c>
      <c r="Q227" s="201">
        <f t="shared" si="40"/>
        <v>4925</v>
      </c>
      <c r="R227" s="205" t="s">
        <v>85</v>
      </c>
      <c r="T227" s="205" t="s">
        <v>218</v>
      </c>
      <c r="U227" s="324">
        <v>6308.71</v>
      </c>
    </row>
    <row r="228">
      <c r="B228" s="68"/>
      <c r="C228" s="188"/>
      <c r="D228" s="188"/>
      <c r="E228" s="191"/>
      <c r="F228" s="191"/>
      <c r="G228" s="191"/>
      <c r="H228" s="191"/>
      <c r="I228" s="191"/>
      <c r="J228" s="191"/>
      <c r="K228" s="69"/>
      <c r="L228" s="191"/>
      <c r="M228" s="191"/>
      <c r="N228" s="195"/>
      <c r="O228" s="197"/>
      <c r="P228" s="324">
        <v>-100.0</v>
      </c>
      <c r="Q228" s="201">
        <f t="shared" si="40"/>
        <v>4825</v>
      </c>
      <c r="R228" s="205" t="s">
        <v>92</v>
      </c>
      <c r="T228" s="174" t="s">
        <v>55</v>
      </c>
    </row>
    <row r="229">
      <c r="B229" s="68"/>
      <c r="C229" s="188"/>
      <c r="D229" s="188"/>
      <c r="E229" s="191"/>
      <c r="F229" s="191"/>
      <c r="G229" s="191"/>
      <c r="H229" s="191"/>
      <c r="I229" s="191"/>
      <c r="J229" s="191"/>
      <c r="K229" s="69"/>
      <c r="L229" s="191"/>
      <c r="M229" s="191"/>
      <c r="N229" s="195"/>
      <c r="O229" s="197"/>
      <c r="P229" s="324">
        <v>-4825.0</v>
      </c>
      <c r="Q229" s="201">
        <f t="shared" si="40"/>
        <v>0</v>
      </c>
      <c r="R229" s="205"/>
      <c r="T229" s="174"/>
    </row>
    <row r="230">
      <c r="B230" s="325" t="s">
        <v>179</v>
      </c>
      <c r="C230" s="288" t="s">
        <v>66</v>
      </c>
      <c r="D230" s="290">
        <f t="shared" ref="D230:O230" si="41">sum(D212:D228)</f>
        <v>15</v>
      </c>
      <c r="E230" s="291">
        <f t="shared" si="41"/>
        <v>30400</v>
      </c>
      <c r="F230" s="291">
        <f t="shared" si="41"/>
        <v>1550</v>
      </c>
      <c r="G230" s="291">
        <f t="shared" si="41"/>
        <v>0</v>
      </c>
      <c r="H230" s="291">
        <f t="shared" si="41"/>
        <v>0</v>
      </c>
      <c r="I230" s="291">
        <f t="shared" si="41"/>
        <v>0</v>
      </c>
      <c r="J230" s="291">
        <f t="shared" si="41"/>
        <v>9225</v>
      </c>
      <c r="K230" s="291">
        <f t="shared" si="41"/>
        <v>0</v>
      </c>
      <c r="L230" s="291">
        <f t="shared" si="41"/>
        <v>0</v>
      </c>
      <c r="M230" s="291">
        <f t="shared" si="41"/>
        <v>11000</v>
      </c>
      <c r="N230" s="291">
        <f t="shared" si="41"/>
        <v>10525</v>
      </c>
      <c r="O230" s="291">
        <f t="shared" si="41"/>
        <v>-6300</v>
      </c>
      <c r="P230" s="466">
        <f>sum(P212:P229)</f>
        <v>-4225</v>
      </c>
      <c r="Q230" s="292">
        <f t="shared" si="40"/>
        <v>0</v>
      </c>
      <c r="R230" s="293"/>
    </row>
    <row r="231">
      <c r="B231" s="248" t="s">
        <v>186</v>
      </c>
      <c r="C231" s="468">
        <v>46056.0</v>
      </c>
      <c r="D231" s="314">
        <v>1.0</v>
      </c>
      <c r="E231" s="251">
        <v>2000.0</v>
      </c>
      <c r="F231" s="251">
        <v>400.0</v>
      </c>
      <c r="G231" s="191"/>
      <c r="H231" s="191"/>
      <c r="I231" s="251"/>
      <c r="J231" s="251">
        <v>1000.0</v>
      </c>
      <c r="K231" s="69">
        <f t="shared" ref="K231:K245" si="42">E231-J231-L231-M231-N231-I231+F231-P231</f>
        <v>0</v>
      </c>
      <c r="L231" s="251"/>
      <c r="M231" s="251">
        <v>1400.0</v>
      </c>
      <c r="N231" s="204"/>
      <c r="O231" s="315">
        <v>-700.0</v>
      </c>
      <c r="P231" s="204"/>
      <c r="Q231" s="201">
        <f t="shared" si="40"/>
        <v>-700</v>
      </c>
      <c r="R231" s="205"/>
    </row>
    <row r="232">
      <c r="B232" s="248"/>
      <c r="C232" s="313">
        <v>45721.0</v>
      </c>
      <c r="D232" s="314">
        <v>2.0</v>
      </c>
      <c r="E232" s="251">
        <v>5100.0</v>
      </c>
      <c r="F232" s="251">
        <v>400.0</v>
      </c>
      <c r="G232" s="191"/>
      <c r="H232" s="191"/>
      <c r="I232" s="251"/>
      <c r="J232" s="251">
        <v>1500.0</v>
      </c>
      <c r="K232" s="69">
        <f t="shared" si="42"/>
        <v>0</v>
      </c>
      <c r="L232" s="251"/>
      <c r="M232" s="251"/>
      <c r="N232" s="204">
        <v>3600.0</v>
      </c>
      <c r="O232" s="315">
        <v>-700.0</v>
      </c>
      <c r="P232" s="204">
        <v>400.0</v>
      </c>
      <c r="Q232" s="201">
        <f t="shared" si="40"/>
        <v>2600</v>
      </c>
      <c r="R232" s="205" t="s">
        <v>43</v>
      </c>
    </row>
    <row r="233">
      <c r="B233" s="183"/>
      <c r="C233" s="318">
        <v>45783.0</v>
      </c>
      <c r="D233" s="319"/>
      <c r="E233" s="182"/>
      <c r="F233" s="182">
        <v>400.0</v>
      </c>
      <c r="G233" s="170"/>
      <c r="H233" s="170"/>
      <c r="I233" s="182"/>
      <c r="J233" s="182"/>
      <c r="K233" s="90">
        <f t="shared" si="42"/>
        <v>0</v>
      </c>
      <c r="L233" s="182"/>
      <c r="M233" s="182"/>
      <c r="N233" s="182"/>
      <c r="O233" s="338"/>
      <c r="P233" s="182">
        <v>400.0</v>
      </c>
      <c r="Q233" s="88">
        <f t="shared" si="40"/>
        <v>3000</v>
      </c>
      <c r="R233" s="183" t="s">
        <v>258</v>
      </c>
    </row>
    <row r="234">
      <c r="B234" s="248"/>
      <c r="C234" s="313">
        <v>45816.0</v>
      </c>
      <c r="D234" s="314">
        <v>2.0</v>
      </c>
      <c r="E234" s="251">
        <v>4800.0</v>
      </c>
      <c r="F234" s="251">
        <v>400.0</v>
      </c>
      <c r="G234" s="191"/>
      <c r="H234" s="191"/>
      <c r="I234" s="251"/>
      <c r="J234" s="251">
        <v>1500.0</v>
      </c>
      <c r="K234" s="69">
        <f t="shared" si="42"/>
        <v>0</v>
      </c>
      <c r="L234" s="251"/>
      <c r="M234" s="251"/>
      <c r="N234" s="204">
        <v>3300.0</v>
      </c>
      <c r="O234" s="315">
        <v>-700.0</v>
      </c>
      <c r="P234" s="204">
        <v>400.0</v>
      </c>
      <c r="Q234" s="201">
        <f t="shared" si="40"/>
        <v>6000</v>
      </c>
      <c r="R234" s="205" t="s">
        <v>43</v>
      </c>
      <c r="V234" s="174"/>
      <c r="W234" s="367"/>
    </row>
    <row r="235">
      <c r="B235" s="183"/>
      <c r="C235" s="318">
        <v>45880.0</v>
      </c>
      <c r="D235" s="319"/>
      <c r="E235" s="182"/>
      <c r="F235" s="182"/>
      <c r="G235" s="170"/>
      <c r="H235" s="170"/>
      <c r="I235" s="182"/>
      <c r="J235" s="182"/>
      <c r="K235" s="90">
        <f t="shared" si="42"/>
        <v>0</v>
      </c>
      <c r="L235" s="182"/>
      <c r="M235" s="182"/>
      <c r="N235" s="182"/>
      <c r="O235" s="338"/>
      <c r="P235" s="170"/>
      <c r="Q235" s="88">
        <f>Q234+N235+O235+P21564</f>
        <v>6000</v>
      </c>
      <c r="R235" s="183"/>
      <c r="V235" s="174"/>
    </row>
    <row r="236">
      <c r="B236" s="248"/>
      <c r="C236" s="313">
        <v>45973.0</v>
      </c>
      <c r="D236" s="314">
        <v>1.0</v>
      </c>
      <c r="E236" s="251">
        <v>2800.0</v>
      </c>
      <c r="F236" s="251">
        <v>400.0</v>
      </c>
      <c r="G236" s="191"/>
      <c r="H236" s="191"/>
      <c r="I236" s="251"/>
      <c r="J236" s="251">
        <v>1175.0</v>
      </c>
      <c r="K236" s="69">
        <f t="shared" si="42"/>
        <v>0</v>
      </c>
      <c r="L236" s="251"/>
      <c r="M236" s="251"/>
      <c r="N236" s="204">
        <v>2025.0</v>
      </c>
      <c r="O236" s="315">
        <v>-700.0</v>
      </c>
      <c r="P236" s="195"/>
      <c r="Q236" s="201">
        <f t="shared" ref="Q236:Q247" si="43">Q235+N236+O236+P236</f>
        <v>7325</v>
      </c>
      <c r="R236" s="205"/>
      <c r="V236" s="174">
        <v>1127.0</v>
      </c>
      <c r="W236" s="367">
        <f>Q248</f>
        <v>2717.33</v>
      </c>
    </row>
    <row r="237">
      <c r="B237" s="183"/>
      <c r="C237" s="318">
        <v>46009.0</v>
      </c>
      <c r="D237" s="319"/>
      <c r="E237" s="182"/>
      <c r="F237" s="182"/>
      <c r="G237" s="170"/>
      <c r="H237" s="170"/>
      <c r="I237" s="182"/>
      <c r="J237" s="182"/>
      <c r="K237" s="90">
        <f t="shared" si="42"/>
        <v>0</v>
      </c>
      <c r="L237" s="182"/>
      <c r="M237" s="182"/>
      <c r="N237" s="182"/>
      <c r="O237" s="338"/>
      <c r="P237" s="170"/>
      <c r="Q237" s="88">
        <f t="shared" si="43"/>
        <v>7325</v>
      </c>
      <c r="R237" s="183"/>
      <c r="V237" s="174">
        <v>1230.0</v>
      </c>
      <c r="W237" s="367">
        <f>'1230'!Q292</f>
        <v>-3225</v>
      </c>
    </row>
    <row r="238">
      <c r="B238" s="248"/>
      <c r="C238" s="314" t="s">
        <v>33</v>
      </c>
      <c r="D238" s="314">
        <v>1.0</v>
      </c>
      <c r="E238" s="251">
        <v>2800.0</v>
      </c>
      <c r="F238" s="251">
        <v>400.0</v>
      </c>
      <c r="G238" s="191"/>
      <c r="H238" s="191"/>
      <c r="I238" s="251"/>
      <c r="J238" s="251">
        <v>1000.0</v>
      </c>
      <c r="K238" s="69">
        <f t="shared" si="42"/>
        <v>0</v>
      </c>
      <c r="L238" s="251"/>
      <c r="M238" s="251"/>
      <c r="N238" s="204">
        <v>1800.0</v>
      </c>
      <c r="O238" s="315">
        <v>-700.0</v>
      </c>
      <c r="P238" s="204">
        <v>400.0</v>
      </c>
      <c r="Q238" s="201">
        <f t="shared" si="43"/>
        <v>8825</v>
      </c>
      <c r="R238" s="205" t="s">
        <v>43</v>
      </c>
      <c r="V238" s="174">
        <v>828.0</v>
      </c>
      <c r="W238" s="367">
        <f>'828'!Q272</f>
        <v>2832.442</v>
      </c>
    </row>
    <row r="239">
      <c r="B239" s="183"/>
      <c r="C239" s="319" t="s">
        <v>64</v>
      </c>
      <c r="D239" s="319"/>
      <c r="E239" s="182"/>
      <c r="F239" s="182"/>
      <c r="G239" s="170"/>
      <c r="H239" s="170"/>
      <c r="I239" s="182"/>
      <c r="J239" s="182"/>
      <c r="K239" s="90">
        <f t="shared" si="42"/>
        <v>0</v>
      </c>
      <c r="L239" s="182"/>
      <c r="M239" s="182"/>
      <c r="N239" s="182"/>
      <c r="O239" s="338"/>
      <c r="P239" s="170"/>
      <c r="Q239" s="88">
        <f t="shared" si="43"/>
        <v>8825</v>
      </c>
      <c r="R239" s="183"/>
      <c r="V239" s="174">
        <v>1228.0</v>
      </c>
      <c r="W239" s="206" t="str">
        <f>#REF!</f>
        <v>#REF!</v>
      </c>
    </row>
    <row r="240">
      <c r="B240" s="248"/>
      <c r="C240" s="474" t="s">
        <v>78</v>
      </c>
      <c r="D240" s="314">
        <v>2.0</v>
      </c>
      <c r="E240" s="251">
        <v>3800.0</v>
      </c>
      <c r="F240" s="251">
        <v>900.0</v>
      </c>
      <c r="G240" s="191"/>
      <c r="H240" s="251" t="s">
        <v>261</v>
      </c>
      <c r="I240" s="251"/>
      <c r="J240" s="251">
        <v>1950.0</v>
      </c>
      <c r="K240" s="69">
        <f t="shared" si="42"/>
        <v>0</v>
      </c>
      <c r="L240" s="251"/>
      <c r="M240" s="450"/>
      <c r="N240" s="204">
        <v>2750.0</v>
      </c>
      <c r="O240" s="315">
        <v>-700.0</v>
      </c>
      <c r="P240" s="204"/>
      <c r="Q240" s="201">
        <f t="shared" si="43"/>
        <v>10875</v>
      </c>
      <c r="R240" s="205"/>
      <c r="V240" s="174" t="s">
        <v>248</v>
      </c>
      <c r="W240" s="174">
        <v>-7500.0</v>
      </c>
    </row>
    <row r="241">
      <c r="B241" s="183"/>
      <c r="C241" s="319" t="s">
        <v>108</v>
      </c>
      <c r="D241" s="319"/>
      <c r="E241" s="182"/>
      <c r="F241" s="182"/>
      <c r="G241" s="170"/>
      <c r="H241" s="170"/>
      <c r="I241" s="182"/>
      <c r="J241" s="182"/>
      <c r="K241" s="90">
        <f t="shared" si="42"/>
        <v>0</v>
      </c>
      <c r="L241" s="182"/>
      <c r="M241" s="182"/>
      <c r="N241" s="182"/>
      <c r="O241" s="338"/>
      <c r="P241" s="182"/>
      <c r="Q241" s="88">
        <f t="shared" si="43"/>
        <v>10875</v>
      </c>
      <c r="R241" s="183"/>
      <c r="V241" s="206" t="s">
        <v>66</v>
      </c>
      <c r="W241" s="206" t="str">
        <f>sum(W236:W240)</f>
        <v>#REF!</v>
      </c>
    </row>
    <row r="242">
      <c r="B242" s="248"/>
      <c r="C242" s="314" t="s">
        <v>45</v>
      </c>
      <c r="D242" s="314">
        <v>1.0</v>
      </c>
      <c r="E242" s="251">
        <v>2800.0</v>
      </c>
      <c r="F242" s="251"/>
      <c r="G242" s="191"/>
      <c r="H242" s="191"/>
      <c r="I242" s="251"/>
      <c r="J242" s="251">
        <v>1000.0</v>
      </c>
      <c r="K242" s="69">
        <f t="shared" si="42"/>
        <v>0</v>
      </c>
      <c r="L242" s="251"/>
      <c r="M242" s="251">
        <v>1800.0</v>
      </c>
      <c r="N242" s="204"/>
      <c r="O242" s="315">
        <v>-700.0</v>
      </c>
      <c r="P242" s="204"/>
      <c r="Q242" s="201">
        <f t="shared" si="43"/>
        <v>10175</v>
      </c>
      <c r="R242" s="205"/>
    </row>
    <row r="243">
      <c r="B243" s="183"/>
      <c r="C243" s="319" t="s">
        <v>199</v>
      </c>
      <c r="D243" s="319"/>
      <c r="E243" s="182"/>
      <c r="F243" s="182"/>
      <c r="G243" s="170"/>
      <c r="H243" s="170"/>
      <c r="I243" s="182"/>
      <c r="J243" s="182"/>
      <c r="K243" s="90">
        <f t="shared" si="42"/>
        <v>0</v>
      </c>
      <c r="L243" s="182"/>
      <c r="M243" s="182"/>
      <c r="N243" s="182"/>
      <c r="O243" s="338"/>
      <c r="P243" s="182"/>
      <c r="Q243" s="88">
        <f t="shared" si="43"/>
        <v>10175</v>
      </c>
      <c r="R243" s="183"/>
    </row>
    <row r="244">
      <c r="B244" s="248"/>
      <c r="C244" s="314" t="s">
        <v>137</v>
      </c>
      <c r="D244" s="314">
        <v>2.0</v>
      </c>
      <c r="E244" s="251">
        <v>3700.0</v>
      </c>
      <c r="F244" s="251"/>
      <c r="G244" s="191"/>
      <c r="H244" s="251" t="s">
        <v>262</v>
      </c>
      <c r="I244" s="251"/>
      <c r="J244" s="251">
        <v>1500.0</v>
      </c>
      <c r="K244" s="69">
        <f t="shared" si="42"/>
        <v>0</v>
      </c>
      <c r="L244" s="251"/>
      <c r="M244" s="478">
        <v>2200.0</v>
      </c>
      <c r="N244" s="204"/>
      <c r="O244" s="315">
        <v>-700.0</v>
      </c>
      <c r="P244" s="204"/>
      <c r="Q244" s="201">
        <f t="shared" si="43"/>
        <v>9475</v>
      </c>
      <c r="R244" s="205"/>
    </row>
    <row r="245">
      <c r="B245" s="248"/>
      <c r="C245" s="314" t="s">
        <v>89</v>
      </c>
      <c r="D245" s="314">
        <v>2.0</v>
      </c>
      <c r="E245" s="251">
        <v>5300.0</v>
      </c>
      <c r="F245" s="251">
        <v>400.0</v>
      </c>
      <c r="G245" s="191"/>
      <c r="H245" s="251" t="s">
        <v>264</v>
      </c>
      <c r="I245" s="251"/>
      <c r="J245" s="251">
        <v>1500.0</v>
      </c>
      <c r="K245" s="69">
        <f t="shared" si="42"/>
        <v>0</v>
      </c>
      <c r="L245" s="251">
        <v>3800.0</v>
      </c>
      <c r="M245" s="251">
        <v>400.0</v>
      </c>
      <c r="N245" s="204"/>
      <c r="O245" s="315">
        <v>-700.0</v>
      </c>
      <c r="P245" s="204"/>
      <c r="Q245" s="201">
        <f t="shared" si="43"/>
        <v>8775</v>
      </c>
      <c r="R245" s="205"/>
    </row>
    <row r="246">
      <c r="B246" s="68"/>
      <c r="C246" s="314"/>
      <c r="D246" s="314"/>
      <c r="E246" s="191"/>
      <c r="F246" s="191"/>
      <c r="G246" s="191"/>
      <c r="H246" s="191"/>
      <c r="I246" s="191"/>
      <c r="J246" s="191"/>
      <c r="K246" s="69"/>
      <c r="L246" s="191"/>
      <c r="M246" s="191"/>
      <c r="N246" s="195"/>
      <c r="O246" s="197"/>
      <c r="P246" s="324">
        <v>-5957.67</v>
      </c>
      <c r="Q246" s="201">
        <f t="shared" si="43"/>
        <v>2817.33</v>
      </c>
      <c r="R246" s="205" t="s">
        <v>266</v>
      </c>
      <c r="T246" s="205" t="s">
        <v>218</v>
      </c>
      <c r="U246" s="324">
        <v>6308.71</v>
      </c>
    </row>
    <row r="247">
      <c r="B247" s="68"/>
      <c r="C247" s="188"/>
      <c r="D247" s="188"/>
      <c r="E247" s="191"/>
      <c r="F247" s="191"/>
      <c r="G247" s="191"/>
      <c r="H247" s="191"/>
      <c r="I247" s="191"/>
      <c r="J247" s="191"/>
      <c r="K247" s="69"/>
      <c r="L247" s="191"/>
      <c r="M247" s="191"/>
      <c r="N247" s="195"/>
      <c r="O247" s="197"/>
      <c r="P247" s="324">
        <v>-100.0</v>
      </c>
      <c r="Q247" s="201">
        <f t="shared" si="43"/>
        <v>2717.33</v>
      </c>
      <c r="R247" s="205" t="s">
        <v>267</v>
      </c>
      <c r="T247" s="174" t="s">
        <v>55</v>
      </c>
    </row>
    <row r="248">
      <c r="B248" s="325" t="s">
        <v>186</v>
      </c>
      <c r="C248" s="288" t="s">
        <v>66</v>
      </c>
      <c r="D248" s="290">
        <f t="shared" ref="D248:P248" si="44">sum(D231:D247)</f>
        <v>14</v>
      </c>
      <c r="E248" s="291">
        <f t="shared" si="44"/>
        <v>33100</v>
      </c>
      <c r="F248" s="291">
        <f t="shared" si="44"/>
        <v>3700</v>
      </c>
      <c r="G248" s="291">
        <f t="shared" si="44"/>
        <v>0</v>
      </c>
      <c r="H248" s="291">
        <f t="shared" si="44"/>
        <v>0</v>
      </c>
      <c r="I248" s="291">
        <f t="shared" si="44"/>
        <v>0</v>
      </c>
      <c r="J248" s="291">
        <f t="shared" si="44"/>
        <v>12125</v>
      </c>
      <c r="K248" s="291">
        <f t="shared" si="44"/>
        <v>0</v>
      </c>
      <c r="L248" s="291">
        <f t="shared" si="44"/>
        <v>3800</v>
      </c>
      <c r="M248" s="291">
        <f t="shared" si="44"/>
        <v>5800</v>
      </c>
      <c r="N248" s="291">
        <f t="shared" si="44"/>
        <v>13475</v>
      </c>
      <c r="O248" s="291">
        <f t="shared" si="44"/>
        <v>-6300</v>
      </c>
      <c r="P248" s="479">
        <f t="shared" si="44"/>
        <v>-4457.67</v>
      </c>
      <c r="Q248" s="292">
        <f>Q247</f>
        <v>2717.33</v>
      </c>
      <c r="R248" s="293"/>
    </row>
    <row r="249">
      <c r="B249" s="183" t="s">
        <v>214</v>
      </c>
      <c r="C249" s="318">
        <v>45693.0</v>
      </c>
      <c r="D249" s="319"/>
      <c r="E249" s="182">
        <v>1000.0</v>
      </c>
      <c r="F249" s="182"/>
      <c r="G249" s="170"/>
      <c r="H249" s="182" t="s">
        <v>270</v>
      </c>
      <c r="I249" s="182"/>
      <c r="J249" s="182"/>
      <c r="K249" s="90">
        <f t="shared" ref="K249:K267" si="45">E249-J249-L249-M249-N249-I249+F249-P249</f>
        <v>0</v>
      </c>
      <c r="L249" s="182"/>
      <c r="M249" s="182">
        <v>1000.0</v>
      </c>
      <c r="N249" s="182"/>
      <c r="O249" s="338"/>
      <c r="P249" s="182"/>
      <c r="Q249" s="88">
        <f t="shared" ref="Q249:Q252" si="46">Q248+N249+O249+P249</f>
        <v>2717.33</v>
      </c>
      <c r="R249" s="183"/>
    </row>
    <row r="250">
      <c r="B250" s="183"/>
      <c r="C250" s="318">
        <v>45783.0</v>
      </c>
      <c r="D250" s="319"/>
      <c r="E250" s="182">
        <v>1000.0</v>
      </c>
      <c r="F250" s="182"/>
      <c r="G250" s="182" t="s">
        <v>81</v>
      </c>
      <c r="H250" s="182"/>
      <c r="I250" s="182"/>
      <c r="J250" s="182">
        <v>1000.0</v>
      </c>
      <c r="K250" s="90">
        <f t="shared" si="45"/>
        <v>0</v>
      </c>
      <c r="L250" s="182"/>
      <c r="M250" s="182"/>
      <c r="N250" s="182"/>
      <c r="O250" s="338">
        <v>-700.0</v>
      </c>
      <c r="P250" s="182"/>
      <c r="Q250" s="88">
        <f t="shared" si="46"/>
        <v>2017.33</v>
      </c>
      <c r="R250" s="183"/>
    </row>
    <row r="251">
      <c r="B251" s="248"/>
      <c r="C251" s="313">
        <v>45815.0</v>
      </c>
      <c r="D251" s="314">
        <v>1.0</v>
      </c>
      <c r="E251" s="251">
        <f>2350+500</f>
        <v>2850</v>
      </c>
      <c r="F251" s="251"/>
      <c r="G251" s="251" t="s">
        <v>271</v>
      </c>
      <c r="H251" s="191"/>
      <c r="I251" s="251"/>
      <c r="J251" s="251">
        <v>1500.0</v>
      </c>
      <c r="K251" s="69">
        <f t="shared" si="45"/>
        <v>0</v>
      </c>
      <c r="L251" s="251"/>
      <c r="M251" s="251"/>
      <c r="N251" s="204">
        <v>1350.0</v>
      </c>
      <c r="O251" s="315">
        <v>-700.0</v>
      </c>
      <c r="P251" s="204"/>
      <c r="Q251" s="201">
        <f t="shared" si="46"/>
        <v>2667.33</v>
      </c>
      <c r="R251" s="205"/>
      <c r="V251" s="174"/>
      <c r="W251" s="367"/>
    </row>
    <row r="252">
      <c r="B252" s="248"/>
      <c r="C252" s="313">
        <v>45847.0</v>
      </c>
      <c r="D252" s="314">
        <v>2.0</v>
      </c>
      <c r="E252" s="251">
        <v>5100.0</v>
      </c>
      <c r="F252" s="251"/>
      <c r="G252" s="191"/>
      <c r="H252" s="191"/>
      <c r="I252" s="251"/>
      <c r="J252" s="251">
        <v>1500.0</v>
      </c>
      <c r="K252" s="69">
        <f t="shared" si="45"/>
        <v>0</v>
      </c>
      <c r="L252" s="251"/>
      <c r="M252" s="251">
        <v>3600.0</v>
      </c>
      <c r="N252" s="372"/>
      <c r="O252" s="315">
        <v>-700.0</v>
      </c>
      <c r="P252" s="204"/>
      <c r="Q252" s="201">
        <f t="shared" si="46"/>
        <v>1967.33</v>
      </c>
      <c r="R252" s="205"/>
      <c r="V252" s="174"/>
      <c r="W252" s="367"/>
    </row>
    <row r="253">
      <c r="B253" s="183"/>
      <c r="C253" s="318">
        <v>45912.0</v>
      </c>
      <c r="D253" s="319"/>
      <c r="E253" s="182"/>
      <c r="F253" s="182">
        <v>400.0</v>
      </c>
      <c r="G253" s="170"/>
      <c r="H253" s="170"/>
      <c r="I253" s="182"/>
      <c r="J253" s="182"/>
      <c r="K253" s="90">
        <f t="shared" si="45"/>
        <v>0</v>
      </c>
      <c r="L253" s="182"/>
      <c r="M253" s="182"/>
      <c r="N253" s="182"/>
      <c r="O253" s="338"/>
      <c r="P253" s="182">
        <v>400.0</v>
      </c>
      <c r="Q253" s="88">
        <f>Q252+N253+O253+P21584</f>
        <v>1967.33</v>
      </c>
      <c r="R253" s="183" t="s">
        <v>43</v>
      </c>
      <c r="V253" s="174"/>
    </row>
    <row r="254">
      <c r="B254" s="248"/>
      <c r="C254" s="314" t="s">
        <v>46</v>
      </c>
      <c r="D254" s="314">
        <v>1.0</v>
      </c>
      <c r="E254" s="251">
        <v>2350.0</v>
      </c>
      <c r="F254" s="251"/>
      <c r="G254" s="191"/>
      <c r="H254" s="191"/>
      <c r="I254" s="251"/>
      <c r="J254" s="251">
        <v>1000.0</v>
      </c>
      <c r="K254" s="69">
        <f t="shared" si="45"/>
        <v>0</v>
      </c>
      <c r="L254" s="251"/>
      <c r="M254" s="251"/>
      <c r="N254" s="204">
        <v>1350.0</v>
      </c>
      <c r="O254" s="315">
        <v>-700.0</v>
      </c>
      <c r="P254" s="195"/>
      <c r="Q254" s="201">
        <f t="shared" ref="Q254:Q272" si="47">Q253+N254+O254+P254</f>
        <v>2617.33</v>
      </c>
      <c r="R254" s="205"/>
      <c r="V254" s="174">
        <v>1127.0</v>
      </c>
      <c r="W254" s="367">
        <f>Q273</f>
        <v>6171.54</v>
      </c>
    </row>
    <row r="255">
      <c r="B255" s="248"/>
      <c r="C255" s="314" t="s">
        <v>29</v>
      </c>
      <c r="D255" s="314">
        <v>1.0</v>
      </c>
      <c r="E255" s="251">
        <v>2200.0</v>
      </c>
      <c r="F255" s="251"/>
      <c r="G255" s="191"/>
      <c r="H255" s="191"/>
      <c r="I255" s="251"/>
      <c r="J255" s="251">
        <v>1000.0</v>
      </c>
      <c r="K255" s="69">
        <f t="shared" si="45"/>
        <v>0</v>
      </c>
      <c r="L255" s="251"/>
      <c r="M255" s="251"/>
      <c r="N255" s="204">
        <v>1200.0</v>
      </c>
      <c r="O255" s="315">
        <v>-700.0</v>
      </c>
      <c r="P255" s="204"/>
      <c r="Q255" s="201">
        <f t="shared" si="47"/>
        <v>3117.33</v>
      </c>
      <c r="R255" s="205"/>
      <c r="V255" s="174">
        <v>1230.0</v>
      </c>
      <c r="W255" s="367">
        <f>'1230'!Q316</f>
        <v>-6676.54</v>
      </c>
    </row>
    <row r="256">
      <c r="B256" s="248"/>
      <c r="C256" s="314" t="s">
        <v>30</v>
      </c>
      <c r="D256" s="314">
        <v>1.0</v>
      </c>
      <c r="E256" s="251">
        <v>2800.0</v>
      </c>
      <c r="F256" s="251"/>
      <c r="G256" s="191"/>
      <c r="H256" s="251"/>
      <c r="I256" s="251"/>
      <c r="J256" s="251">
        <v>1000.0</v>
      </c>
      <c r="K256" s="69">
        <f t="shared" si="45"/>
        <v>0</v>
      </c>
      <c r="L256" s="251"/>
      <c r="M256" s="251">
        <v>1800.0</v>
      </c>
      <c r="N256" s="372"/>
      <c r="O256" s="315">
        <v>-700.0</v>
      </c>
      <c r="P256" s="204"/>
      <c r="Q256" s="201">
        <f t="shared" si="47"/>
        <v>2417.33</v>
      </c>
      <c r="R256" s="205"/>
      <c r="V256" s="174">
        <v>828.0</v>
      </c>
      <c r="W256" s="367">
        <f>'828'!Q304</f>
        <v>-3938.938</v>
      </c>
    </row>
    <row r="257">
      <c r="B257" s="183"/>
      <c r="C257" s="319" t="s">
        <v>31</v>
      </c>
      <c r="D257" s="319"/>
      <c r="E257" s="182"/>
      <c r="F257" s="182"/>
      <c r="G257" s="170"/>
      <c r="H257" s="170"/>
      <c r="I257" s="182"/>
      <c r="J257" s="182"/>
      <c r="K257" s="90">
        <f t="shared" si="45"/>
        <v>0</v>
      </c>
      <c r="L257" s="182"/>
      <c r="M257" s="182"/>
      <c r="N257" s="182"/>
      <c r="O257" s="338"/>
      <c r="P257" s="170"/>
      <c r="Q257" s="88">
        <f t="shared" si="47"/>
        <v>2417.33</v>
      </c>
      <c r="R257" s="183"/>
      <c r="V257" s="174">
        <v>1228.0</v>
      </c>
      <c r="W257" s="367">
        <f>'1228'!Q261</f>
        <v>3205.96</v>
      </c>
    </row>
    <row r="258">
      <c r="B258" s="248"/>
      <c r="C258" s="314" t="s">
        <v>32</v>
      </c>
      <c r="D258" s="314">
        <v>1.0</v>
      </c>
      <c r="E258" s="251">
        <v>2800.0</v>
      </c>
      <c r="F258" s="251"/>
      <c r="G258" s="191"/>
      <c r="H258" s="251" t="s">
        <v>274</v>
      </c>
      <c r="I258" s="251"/>
      <c r="J258" s="251"/>
      <c r="K258" s="69">
        <f t="shared" si="45"/>
        <v>0</v>
      </c>
      <c r="L258" s="251"/>
      <c r="M258" s="251">
        <v>2800.0</v>
      </c>
      <c r="N258" s="372"/>
      <c r="O258" s="315">
        <v>-700.0</v>
      </c>
      <c r="P258" s="204"/>
      <c r="Q258" s="201">
        <f t="shared" si="47"/>
        <v>1717.33</v>
      </c>
      <c r="R258" s="205"/>
      <c r="V258" s="174" t="s">
        <v>248</v>
      </c>
      <c r="W258" s="174">
        <v>-7500.0</v>
      </c>
    </row>
    <row r="259">
      <c r="B259" s="248"/>
      <c r="C259" s="314" t="s">
        <v>33</v>
      </c>
      <c r="D259" s="314">
        <v>1.0</v>
      </c>
      <c r="E259" s="251">
        <v>2000.0</v>
      </c>
      <c r="F259" s="251"/>
      <c r="G259" s="191"/>
      <c r="H259" s="191"/>
      <c r="I259" s="251"/>
      <c r="J259" s="251">
        <v>1000.0</v>
      </c>
      <c r="K259" s="69">
        <f t="shared" si="45"/>
        <v>0</v>
      </c>
      <c r="L259" s="251"/>
      <c r="M259" s="251"/>
      <c r="N259" s="204">
        <v>1000.0</v>
      </c>
      <c r="O259" s="315">
        <v>-700.0</v>
      </c>
      <c r="P259" s="204"/>
      <c r="Q259" s="201">
        <f t="shared" si="47"/>
        <v>2017.33</v>
      </c>
      <c r="R259" s="205"/>
      <c r="V259" s="174"/>
      <c r="W259" s="174"/>
    </row>
    <row r="260" ht="15.75" customHeight="1">
      <c r="B260" s="183"/>
      <c r="C260" s="319" t="s">
        <v>144</v>
      </c>
      <c r="D260" s="319"/>
      <c r="E260" s="182"/>
      <c r="F260" s="182"/>
      <c r="G260" s="170"/>
      <c r="H260" s="170"/>
      <c r="I260" s="182"/>
      <c r="J260" s="182"/>
      <c r="K260" s="90">
        <f t="shared" si="45"/>
        <v>0</v>
      </c>
      <c r="L260" s="182"/>
      <c r="M260" s="182"/>
      <c r="N260" s="182"/>
      <c r="O260" s="338"/>
      <c r="P260" s="182"/>
      <c r="Q260" s="88">
        <f t="shared" si="47"/>
        <v>2017.33</v>
      </c>
      <c r="R260" s="183"/>
      <c r="V260" s="206" t="s">
        <v>66</v>
      </c>
      <c r="W260" s="367">
        <f>sum(W254:W258)</f>
        <v>-8737.978</v>
      </c>
    </row>
    <row r="261">
      <c r="B261" s="248"/>
      <c r="C261" s="314" t="s">
        <v>37</v>
      </c>
      <c r="D261" s="314">
        <v>1.0</v>
      </c>
      <c r="E261" s="251">
        <v>2800.0</v>
      </c>
      <c r="F261" s="251">
        <v>1200.0</v>
      </c>
      <c r="G261" s="191"/>
      <c r="H261" s="191"/>
      <c r="I261" s="251"/>
      <c r="J261" s="251">
        <v>1000.0</v>
      </c>
      <c r="K261" s="69">
        <f t="shared" si="45"/>
        <v>0</v>
      </c>
      <c r="L261" s="251"/>
      <c r="M261" s="251"/>
      <c r="N261" s="204">
        <v>1800.0</v>
      </c>
      <c r="O261" s="315">
        <v>-700.0</v>
      </c>
      <c r="P261" s="204">
        <v>1200.0</v>
      </c>
      <c r="Q261" s="201">
        <f t="shared" si="47"/>
        <v>4317.33</v>
      </c>
      <c r="R261" s="205" t="s">
        <v>278</v>
      </c>
    </row>
    <row r="262" ht="15.75" customHeight="1">
      <c r="B262" s="183"/>
      <c r="C262" s="319" t="s">
        <v>41</v>
      </c>
      <c r="D262" s="319"/>
      <c r="E262" s="182"/>
      <c r="F262" s="182"/>
      <c r="G262" s="170"/>
      <c r="H262" s="170"/>
      <c r="I262" s="182"/>
      <c r="J262" s="182"/>
      <c r="K262" s="90">
        <f t="shared" si="45"/>
        <v>0</v>
      </c>
      <c r="L262" s="182"/>
      <c r="M262" s="182"/>
      <c r="N262" s="182"/>
      <c r="O262" s="338"/>
      <c r="P262" s="182"/>
      <c r="Q262" s="88">
        <f t="shared" si="47"/>
        <v>4317.33</v>
      </c>
      <c r="R262" s="183"/>
    </row>
    <row r="263">
      <c r="B263" s="248"/>
      <c r="C263" s="314" t="s">
        <v>44</v>
      </c>
      <c r="D263" s="314">
        <v>1.0</v>
      </c>
      <c r="E263" s="251">
        <v>2000.0</v>
      </c>
      <c r="F263" s="251">
        <v>400.0</v>
      </c>
      <c r="G263" s="191"/>
      <c r="H263" s="191"/>
      <c r="I263" s="251"/>
      <c r="J263" s="251">
        <v>1000.0</v>
      </c>
      <c r="K263" s="69">
        <f t="shared" si="45"/>
        <v>400</v>
      </c>
      <c r="L263" s="251"/>
      <c r="M263" s="251"/>
      <c r="N263" s="204">
        <v>1000.0</v>
      </c>
      <c r="O263" s="315">
        <v>-700.0</v>
      </c>
      <c r="P263" s="204"/>
      <c r="Q263" s="201">
        <f t="shared" si="47"/>
        <v>4617.33</v>
      </c>
      <c r="R263" s="205"/>
    </row>
    <row r="264">
      <c r="B264" s="248"/>
      <c r="C264" s="314" t="s">
        <v>45</v>
      </c>
      <c r="D264" s="314">
        <v>1.0</v>
      </c>
      <c r="E264" s="251">
        <v>2000.0</v>
      </c>
      <c r="F264" s="251">
        <v>400.0</v>
      </c>
      <c r="G264" s="191"/>
      <c r="H264" s="191"/>
      <c r="I264" s="251"/>
      <c r="J264" s="251">
        <v>1000.0</v>
      </c>
      <c r="K264" s="69">
        <f t="shared" si="45"/>
        <v>0</v>
      </c>
      <c r="L264" s="251"/>
      <c r="M264" s="251"/>
      <c r="N264" s="204">
        <v>1000.0</v>
      </c>
      <c r="O264" s="315">
        <v>-700.0</v>
      </c>
      <c r="P264" s="324">
        <v>400.0</v>
      </c>
      <c r="Q264" s="201">
        <f t="shared" si="47"/>
        <v>5317.33</v>
      </c>
      <c r="R264" s="205" t="s">
        <v>43</v>
      </c>
    </row>
    <row r="265" ht="15.75" customHeight="1">
      <c r="B265" s="183"/>
      <c r="C265" s="319" t="s">
        <v>47</v>
      </c>
      <c r="D265" s="319"/>
      <c r="E265" s="182"/>
      <c r="F265" s="182"/>
      <c r="G265" s="170"/>
      <c r="H265" s="170"/>
      <c r="I265" s="182"/>
      <c r="J265" s="182"/>
      <c r="K265" s="90">
        <f t="shared" si="45"/>
        <v>0</v>
      </c>
      <c r="L265" s="182"/>
      <c r="M265" s="182"/>
      <c r="N265" s="182"/>
      <c r="O265" s="338"/>
      <c r="P265" s="182"/>
      <c r="Q265" s="88">
        <f t="shared" si="47"/>
        <v>5317.33</v>
      </c>
      <c r="R265" s="183"/>
    </row>
    <row r="266">
      <c r="B266" s="68"/>
      <c r="C266" s="314" t="s">
        <v>48</v>
      </c>
      <c r="D266" s="314">
        <v>2.0</v>
      </c>
      <c r="E266" s="251">
        <v>4000.0</v>
      </c>
      <c r="F266" s="251">
        <v>500.0</v>
      </c>
      <c r="G266" s="191"/>
      <c r="H266" s="191"/>
      <c r="I266" s="191"/>
      <c r="J266" s="191">
        <f>1500+600</f>
        <v>2100</v>
      </c>
      <c r="K266" s="69">
        <f t="shared" si="45"/>
        <v>0</v>
      </c>
      <c r="L266" s="191"/>
      <c r="M266" s="191"/>
      <c r="N266" s="204">
        <v>2400.0</v>
      </c>
      <c r="O266" s="315">
        <v>-700.0</v>
      </c>
      <c r="P266" s="324"/>
      <c r="Q266" s="201">
        <f t="shared" si="47"/>
        <v>7017.33</v>
      </c>
      <c r="R266" s="205"/>
      <c r="T266" s="531"/>
      <c r="U266" s="532"/>
    </row>
    <row r="267">
      <c r="B267" s="68"/>
      <c r="C267" s="314" t="s">
        <v>49</v>
      </c>
      <c r="D267" s="314">
        <v>1.0</v>
      </c>
      <c r="E267" s="251">
        <f>2800+400</f>
        <v>3200</v>
      </c>
      <c r="F267" s="191"/>
      <c r="G267" s="191"/>
      <c r="H267" s="191"/>
      <c r="I267" s="191"/>
      <c r="J267" s="251">
        <v>1000.0</v>
      </c>
      <c r="K267" s="69">
        <f t="shared" si="45"/>
        <v>0</v>
      </c>
      <c r="L267" s="191"/>
      <c r="M267" s="191"/>
      <c r="N267" s="204">
        <v>1800.0</v>
      </c>
      <c r="O267" s="315">
        <v>-700.0</v>
      </c>
      <c r="P267" s="324">
        <v>400.0</v>
      </c>
      <c r="Q267" s="201">
        <f t="shared" si="47"/>
        <v>8517.33</v>
      </c>
      <c r="R267" s="205" t="s">
        <v>125</v>
      </c>
      <c r="T267" s="531"/>
      <c r="U267" s="532"/>
    </row>
    <row r="268">
      <c r="B268" s="68"/>
      <c r="C268" s="314"/>
      <c r="D268" s="314"/>
      <c r="E268" s="191"/>
      <c r="F268" s="191"/>
      <c r="G268" s="191"/>
      <c r="H268" s="191"/>
      <c r="I268" s="191"/>
      <c r="J268" s="191"/>
      <c r="K268" s="69"/>
      <c r="L268" s="191"/>
      <c r="M268" s="191"/>
      <c r="N268" s="195"/>
      <c r="O268" s="197"/>
      <c r="P268" s="324"/>
      <c r="Q268" s="201">
        <f t="shared" si="47"/>
        <v>8517.33</v>
      </c>
      <c r="R268" s="205" t="s">
        <v>266</v>
      </c>
      <c r="T268" s="205" t="s">
        <v>218</v>
      </c>
      <c r="U268" s="324">
        <v>6308.71</v>
      </c>
    </row>
    <row r="269">
      <c r="B269" s="68"/>
      <c r="C269" s="188"/>
      <c r="D269" s="188"/>
      <c r="E269" s="191"/>
      <c r="F269" s="191"/>
      <c r="G269" s="191"/>
      <c r="H269" s="191"/>
      <c r="I269" s="191"/>
      <c r="J269" s="191"/>
      <c r="K269" s="69"/>
      <c r="L269" s="191"/>
      <c r="M269" s="191"/>
      <c r="N269" s="195"/>
      <c r="O269" s="197"/>
      <c r="P269" s="324">
        <v>-300.0</v>
      </c>
      <c r="Q269" s="201">
        <f t="shared" si="47"/>
        <v>8217.33</v>
      </c>
      <c r="R269" s="205" t="s">
        <v>288</v>
      </c>
      <c r="T269" s="174"/>
    </row>
    <row r="270">
      <c r="B270" s="68"/>
      <c r="C270" s="188"/>
      <c r="D270" s="188"/>
      <c r="E270" s="191"/>
      <c r="F270" s="191"/>
      <c r="G270" s="191"/>
      <c r="H270" s="191"/>
      <c r="I270" s="191"/>
      <c r="J270" s="191"/>
      <c r="K270" s="69"/>
      <c r="L270" s="191"/>
      <c r="M270" s="191"/>
      <c r="N270" s="195"/>
      <c r="O270" s="197"/>
      <c r="P270" s="324">
        <f>-50</f>
        <v>-50</v>
      </c>
      <c r="Q270" s="201">
        <f t="shared" si="47"/>
        <v>8167.33</v>
      </c>
      <c r="R270" s="205" t="s">
        <v>267</v>
      </c>
      <c r="T270" s="174" t="s">
        <v>55</v>
      </c>
    </row>
    <row r="271">
      <c r="B271" s="68"/>
      <c r="C271" s="188"/>
      <c r="D271" s="188"/>
      <c r="E271" s="191"/>
      <c r="F271" s="191"/>
      <c r="G271" s="191"/>
      <c r="H271" s="191"/>
      <c r="I271" s="191"/>
      <c r="J271" s="191"/>
      <c r="K271" s="69"/>
      <c r="L271" s="191"/>
      <c r="M271" s="191"/>
      <c r="N271" s="195"/>
      <c r="O271" s="197"/>
      <c r="P271" s="324">
        <v>-500.0</v>
      </c>
      <c r="Q271" s="201">
        <f t="shared" si="47"/>
        <v>7667.33</v>
      </c>
      <c r="R271" s="205" t="s">
        <v>290</v>
      </c>
    </row>
    <row r="272">
      <c r="B272" s="68"/>
      <c r="C272" s="188"/>
      <c r="D272" s="188"/>
      <c r="E272" s="191"/>
      <c r="F272" s="191"/>
      <c r="G272" s="191"/>
      <c r="H272" s="191"/>
      <c r="I272" s="191"/>
      <c r="J272" s="191"/>
      <c r="K272" s="69"/>
      <c r="L272" s="191"/>
      <c r="M272" s="191"/>
      <c r="N272" s="195"/>
      <c r="O272" s="197"/>
      <c r="P272" s="324">
        <v>-1495.79</v>
      </c>
      <c r="Q272" s="201">
        <f t="shared" si="47"/>
        <v>6171.54</v>
      </c>
      <c r="R272" s="205" t="s">
        <v>55</v>
      </c>
    </row>
    <row r="273">
      <c r="B273" s="325" t="s">
        <v>214</v>
      </c>
      <c r="C273" s="288" t="s">
        <v>66</v>
      </c>
      <c r="D273" s="290">
        <f t="shared" ref="D273:P273" si="48">sum(D249:D272)</f>
        <v>14</v>
      </c>
      <c r="E273" s="291">
        <f t="shared" si="48"/>
        <v>36100</v>
      </c>
      <c r="F273" s="291">
        <f t="shared" si="48"/>
        <v>2900</v>
      </c>
      <c r="G273" s="291">
        <f t="shared" si="48"/>
        <v>0</v>
      </c>
      <c r="H273" s="291">
        <f t="shared" si="48"/>
        <v>0</v>
      </c>
      <c r="I273" s="291">
        <f t="shared" si="48"/>
        <v>0</v>
      </c>
      <c r="J273" s="291">
        <f t="shared" si="48"/>
        <v>14100</v>
      </c>
      <c r="K273" s="291">
        <f t="shared" si="48"/>
        <v>400</v>
      </c>
      <c r="L273" s="291">
        <f t="shared" si="48"/>
        <v>0</v>
      </c>
      <c r="M273" s="291">
        <f t="shared" si="48"/>
        <v>9200</v>
      </c>
      <c r="N273" s="291">
        <f t="shared" si="48"/>
        <v>12900</v>
      </c>
      <c r="O273" s="291">
        <f t="shared" si="48"/>
        <v>-9100</v>
      </c>
      <c r="P273" s="430">
        <f t="shared" si="48"/>
        <v>54.21</v>
      </c>
      <c r="Q273" s="292">
        <f>Q272</f>
        <v>6171.54</v>
      </c>
      <c r="R273" s="293"/>
    </row>
    <row r="274">
      <c r="B274" s="540" t="s">
        <v>40</v>
      </c>
      <c r="C274" s="541">
        <v>46025.0</v>
      </c>
      <c r="D274" s="474">
        <v>2.0</v>
      </c>
      <c r="E274" s="478">
        <v>4300.0</v>
      </c>
      <c r="F274" s="478">
        <v>900.0</v>
      </c>
      <c r="G274" s="542"/>
      <c r="H274" s="542"/>
      <c r="I274" s="478"/>
      <c r="J274" s="478">
        <v>1500.0</v>
      </c>
      <c r="K274" s="543">
        <f t="shared" ref="K274:K295" si="49">E274-J274-L274-M274-N274-I274+F274-P274</f>
        <v>0</v>
      </c>
      <c r="L274" s="478"/>
      <c r="M274" s="478"/>
      <c r="N274" s="324">
        <v>3700.0</v>
      </c>
      <c r="O274" s="544">
        <v>-700.0</v>
      </c>
      <c r="P274" s="324"/>
      <c r="Q274" s="545">
        <f t="shared" ref="Q274:Q277" si="50">Q273+N274+O274+P274</f>
        <v>9171.54</v>
      </c>
      <c r="R274" s="546"/>
    </row>
    <row r="275">
      <c r="B275" s="547"/>
      <c r="C275" s="548">
        <v>46086.0</v>
      </c>
      <c r="D275" s="550"/>
      <c r="E275" s="453"/>
      <c r="F275" s="453"/>
      <c r="G275" s="552"/>
      <c r="H275" s="552"/>
      <c r="I275" s="453"/>
      <c r="J275" s="453"/>
      <c r="K275" s="554">
        <f t="shared" si="49"/>
        <v>0</v>
      </c>
      <c r="L275" s="453"/>
      <c r="M275" s="453"/>
      <c r="N275" s="453"/>
      <c r="O275" s="555">
        <v>-700.0</v>
      </c>
      <c r="P275" s="552"/>
      <c r="Q275" s="410">
        <f t="shared" si="50"/>
        <v>8471.54</v>
      </c>
      <c r="R275" s="547" t="s">
        <v>142</v>
      </c>
    </row>
    <row r="276">
      <c r="B276" s="540"/>
      <c r="C276" s="541">
        <v>46150.0</v>
      </c>
      <c r="D276" s="474">
        <v>3.0</v>
      </c>
      <c r="E276" s="478">
        <v>7800.0</v>
      </c>
      <c r="F276" s="478"/>
      <c r="G276" s="478"/>
      <c r="H276" s="478"/>
      <c r="I276" s="478"/>
      <c r="J276" s="478">
        <v>2000.0</v>
      </c>
      <c r="K276" s="543">
        <f t="shared" si="49"/>
        <v>0</v>
      </c>
      <c r="L276" s="478">
        <v>5800.0</v>
      </c>
      <c r="M276" s="478"/>
      <c r="N276" s="324"/>
      <c r="O276" s="544">
        <v>-700.0</v>
      </c>
      <c r="P276" s="324"/>
      <c r="Q276" s="545">
        <f t="shared" si="50"/>
        <v>7771.54</v>
      </c>
      <c r="R276" s="546"/>
    </row>
    <row r="277">
      <c r="B277" s="547"/>
      <c r="C277" s="548">
        <v>46245.0</v>
      </c>
      <c r="D277" s="550"/>
      <c r="E277" s="453"/>
      <c r="F277" s="453">
        <v>400.0</v>
      </c>
      <c r="G277" s="552"/>
      <c r="H277" s="552"/>
      <c r="I277" s="453"/>
      <c r="J277" s="453"/>
      <c r="K277" s="554">
        <f t="shared" si="49"/>
        <v>0</v>
      </c>
      <c r="L277" s="453"/>
      <c r="M277" s="453"/>
      <c r="N277" s="453"/>
      <c r="O277" s="555"/>
      <c r="P277" s="453">
        <v>400.0</v>
      </c>
      <c r="Q277" s="410">
        <f t="shared" si="50"/>
        <v>8171.54</v>
      </c>
      <c r="R277" s="547" t="s">
        <v>43</v>
      </c>
    </row>
    <row r="278">
      <c r="B278" s="540"/>
      <c r="C278" s="541">
        <v>46338.0</v>
      </c>
      <c r="D278" s="474">
        <v>1.0</v>
      </c>
      <c r="E278" s="478">
        <v>2850.0</v>
      </c>
      <c r="F278" s="478"/>
      <c r="G278" s="542"/>
      <c r="H278" s="542"/>
      <c r="I278" s="478"/>
      <c r="J278" s="478"/>
      <c r="K278" s="543">
        <f t="shared" si="49"/>
        <v>0</v>
      </c>
      <c r="L278" s="478"/>
      <c r="M278" s="478"/>
      <c r="N278" s="324">
        <v>2850.0</v>
      </c>
      <c r="O278" s="544">
        <v>-700.0</v>
      </c>
      <c r="P278" s="324"/>
      <c r="Q278" s="545">
        <f>Q277+N278+O278+P21608</f>
        <v>10321.54</v>
      </c>
      <c r="R278" s="546"/>
    </row>
    <row r="279">
      <c r="B279" s="547"/>
      <c r="C279" s="548">
        <v>46369.0</v>
      </c>
      <c r="D279" s="550"/>
      <c r="E279" s="453"/>
      <c r="F279" s="453"/>
      <c r="G279" s="552"/>
      <c r="H279" s="552"/>
      <c r="I279" s="453"/>
      <c r="J279" s="453"/>
      <c r="K279" s="554">
        <f t="shared" si="49"/>
        <v>0</v>
      </c>
      <c r="L279" s="453"/>
      <c r="M279" s="453"/>
      <c r="N279" s="453"/>
      <c r="O279" s="555"/>
      <c r="P279" s="552"/>
      <c r="Q279" s="410">
        <f t="shared" ref="Q279:Q299" si="51">Q278+N279+O279+P279</f>
        <v>10321.54</v>
      </c>
      <c r="R279" s="547"/>
    </row>
    <row r="280">
      <c r="B280" s="540"/>
      <c r="C280" s="474" t="s">
        <v>46</v>
      </c>
      <c r="D280" s="474">
        <v>1.0</v>
      </c>
      <c r="E280" s="478">
        <v>2800.0</v>
      </c>
      <c r="F280" s="478">
        <v>900.0</v>
      </c>
      <c r="G280" s="542"/>
      <c r="H280" s="542"/>
      <c r="I280" s="478"/>
      <c r="J280" s="478"/>
      <c r="K280" s="543">
        <f t="shared" si="49"/>
        <v>0</v>
      </c>
      <c r="L280" s="478">
        <f>2800+900</f>
        <v>3700</v>
      </c>
      <c r="M280" s="478"/>
      <c r="N280" s="324"/>
      <c r="O280" s="544">
        <v>-700.0</v>
      </c>
      <c r="P280" s="324"/>
      <c r="Q280" s="545">
        <f t="shared" si="51"/>
        <v>9621.54</v>
      </c>
      <c r="R280" s="546"/>
    </row>
    <row r="281">
      <c r="B281" s="540"/>
      <c r="C281" s="474" t="s">
        <v>29</v>
      </c>
      <c r="D281" s="474">
        <v>1.0</v>
      </c>
      <c r="E281" s="478">
        <v>2500.0</v>
      </c>
      <c r="F281" s="478"/>
      <c r="G281" s="542"/>
      <c r="H281" s="542"/>
      <c r="I281" s="478"/>
      <c r="J281" s="478">
        <v>1000.0</v>
      </c>
      <c r="K281" s="543">
        <f t="shared" si="49"/>
        <v>0</v>
      </c>
      <c r="L281" s="478"/>
      <c r="M281" s="478"/>
      <c r="N281" s="324">
        <v>1500.0</v>
      </c>
      <c r="O281" s="544">
        <v>-700.0</v>
      </c>
      <c r="P281" s="324"/>
      <c r="Q281" s="545">
        <f t="shared" si="51"/>
        <v>10421.54</v>
      </c>
      <c r="R281" s="546"/>
    </row>
    <row r="282">
      <c r="B282" s="547"/>
      <c r="C282" s="550" t="s">
        <v>30</v>
      </c>
      <c r="D282" s="550"/>
      <c r="E282" s="453"/>
      <c r="F282" s="453"/>
      <c r="G282" s="552"/>
      <c r="H282" s="552"/>
      <c r="I282" s="453"/>
      <c r="J282" s="453"/>
      <c r="K282" s="554">
        <f t="shared" si="49"/>
        <v>0</v>
      </c>
      <c r="L282" s="453"/>
      <c r="M282" s="453"/>
      <c r="N282" s="453"/>
      <c r="O282" s="555"/>
      <c r="P282" s="552"/>
      <c r="Q282" s="410">
        <f t="shared" si="51"/>
        <v>10421.54</v>
      </c>
      <c r="R282" s="547"/>
    </row>
    <row r="283">
      <c r="B283" s="540"/>
      <c r="C283" s="474" t="s">
        <v>31</v>
      </c>
      <c r="D283" s="474">
        <v>1.0</v>
      </c>
      <c r="E283" s="478">
        <v>2000.0</v>
      </c>
      <c r="F283" s="478"/>
      <c r="G283" s="542"/>
      <c r="H283" s="542"/>
      <c r="I283" s="478"/>
      <c r="J283" s="478">
        <v>1000.0</v>
      </c>
      <c r="K283" s="543">
        <f t="shared" si="49"/>
        <v>0</v>
      </c>
      <c r="L283" s="478"/>
      <c r="M283" s="478"/>
      <c r="N283" s="324">
        <v>1000.0</v>
      </c>
      <c r="O283" s="544">
        <v>-700.0</v>
      </c>
      <c r="P283" s="324"/>
      <c r="Q283" s="545">
        <f t="shared" si="51"/>
        <v>10721.54</v>
      </c>
      <c r="R283" s="546"/>
    </row>
    <row r="284">
      <c r="B284" s="540"/>
      <c r="C284" s="474" t="s">
        <v>32</v>
      </c>
      <c r="D284" s="474">
        <v>1.0</v>
      </c>
      <c r="E284" s="478">
        <v>2000.0</v>
      </c>
      <c r="F284" s="478">
        <v>350.0</v>
      </c>
      <c r="G284" s="542"/>
      <c r="H284" s="478"/>
      <c r="I284" s="478"/>
      <c r="J284" s="478">
        <v>1175.0</v>
      </c>
      <c r="K284" s="543">
        <f t="shared" si="49"/>
        <v>0</v>
      </c>
      <c r="L284" s="478"/>
      <c r="M284" s="478">
        <v>1175.0</v>
      </c>
      <c r="N284" s="324"/>
      <c r="O284" s="544">
        <v>-700.0</v>
      </c>
      <c r="P284" s="324"/>
      <c r="Q284" s="545">
        <f t="shared" si="51"/>
        <v>10021.54</v>
      </c>
      <c r="R284" s="546"/>
    </row>
    <row r="285">
      <c r="B285" s="547"/>
      <c r="C285" s="550" t="s">
        <v>33</v>
      </c>
      <c r="D285" s="550"/>
      <c r="E285" s="453"/>
      <c r="F285" s="453"/>
      <c r="G285" s="552"/>
      <c r="H285" s="552"/>
      <c r="I285" s="453"/>
      <c r="J285" s="453"/>
      <c r="K285" s="554">
        <f t="shared" si="49"/>
        <v>0</v>
      </c>
      <c r="L285" s="453"/>
      <c r="M285" s="453"/>
      <c r="N285" s="453"/>
      <c r="O285" s="555"/>
      <c r="P285" s="453"/>
      <c r="Q285" s="410">
        <f t="shared" si="51"/>
        <v>10021.54</v>
      </c>
      <c r="R285" s="547"/>
    </row>
    <row r="286">
      <c r="B286" s="540"/>
      <c r="C286" s="474" t="s">
        <v>34</v>
      </c>
      <c r="D286" s="474">
        <v>1.0</v>
      </c>
      <c r="E286" s="478">
        <v>2500.0</v>
      </c>
      <c r="F286" s="478"/>
      <c r="G286" s="542"/>
      <c r="H286" s="478" t="s">
        <v>295</v>
      </c>
      <c r="I286" s="478"/>
      <c r="J286" s="478">
        <v>1000.0</v>
      </c>
      <c r="K286" s="543">
        <f t="shared" si="49"/>
        <v>0</v>
      </c>
      <c r="L286" s="478"/>
      <c r="M286" s="478">
        <v>1500.0</v>
      </c>
      <c r="N286" s="324"/>
      <c r="O286" s="544">
        <v>-700.0</v>
      </c>
      <c r="P286" s="324"/>
      <c r="Q286" s="545">
        <f t="shared" si="51"/>
        <v>9321.54</v>
      </c>
      <c r="R286" s="546"/>
    </row>
    <row r="287">
      <c r="B287" s="540"/>
      <c r="C287" s="474" t="s">
        <v>69</v>
      </c>
      <c r="D287" s="474">
        <v>1.0</v>
      </c>
      <c r="E287" s="478">
        <v>3000.0</v>
      </c>
      <c r="F287" s="478">
        <v>350.0</v>
      </c>
      <c r="G287" s="542"/>
      <c r="H287" s="478" t="s">
        <v>298</v>
      </c>
      <c r="I287" s="478"/>
      <c r="J287" s="478">
        <v>2175.0</v>
      </c>
      <c r="K287" s="543">
        <f t="shared" si="49"/>
        <v>0</v>
      </c>
      <c r="L287" s="478"/>
      <c r="M287" s="478"/>
      <c r="N287" s="324">
        <v>1175.0</v>
      </c>
      <c r="O287" s="544">
        <v>-700.0</v>
      </c>
      <c r="P287" s="324"/>
      <c r="Q287" s="545">
        <f t="shared" si="51"/>
        <v>9796.54</v>
      </c>
      <c r="R287" s="546"/>
    </row>
    <row r="288">
      <c r="B288" s="540"/>
      <c r="C288" s="474" t="s">
        <v>68</v>
      </c>
      <c r="D288" s="474">
        <v>1.0</v>
      </c>
      <c r="E288" s="478">
        <v>3050.0</v>
      </c>
      <c r="F288" s="478">
        <v>450.0</v>
      </c>
      <c r="G288" s="542"/>
      <c r="H288" s="542"/>
      <c r="I288" s="478"/>
      <c r="J288" s="478">
        <v>1000.0</v>
      </c>
      <c r="K288" s="543">
        <f t="shared" si="49"/>
        <v>0</v>
      </c>
      <c r="L288" s="478"/>
      <c r="M288" s="478"/>
      <c r="N288" s="324">
        <v>2050.0</v>
      </c>
      <c r="O288" s="544">
        <v>-700.0</v>
      </c>
      <c r="P288" s="324">
        <v>450.0</v>
      </c>
      <c r="Q288" s="545">
        <f t="shared" si="51"/>
        <v>11596.54</v>
      </c>
      <c r="R288" s="546"/>
    </row>
    <row r="289">
      <c r="B289" s="540"/>
      <c r="C289" s="474" t="s">
        <v>37</v>
      </c>
      <c r="D289" s="474">
        <v>1.0</v>
      </c>
      <c r="E289" s="478">
        <v>2500.0</v>
      </c>
      <c r="F289" s="478"/>
      <c r="G289" s="542"/>
      <c r="H289" s="542"/>
      <c r="I289" s="478"/>
      <c r="J289" s="478">
        <v>1000.0</v>
      </c>
      <c r="K289" s="543">
        <f t="shared" si="49"/>
        <v>0</v>
      </c>
      <c r="L289" s="478"/>
      <c r="M289" s="478"/>
      <c r="N289" s="324">
        <v>1500.0</v>
      </c>
      <c r="O289" s="544">
        <v>-700.0</v>
      </c>
      <c r="P289" s="324"/>
      <c r="Q289" s="545">
        <f t="shared" si="51"/>
        <v>12396.54</v>
      </c>
      <c r="R289" s="546"/>
    </row>
    <row r="290">
      <c r="B290" s="540"/>
      <c r="C290" s="474" t="s">
        <v>41</v>
      </c>
      <c r="D290" s="474">
        <v>1.0</v>
      </c>
      <c r="E290" s="478">
        <v>3200.0</v>
      </c>
      <c r="F290" s="478"/>
      <c r="G290" s="542"/>
      <c r="H290" s="542"/>
      <c r="I290" s="478"/>
      <c r="J290" s="478">
        <v>1000.0</v>
      </c>
      <c r="K290" s="543">
        <f t="shared" si="49"/>
        <v>0</v>
      </c>
      <c r="L290" s="478"/>
      <c r="M290" s="478"/>
      <c r="N290" s="324">
        <v>2200.0</v>
      </c>
      <c r="O290" s="544">
        <v>-700.0</v>
      </c>
      <c r="P290" s="324"/>
      <c r="Q290" s="545">
        <f t="shared" si="51"/>
        <v>13896.54</v>
      </c>
      <c r="R290" s="546" t="s">
        <v>301</v>
      </c>
    </row>
    <row r="291">
      <c r="B291" s="540"/>
      <c r="C291" s="474" t="s">
        <v>71</v>
      </c>
      <c r="D291" s="474">
        <v>2.0</v>
      </c>
      <c r="E291" s="478">
        <v>6700.0</v>
      </c>
      <c r="F291" s="478"/>
      <c r="G291" s="542"/>
      <c r="H291" s="478" t="s">
        <v>302</v>
      </c>
      <c r="I291" s="478"/>
      <c r="J291" s="478">
        <v>2000.0</v>
      </c>
      <c r="K291" s="543">
        <f t="shared" si="49"/>
        <v>0</v>
      </c>
      <c r="L291" s="478"/>
      <c r="M291" s="478">
        <v>4700.0</v>
      </c>
      <c r="N291" s="324"/>
      <c r="O291" s="544">
        <v>-700.0</v>
      </c>
      <c r="P291" s="324"/>
      <c r="Q291" s="545">
        <f t="shared" si="51"/>
        <v>13196.54</v>
      </c>
      <c r="R291" s="546"/>
    </row>
    <row r="292">
      <c r="B292" s="540"/>
      <c r="C292" s="474" t="s">
        <v>47</v>
      </c>
      <c r="D292" s="474">
        <v>1.0</v>
      </c>
      <c r="E292" s="478">
        <v>2700.0</v>
      </c>
      <c r="F292" s="478"/>
      <c r="G292" s="542"/>
      <c r="H292" s="542"/>
      <c r="I292" s="478"/>
      <c r="J292" s="478">
        <v>1000.0</v>
      </c>
      <c r="K292" s="543">
        <f t="shared" si="49"/>
        <v>0</v>
      </c>
      <c r="L292" s="478"/>
      <c r="M292" s="478">
        <v>1700.0</v>
      </c>
      <c r="N292" s="324"/>
      <c r="O292" s="544">
        <v>-700.0</v>
      </c>
      <c r="P292" s="324"/>
      <c r="Q292" s="545">
        <f t="shared" si="51"/>
        <v>12496.54</v>
      </c>
      <c r="R292" s="546"/>
    </row>
    <row r="293">
      <c r="B293" s="540"/>
      <c r="C293" s="474" t="s">
        <v>48</v>
      </c>
      <c r="D293" s="474">
        <v>2.0</v>
      </c>
      <c r="E293" s="478">
        <v>5400.0</v>
      </c>
      <c r="F293" s="478"/>
      <c r="G293" s="542"/>
      <c r="H293" s="478" t="s">
        <v>303</v>
      </c>
      <c r="I293" s="478"/>
      <c r="J293" s="478">
        <v>2000.0</v>
      </c>
      <c r="K293" s="543">
        <f t="shared" si="49"/>
        <v>0</v>
      </c>
      <c r="L293" s="478"/>
      <c r="M293" s="478"/>
      <c r="N293" s="324">
        <v>3400.0</v>
      </c>
      <c r="O293" s="544">
        <v>-700.0</v>
      </c>
      <c r="P293" s="324"/>
      <c r="Q293" s="545">
        <f t="shared" si="51"/>
        <v>15196.54</v>
      </c>
      <c r="R293" s="546"/>
    </row>
    <row r="294">
      <c r="B294" s="567"/>
      <c r="C294" s="474" t="s">
        <v>137</v>
      </c>
      <c r="D294" s="474">
        <v>2.0</v>
      </c>
      <c r="E294" s="478">
        <v>5700.0</v>
      </c>
      <c r="F294" s="478">
        <v>1600.0</v>
      </c>
      <c r="G294" s="542"/>
      <c r="H294" s="478" t="s">
        <v>305</v>
      </c>
      <c r="I294" s="542"/>
      <c r="J294" s="478">
        <v>2000.0</v>
      </c>
      <c r="K294" s="543">
        <f t="shared" si="49"/>
        <v>0</v>
      </c>
      <c r="L294" s="542"/>
      <c r="M294" s="478">
        <v>3700.0</v>
      </c>
      <c r="N294" s="324"/>
      <c r="O294" s="544">
        <v>-700.0</v>
      </c>
      <c r="P294" s="324">
        <v>1600.0</v>
      </c>
      <c r="Q294" s="545">
        <f t="shared" si="51"/>
        <v>16096.54</v>
      </c>
      <c r="R294" s="546" t="s">
        <v>43</v>
      </c>
    </row>
    <row r="295">
      <c r="B295" s="567"/>
      <c r="C295" s="474" t="s">
        <v>89</v>
      </c>
      <c r="D295" s="474">
        <v>2.0</v>
      </c>
      <c r="E295" s="478">
        <v>6900.0</v>
      </c>
      <c r="F295" s="542"/>
      <c r="G295" s="542"/>
      <c r="H295" s="542"/>
      <c r="I295" s="542"/>
      <c r="J295" s="478">
        <v>2000.0</v>
      </c>
      <c r="K295" s="543">
        <f t="shared" si="49"/>
        <v>0</v>
      </c>
      <c r="L295" s="542"/>
      <c r="M295" s="542"/>
      <c r="N295" s="324">
        <v>4900.0</v>
      </c>
      <c r="O295" s="544">
        <v>-700.0</v>
      </c>
      <c r="P295" s="324"/>
      <c r="Q295" s="545">
        <f t="shared" si="51"/>
        <v>20296.54</v>
      </c>
      <c r="R295" s="546"/>
    </row>
    <row r="296">
      <c r="B296" s="567"/>
      <c r="C296" s="474"/>
      <c r="D296" s="474"/>
      <c r="E296" s="542"/>
      <c r="F296" s="542"/>
      <c r="G296" s="542"/>
      <c r="H296" s="542"/>
      <c r="I296" s="542"/>
      <c r="J296" s="542"/>
      <c r="K296" s="543"/>
      <c r="L296" s="542"/>
      <c r="M296" s="542"/>
      <c r="N296" s="322"/>
      <c r="O296" s="574"/>
      <c r="P296" s="324">
        <v>-6229.35</v>
      </c>
      <c r="Q296" s="545">
        <f t="shared" si="51"/>
        <v>14067.19</v>
      </c>
      <c r="R296" s="546" t="s">
        <v>266</v>
      </c>
    </row>
    <row r="297">
      <c r="B297" s="567"/>
      <c r="C297" s="575"/>
      <c r="D297" s="575"/>
      <c r="E297" s="542"/>
      <c r="F297" s="542"/>
      <c r="G297" s="542"/>
      <c r="H297" s="542"/>
      <c r="I297" s="542"/>
      <c r="J297" s="542"/>
      <c r="K297" s="543"/>
      <c r="L297" s="542"/>
      <c r="M297" s="542"/>
      <c r="N297" s="322"/>
      <c r="O297" s="574"/>
      <c r="P297" s="324">
        <v>-100.0</v>
      </c>
      <c r="Q297" s="545">
        <f t="shared" si="51"/>
        <v>13967.19</v>
      </c>
      <c r="R297" s="546" t="s">
        <v>267</v>
      </c>
    </row>
    <row r="298">
      <c r="B298" s="567"/>
      <c r="C298" s="575"/>
      <c r="D298" s="575"/>
      <c r="E298" s="542"/>
      <c r="F298" s="542"/>
      <c r="G298" s="542"/>
      <c r="H298" s="542"/>
      <c r="I298" s="542"/>
      <c r="J298" s="542"/>
      <c r="K298" s="543"/>
      <c r="L298" s="542"/>
      <c r="M298" s="542"/>
      <c r="N298" s="322"/>
      <c r="O298" s="574"/>
      <c r="P298" s="324">
        <v>-500.0</v>
      </c>
      <c r="Q298" s="545">
        <f t="shared" si="51"/>
        <v>13467.19</v>
      </c>
      <c r="R298" s="546" t="s">
        <v>306</v>
      </c>
    </row>
    <row r="299">
      <c r="B299" s="567"/>
      <c r="C299" s="575"/>
      <c r="D299" s="575"/>
      <c r="E299" s="542"/>
      <c r="F299" s="542"/>
      <c r="G299" s="542"/>
      <c r="H299" s="542"/>
      <c r="I299" s="542"/>
      <c r="J299" s="542"/>
      <c r="K299" s="543"/>
      <c r="L299" s="542"/>
      <c r="M299" s="542"/>
      <c r="N299" s="322"/>
      <c r="O299" s="574"/>
      <c r="P299" s="577">
        <v>-2342.06</v>
      </c>
      <c r="Q299" s="545">
        <f t="shared" si="51"/>
        <v>11125.13</v>
      </c>
      <c r="R299" s="546" t="s">
        <v>55</v>
      </c>
    </row>
    <row r="300">
      <c r="B300" s="578" t="s">
        <v>40</v>
      </c>
      <c r="C300" s="579" t="s">
        <v>66</v>
      </c>
      <c r="D300" s="580">
        <f t="shared" ref="D300:P300" si="52">sum(D274:D299)</f>
        <v>24</v>
      </c>
      <c r="E300" s="430">
        <f t="shared" si="52"/>
        <v>65900</v>
      </c>
      <c r="F300" s="430">
        <f t="shared" si="52"/>
        <v>4950</v>
      </c>
      <c r="G300" s="430">
        <f t="shared" si="52"/>
        <v>0</v>
      </c>
      <c r="H300" s="430">
        <f t="shared" si="52"/>
        <v>0</v>
      </c>
      <c r="I300" s="430">
        <f t="shared" si="52"/>
        <v>0</v>
      </c>
      <c r="J300" s="430">
        <f t="shared" si="52"/>
        <v>21850</v>
      </c>
      <c r="K300" s="581">
        <f t="shared" si="52"/>
        <v>0</v>
      </c>
      <c r="L300" s="430">
        <f t="shared" si="52"/>
        <v>9500</v>
      </c>
      <c r="M300" s="430">
        <f t="shared" si="52"/>
        <v>12775</v>
      </c>
      <c r="N300" s="430">
        <f t="shared" si="52"/>
        <v>24275</v>
      </c>
      <c r="O300" s="430">
        <f t="shared" si="52"/>
        <v>-12600</v>
      </c>
      <c r="P300" s="430">
        <f t="shared" si="52"/>
        <v>-6721.41</v>
      </c>
      <c r="Q300" s="582">
        <f>Q299</f>
        <v>11125.13</v>
      </c>
      <c r="R300" s="583"/>
    </row>
    <row r="301">
      <c r="B301" s="584" t="s">
        <v>96</v>
      </c>
      <c r="C301" s="585">
        <v>46056.0</v>
      </c>
      <c r="D301" s="566">
        <v>1.0</v>
      </c>
      <c r="E301" s="586">
        <v>3800.0</v>
      </c>
      <c r="F301" s="587"/>
      <c r="G301" s="587"/>
      <c r="H301" s="587"/>
      <c r="I301" s="587"/>
      <c r="J301" s="586">
        <v>1000.0</v>
      </c>
      <c r="K301" s="589">
        <f t="shared" ref="K301:K317" si="53">E301-J301-L301-M301-N301-I301+F301-P301</f>
        <v>0</v>
      </c>
      <c r="L301" s="587"/>
      <c r="M301" s="587"/>
      <c r="N301" s="590">
        <v>2800.0</v>
      </c>
      <c r="O301" s="590">
        <v>-700.0</v>
      </c>
      <c r="P301" s="591"/>
      <c r="Q301" s="592">
        <f t="shared" ref="Q301:Q304" si="54">Q300+N301+O301+P301</f>
        <v>13225.13</v>
      </c>
      <c r="R301" s="593"/>
    </row>
    <row r="302">
      <c r="B302" s="584"/>
      <c r="C302" s="585">
        <v>46085.0</v>
      </c>
      <c r="D302" s="594">
        <v>1.0</v>
      </c>
      <c r="E302" s="586">
        <v>2800.0</v>
      </c>
      <c r="F302" s="595">
        <v>400.0</v>
      </c>
      <c r="G302" s="587"/>
      <c r="H302" s="587"/>
      <c r="I302" s="587"/>
      <c r="J302" s="586">
        <f>1000+400</f>
        <v>1400</v>
      </c>
      <c r="K302" s="589">
        <f t="shared" si="53"/>
        <v>0</v>
      </c>
      <c r="L302" s="587"/>
      <c r="M302" s="595">
        <v>1800.0</v>
      </c>
      <c r="N302" s="596"/>
      <c r="O302" s="590">
        <v>-700.0</v>
      </c>
      <c r="P302" s="591"/>
      <c r="Q302" s="592">
        <f t="shared" si="54"/>
        <v>12525.13</v>
      </c>
      <c r="R302" s="593"/>
    </row>
    <row r="303">
      <c r="B303" s="597"/>
      <c r="C303" s="598">
        <v>46118.0</v>
      </c>
      <c r="D303" s="599"/>
      <c r="E303" s="600"/>
      <c r="F303" s="600"/>
      <c r="G303" s="600"/>
      <c r="H303" s="600"/>
      <c r="I303" s="600"/>
      <c r="J303" s="600"/>
      <c r="K303" s="601">
        <f t="shared" si="53"/>
        <v>0</v>
      </c>
      <c r="L303" s="600"/>
      <c r="M303" s="602"/>
      <c r="N303" s="602"/>
      <c r="O303" s="600"/>
      <c r="P303" s="600"/>
      <c r="Q303" s="449">
        <f t="shared" si="54"/>
        <v>12525.13</v>
      </c>
      <c r="R303" s="597"/>
    </row>
    <row r="304">
      <c r="B304" s="584"/>
      <c r="C304" s="585">
        <v>46181.0</v>
      </c>
      <c r="D304" s="566">
        <v>2.0</v>
      </c>
      <c r="E304" s="586">
        <v>4100.0</v>
      </c>
      <c r="F304" s="595">
        <v>800.0</v>
      </c>
      <c r="G304" s="587"/>
      <c r="H304" s="587"/>
      <c r="I304" s="587"/>
      <c r="J304" s="586">
        <v>1500.0</v>
      </c>
      <c r="K304" s="589">
        <f t="shared" si="53"/>
        <v>0</v>
      </c>
      <c r="L304" s="587"/>
      <c r="M304" s="603"/>
      <c r="N304" s="577">
        <v>2600.0</v>
      </c>
      <c r="O304" s="590">
        <v>-700.0</v>
      </c>
      <c r="P304" s="604">
        <v>800.0</v>
      </c>
      <c r="Q304" s="592">
        <f t="shared" si="54"/>
        <v>15225.13</v>
      </c>
      <c r="R304" s="605" t="s">
        <v>43</v>
      </c>
    </row>
    <row r="305">
      <c r="B305" s="597"/>
      <c r="C305" s="598">
        <v>46243.0</v>
      </c>
      <c r="D305" s="599"/>
      <c r="E305" s="600"/>
      <c r="F305" s="600"/>
      <c r="G305" s="600"/>
      <c r="H305" s="600"/>
      <c r="I305" s="600"/>
      <c r="J305" s="600"/>
      <c r="K305" s="601">
        <f t="shared" si="53"/>
        <v>0</v>
      </c>
      <c r="L305" s="600"/>
      <c r="M305" s="602"/>
      <c r="N305" s="602"/>
      <c r="O305" s="600"/>
      <c r="P305" s="600"/>
      <c r="Q305" s="449">
        <f>Q304+N305+O305+P21632</f>
        <v>15225.13</v>
      </c>
      <c r="R305" s="597"/>
    </row>
    <row r="306">
      <c r="B306" s="584"/>
      <c r="C306" s="585">
        <v>46275.0</v>
      </c>
      <c r="D306" s="566">
        <v>1.0</v>
      </c>
      <c r="E306" s="586">
        <v>2500.0</v>
      </c>
      <c r="F306" s="587"/>
      <c r="G306" s="587"/>
      <c r="H306" s="587"/>
      <c r="I306" s="587"/>
      <c r="J306" s="586">
        <v>1000.0</v>
      </c>
      <c r="K306" s="589">
        <f t="shared" si="53"/>
        <v>0</v>
      </c>
      <c r="L306" s="587"/>
      <c r="M306" s="603"/>
      <c r="N306" s="577">
        <v>1500.0</v>
      </c>
      <c r="O306" s="590">
        <v>-700.0</v>
      </c>
      <c r="P306" s="591"/>
      <c r="Q306" s="592">
        <f t="shared" ref="Q306:Q322" si="55">Q305+N306+O306+P306</f>
        <v>16025.13</v>
      </c>
      <c r="R306" s="593"/>
    </row>
    <row r="307">
      <c r="B307" s="584"/>
      <c r="C307" s="585">
        <v>46306.0</v>
      </c>
      <c r="D307" s="566">
        <v>1.0</v>
      </c>
      <c r="E307" s="586">
        <v>2800.0</v>
      </c>
      <c r="F307" s="587"/>
      <c r="G307" s="587"/>
      <c r="H307" s="587"/>
      <c r="I307" s="587"/>
      <c r="J307" s="586">
        <v>1000.0</v>
      </c>
      <c r="K307" s="589">
        <f t="shared" si="53"/>
        <v>0</v>
      </c>
      <c r="L307" s="587"/>
      <c r="M307" s="606">
        <v>1800.0</v>
      </c>
      <c r="N307" s="577"/>
      <c r="O307" s="590">
        <v>-700.0</v>
      </c>
      <c r="P307" s="591"/>
      <c r="Q307" s="592">
        <f t="shared" si="55"/>
        <v>15325.13</v>
      </c>
      <c r="R307" s="593"/>
    </row>
    <row r="308">
      <c r="B308" s="597"/>
      <c r="C308" s="598">
        <v>46342.0</v>
      </c>
      <c r="D308" s="599"/>
      <c r="E308" s="600"/>
      <c r="F308" s="608">
        <v>400.0</v>
      </c>
      <c r="G308" s="600"/>
      <c r="H308" s="609" t="s">
        <v>309</v>
      </c>
      <c r="I308" s="600"/>
      <c r="J308" s="600"/>
      <c r="K308" s="601">
        <f t="shared" si="53"/>
        <v>0</v>
      </c>
      <c r="L308" s="600"/>
      <c r="M308" s="602"/>
      <c r="N308" s="602"/>
      <c r="O308" s="600"/>
      <c r="P308" s="608">
        <v>400.0</v>
      </c>
      <c r="Q308" s="449">
        <f t="shared" si="55"/>
        <v>15725.13</v>
      </c>
      <c r="R308" s="609" t="s">
        <v>310</v>
      </c>
    </row>
    <row r="309">
      <c r="B309" s="584"/>
      <c r="C309" s="566" t="s">
        <v>31</v>
      </c>
      <c r="D309" s="566">
        <v>1.0</v>
      </c>
      <c r="E309" s="586">
        <v>2500.0</v>
      </c>
      <c r="F309" s="587"/>
      <c r="G309" s="587"/>
      <c r="H309" s="595" t="s">
        <v>311</v>
      </c>
      <c r="I309" s="587"/>
      <c r="J309" s="586">
        <v>1000.0</v>
      </c>
      <c r="K309" s="589">
        <f t="shared" si="53"/>
        <v>0</v>
      </c>
      <c r="L309" s="587"/>
      <c r="M309" s="606">
        <v>1500.0</v>
      </c>
      <c r="N309" s="610"/>
      <c r="O309" s="590">
        <v>-700.0</v>
      </c>
      <c r="P309" s="591"/>
      <c r="Q309" s="592">
        <f t="shared" si="55"/>
        <v>15025.13</v>
      </c>
      <c r="R309" s="593"/>
    </row>
    <row r="310">
      <c r="B310" s="584"/>
      <c r="C310" s="566" t="s">
        <v>32</v>
      </c>
      <c r="D310" s="566">
        <v>1.0</v>
      </c>
      <c r="E310" s="586">
        <v>3150.0</v>
      </c>
      <c r="F310" s="587"/>
      <c r="G310" s="587"/>
      <c r="H310" s="595" t="s">
        <v>312</v>
      </c>
      <c r="I310" s="587"/>
      <c r="J310" s="586">
        <v>1000.0</v>
      </c>
      <c r="K310" s="589">
        <f t="shared" si="53"/>
        <v>0</v>
      </c>
      <c r="L310" s="587"/>
      <c r="M310" s="606">
        <v>2150.0</v>
      </c>
      <c r="N310" s="610"/>
      <c r="O310" s="590">
        <v>-700.0</v>
      </c>
      <c r="P310" s="591"/>
      <c r="Q310" s="592">
        <f t="shared" si="55"/>
        <v>14325.13</v>
      </c>
      <c r="R310" s="593"/>
    </row>
    <row r="311">
      <c r="B311" s="584"/>
      <c r="C311" s="566" t="s">
        <v>33</v>
      </c>
      <c r="D311" s="566">
        <v>1.0</v>
      </c>
      <c r="E311" s="586">
        <v>2000.0</v>
      </c>
      <c r="F311" s="587"/>
      <c r="G311" s="587"/>
      <c r="H311" s="587"/>
      <c r="I311" s="587"/>
      <c r="J311" s="586">
        <v>1000.0</v>
      </c>
      <c r="K311" s="589">
        <f t="shared" si="53"/>
        <v>0</v>
      </c>
      <c r="L311" s="587"/>
      <c r="M311" s="603"/>
      <c r="N311" s="577">
        <v>1000.0</v>
      </c>
      <c r="O311" s="590">
        <v>-700.0</v>
      </c>
      <c r="P311" s="591"/>
      <c r="Q311" s="592">
        <f t="shared" si="55"/>
        <v>14625.13</v>
      </c>
      <c r="R311" s="593"/>
    </row>
    <row r="312">
      <c r="B312" s="597"/>
      <c r="C312" s="613" t="s">
        <v>249</v>
      </c>
      <c r="D312" s="599"/>
      <c r="E312" s="600"/>
      <c r="F312" s="600"/>
      <c r="G312" s="600"/>
      <c r="H312" s="600"/>
      <c r="I312" s="600"/>
      <c r="J312" s="600"/>
      <c r="K312" s="601">
        <f t="shared" si="53"/>
        <v>0</v>
      </c>
      <c r="L312" s="600"/>
      <c r="M312" s="602"/>
      <c r="N312" s="602"/>
      <c r="O312" s="600"/>
      <c r="P312" s="600"/>
      <c r="Q312" s="449">
        <f t="shared" si="55"/>
        <v>14625.13</v>
      </c>
      <c r="R312" s="597"/>
    </row>
    <row r="313">
      <c r="B313" s="584"/>
      <c r="C313" s="566" t="s">
        <v>44</v>
      </c>
      <c r="D313" s="566">
        <v>1.0</v>
      </c>
      <c r="E313" s="586">
        <v>2800.0</v>
      </c>
      <c r="F313" s="587"/>
      <c r="G313" s="587"/>
      <c r="H313" s="587"/>
      <c r="I313" s="587"/>
      <c r="J313" s="586">
        <v>1000.0</v>
      </c>
      <c r="K313" s="589">
        <f t="shared" si="53"/>
        <v>0</v>
      </c>
      <c r="L313" s="587"/>
      <c r="M313" s="603"/>
      <c r="N313" s="577">
        <v>1800.0</v>
      </c>
      <c r="O313" s="590">
        <v>-700.0</v>
      </c>
      <c r="P313" s="591"/>
      <c r="Q313" s="592">
        <f t="shared" si="55"/>
        <v>15725.13</v>
      </c>
      <c r="R313" s="593"/>
    </row>
    <row r="314">
      <c r="B314" s="597"/>
      <c r="C314" s="613" t="s">
        <v>315</v>
      </c>
      <c r="D314" s="599"/>
      <c r="E314" s="600"/>
      <c r="F314" s="600"/>
      <c r="G314" s="600"/>
      <c r="H314" s="600"/>
      <c r="I314" s="600"/>
      <c r="J314" s="600"/>
      <c r="K314" s="601">
        <f t="shared" si="53"/>
        <v>0</v>
      </c>
      <c r="L314" s="600"/>
      <c r="M314" s="602"/>
      <c r="N314" s="602"/>
      <c r="O314" s="600"/>
      <c r="P314" s="600"/>
      <c r="Q314" s="449">
        <f t="shared" si="55"/>
        <v>15725.13</v>
      </c>
      <c r="R314" s="597"/>
    </row>
    <row r="315">
      <c r="B315" s="584"/>
      <c r="C315" s="566" t="s">
        <v>49</v>
      </c>
      <c r="D315" s="566">
        <v>1.0</v>
      </c>
      <c r="E315" s="586">
        <v>2300.0</v>
      </c>
      <c r="F315" s="586">
        <v>800.0</v>
      </c>
      <c r="G315" s="587"/>
      <c r="H315" s="587"/>
      <c r="I315" s="587"/>
      <c r="J315" s="586">
        <v>1000.0</v>
      </c>
      <c r="K315" s="589">
        <f t="shared" si="53"/>
        <v>0</v>
      </c>
      <c r="L315" s="587"/>
      <c r="M315" s="606">
        <v>800.0</v>
      </c>
      <c r="N315" s="577">
        <v>1300.0</v>
      </c>
      <c r="O315" s="590">
        <v>-700.0</v>
      </c>
      <c r="P315" s="591"/>
      <c r="Q315" s="592">
        <f t="shared" si="55"/>
        <v>16325.13</v>
      </c>
      <c r="R315" s="593"/>
    </row>
    <row r="316">
      <c r="B316" s="597"/>
      <c r="C316" s="613" t="s">
        <v>50</v>
      </c>
      <c r="D316" s="599"/>
      <c r="E316" s="600"/>
      <c r="F316" s="600"/>
      <c r="G316" s="600"/>
      <c r="H316" s="600"/>
      <c r="I316" s="600"/>
      <c r="J316" s="600"/>
      <c r="K316" s="601">
        <f t="shared" si="53"/>
        <v>0</v>
      </c>
      <c r="L316" s="600"/>
      <c r="M316" s="602"/>
      <c r="N316" s="602"/>
      <c r="O316" s="600"/>
      <c r="P316" s="600"/>
      <c r="Q316" s="449">
        <f t="shared" si="55"/>
        <v>16325.13</v>
      </c>
      <c r="R316" s="597"/>
    </row>
    <row r="317">
      <c r="B317" s="584"/>
      <c r="C317" s="566" t="s">
        <v>52</v>
      </c>
      <c r="D317" s="566">
        <v>1.0</v>
      </c>
      <c r="E317" s="586">
        <v>3150.0</v>
      </c>
      <c r="F317" s="614"/>
      <c r="G317" s="587"/>
      <c r="H317" s="587"/>
      <c r="I317" s="587"/>
      <c r="J317" s="586">
        <v>1000.0</v>
      </c>
      <c r="K317" s="589">
        <f t="shared" si="53"/>
        <v>0</v>
      </c>
      <c r="L317" s="587"/>
      <c r="M317" s="603"/>
      <c r="N317" s="577">
        <v>2150.0</v>
      </c>
      <c r="O317" s="590">
        <v>-700.0</v>
      </c>
      <c r="P317" s="604"/>
      <c r="Q317" s="592">
        <f t="shared" si="55"/>
        <v>17775.13</v>
      </c>
      <c r="R317" s="593"/>
    </row>
    <row r="318">
      <c r="B318" s="584"/>
      <c r="C318" s="594"/>
      <c r="D318" s="594"/>
      <c r="E318" s="614"/>
      <c r="F318" s="587"/>
      <c r="G318" s="587"/>
      <c r="H318" s="587"/>
      <c r="I318" s="587"/>
      <c r="J318" s="614"/>
      <c r="K318" s="589"/>
      <c r="L318" s="587"/>
      <c r="M318" s="603"/>
      <c r="N318" s="610"/>
      <c r="O318" s="596"/>
      <c r="P318" s="590">
        <v>-2385.0</v>
      </c>
      <c r="Q318" s="592">
        <f t="shared" si="55"/>
        <v>15390.13</v>
      </c>
      <c r="R318" s="605" t="s">
        <v>55</v>
      </c>
    </row>
    <row r="319">
      <c r="B319" s="584"/>
      <c r="C319" s="616"/>
      <c r="D319" s="616"/>
      <c r="E319" s="587"/>
      <c r="F319" s="587"/>
      <c r="G319" s="587"/>
      <c r="H319" s="587"/>
      <c r="I319" s="587"/>
      <c r="J319" s="587"/>
      <c r="K319" s="617"/>
      <c r="L319" s="587"/>
      <c r="M319" s="603"/>
      <c r="N319" s="618"/>
      <c r="O319" s="591"/>
      <c r="P319" s="604">
        <v>-6890.75</v>
      </c>
      <c r="Q319" s="592">
        <f t="shared" si="55"/>
        <v>8499.38</v>
      </c>
      <c r="R319" s="593" t="s">
        <v>266</v>
      </c>
    </row>
    <row r="320">
      <c r="B320" s="584"/>
      <c r="C320" s="616"/>
      <c r="D320" s="616"/>
      <c r="E320" s="587"/>
      <c r="F320" s="587"/>
      <c r="G320" s="587"/>
      <c r="H320" s="587"/>
      <c r="I320" s="587"/>
      <c r="J320" s="587"/>
      <c r="K320" s="617"/>
      <c r="L320" s="587"/>
      <c r="M320" s="603"/>
      <c r="N320" s="618"/>
      <c r="O320" s="591"/>
      <c r="P320" s="604">
        <v>-100.0</v>
      </c>
      <c r="Q320" s="592">
        <f t="shared" si="55"/>
        <v>8399.38</v>
      </c>
      <c r="R320" s="593" t="s">
        <v>267</v>
      </c>
    </row>
    <row r="321">
      <c r="B321" s="584"/>
      <c r="C321" s="616"/>
      <c r="D321" s="616"/>
      <c r="E321" s="587"/>
      <c r="F321" s="587"/>
      <c r="G321" s="587"/>
      <c r="H321" s="587"/>
      <c r="I321" s="587"/>
      <c r="J321" s="587"/>
      <c r="K321" s="619"/>
      <c r="L321" s="587"/>
      <c r="M321" s="603"/>
      <c r="N321" s="618"/>
      <c r="O321" s="591"/>
      <c r="P321" s="590">
        <v>-500.0</v>
      </c>
      <c r="Q321" s="592">
        <f t="shared" si="55"/>
        <v>7899.38</v>
      </c>
      <c r="R321" s="605" t="s">
        <v>318</v>
      </c>
    </row>
    <row r="322">
      <c r="B322" s="584"/>
      <c r="C322" s="616"/>
      <c r="D322" s="616"/>
      <c r="E322" s="587"/>
      <c r="F322" s="587"/>
      <c r="G322" s="587"/>
      <c r="H322" s="587"/>
      <c r="I322" s="587"/>
      <c r="J322" s="587"/>
      <c r="K322" s="619"/>
      <c r="L322" s="587"/>
      <c r="M322" s="603"/>
      <c r="N322" s="618"/>
      <c r="O322" s="591"/>
      <c r="P322" s="604">
        <v>-1047.75</v>
      </c>
      <c r="Q322" s="592">
        <f t="shared" si="55"/>
        <v>6851.63</v>
      </c>
      <c r="R322" s="605" t="s">
        <v>319</v>
      </c>
    </row>
    <row r="323">
      <c r="B323" s="620" t="s">
        <v>96</v>
      </c>
      <c r="C323" s="621" t="s">
        <v>66</v>
      </c>
      <c r="D323" s="622">
        <f t="shared" ref="D323:P323" si="56">sum(D301:D322)</f>
        <v>12</v>
      </c>
      <c r="E323" s="623">
        <f t="shared" si="56"/>
        <v>31900</v>
      </c>
      <c r="F323" s="623">
        <f t="shared" si="56"/>
        <v>2400</v>
      </c>
      <c r="G323" s="623">
        <f t="shared" si="56"/>
        <v>0</v>
      </c>
      <c r="H323" s="623">
        <f t="shared" si="56"/>
        <v>0</v>
      </c>
      <c r="I323" s="623">
        <f t="shared" si="56"/>
        <v>0</v>
      </c>
      <c r="J323" s="623">
        <f t="shared" si="56"/>
        <v>11900</v>
      </c>
      <c r="K323" s="623">
        <f t="shared" si="56"/>
        <v>0</v>
      </c>
      <c r="L323" s="623">
        <f t="shared" si="56"/>
        <v>0</v>
      </c>
      <c r="M323" s="623">
        <f t="shared" si="56"/>
        <v>8050</v>
      </c>
      <c r="N323" s="623">
        <f t="shared" si="56"/>
        <v>13150</v>
      </c>
      <c r="O323" s="623">
        <f t="shared" si="56"/>
        <v>-7700</v>
      </c>
      <c r="P323" s="624">
        <f t="shared" si="56"/>
        <v>-9723.5</v>
      </c>
      <c r="Q323" s="625">
        <f>Q322</f>
        <v>6851.63</v>
      </c>
      <c r="R323" s="626"/>
    </row>
    <row r="324">
      <c r="B324" s="627" t="s">
        <v>38</v>
      </c>
      <c r="C324" s="585">
        <v>46025.0</v>
      </c>
      <c r="D324" s="566">
        <v>2.0</v>
      </c>
      <c r="E324" s="586">
        <v>4000.0</v>
      </c>
      <c r="F324" s="595">
        <v>700.0</v>
      </c>
      <c r="G324" s="587"/>
      <c r="H324" s="587"/>
      <c r="I324" s="587"/>
      <c r="J324" s="586">
        <v>1850.0</v>
      </c>
      <c r="K324" s="589">
        <f t="shared" ref="K324:K342" si="57">E324-J324-L324-M324-N324-I324+F324-P324</f>
        <v>0</v>
      </c>
      <c r="L324" s="587"/>
      <c r="M324" s="587"/>
      <c r="N324" s="590">
        <v>2850.0</v>
      </c>
      <c r="O324" s="590">
        <v>-700.0</v>
      </c>
      <c r="P324" s="591"/>
      <c r="Q324" s="592">
        <f t="shared" ref="Q324:Q327" si="58">Q323+N324+O324+P324</f>
        <v>9001.63</v>
      </c>
      <c r="R324" s="593"/>
    </row>
    <row r="325">
      <c r="B325" s="584"/>
      <c r="C325" s="585">
        <v>46085.0</v>
      </c>
      <c r="D325" s="566">
        <v>1.0</v>
      </c>
      <c r="E325" s="586">
        <v>2300.0</v>
      </c>
      <c r="F325" s="587"/>
      <c r="G325" s="587"/>
      <c r="H325" s="587"/>
      <c r="I325" s="587"/>
      <c r="J325" s="586">
        <v>1000.0</v>
      </c>
      <c r="K325" s="589">
        <f t="shared" si="57"/>
        <v>0</v>
      </c>
      <c r="L325" s="587"/>
      <c r="M325" s="595">
        <v>1300.0</v>
      </c>
      <c r="N325" s="596"/>
      <c r="O325" s="590">
        <v>-700.0</v>
      </c>
      <c r="P325" s="591"/>
      <c r="Q325" s="592">
        <f t="shared" si="58"/>
        <v>8301.63</v>
      </c>
      <c r="R325" s="593"/>
    </row>
    <row r="326">
      <c r="B326" s="584"/>
      <c r="C326" s="585">
        <v>46117.0</v>
      </c>
      <c r="D326" s="566">
        <v>1.0</v>
      </c>
      <c r="E326" s="586">
        <v>1800.0</v>
      </c>
      <c r="F326" s="587"/>
      <c r="G326" s="587"/>
      <c r="H326" s="587"/>
      <c r="I326" s="587"/>
      <c r="J326" s="586">
        <v>1000.0</v>
      </c>
      <c r="K326" s="589">
        <f t="shared" si="57"/>
        <v>0</v>
      </c>
      <c r="L326" s="587"/>
      <c r="M326" s="603"/>
      <c r="N326" s="577">
        <v>800.0</v>
      </c>
      <c r="O326" s="590">
        <v>-700.0</v>
      </c>
      <c r="P326" s="591"/>
      <c r="Q326" s="592">
        <f t="shared" si="58"/>
        <v>8401.63</v>
      </c>
      <c r="R326" s="593"/>
    </row>
    <row r="327">
      <c r="B327" s="597"/>
      <c r="C327" s="598">
        <v>46148.0</v>
      </c>
      <c r="D327" s="599"/>
      <c r="E327" s="600"/>
      <c r="F327" s="600"/>
      <c r="G327" s="600"/>
      <c r="H327" s="600"/>
      <c r="I327" s="600"/>
      <c r="J327" s="600"/>
      <c r="K327" s="601">
        <f t="shared" si="57"/>
        <v>0</v>
      </c>
      <c r="L327" s="600"/>
      <c r="M327" s="602"/>
      <c r="N327" s="602"/>
      <c r="O327" s="600"/>
      <c r="P327" s="600"/>
      <c r="Q327" s="449">
        <f t="shared" si="58"/>
        <v>8401.63</v>
      </c>
      <c r="R327" s="597"/>
    </row>
    <row r="328">
      <c r="B328" s="584"/>
      <c r="C328" s="585">
        <v>46182.0</v>
      </c>
      <c r="D328" s="566">
        <v>3.0</v>
      </c>
      <c r="E328" s="586">
        <v>8500.0</v>
      </c>
      <c r="F328" s="587"/>
      <c r="G328" s="587"/>
      <c r="H328" s="587"/>
      <c r="I328" s="587"/>
      <c r="J328" s="586">
        <v>2000.0</v>
      </c>
      <c r="K328" s="589">
        <f t="shared" si="57"/>
        <v>0</v>
      </c>
      <c r="L328" s="587"/>
      <c r="M328" s="603"/>
      <c r="N328" s="577">
        <v>6500.0</v>
      </c>
      <c r="O328" s="590">
        <v>-700.0</v>
      </c>
      <c r="P328" s="591"/>
      <c r="Q328" s="592">
        <f>Q327+N328+O328+P21655</f>
        <v>14201.63</v>
      </c>
      <c r="R328" s="593"/>
    </row>
    <row r="329">
      <c r="B329" s="584"/>
      <c r="C329" s="585">
        <v>46276.0</v>
      </c>
      <c r="D329" s="566">
        <v>2.0</v>
      </c>
      <c r="E329" s="586">
        <v>4800.0</v>
      </c>
      <c r="F329" s="595">
        <v>700.0</v>
      </c>
      <c r="G329" s="587"/>
      <c r="H329" s="587"/>
      <c r="I329" s="587"/>
      <c r="J329" s="586">
        <v>1500.0</v>
      </c>
      <c r="K329" s="589">
        <f t="shared" si="57"/>
        <v>0</v>
      </c>
      <c r="L329" s="587"/>
      <c r="M329" s="603"/>
      <c r="N329" s="577">
        <v>4000.0</v>
      </c>
      <c r="O329" s="590">
        <v>-700.0</v>
      </c>
      <c r="P329" s="591"/>
      <c r="Q329" s="592">
        <f t="shared" ref="Q329:Q347" si="59">Q328+N329+O329+P329</f>
        <v>17501.63</v>
      </c>
      <c r="R329" s="593"/>
    </row>
    <row r="330" hidden="1">
      <c r="B330" s="597"/>
      <c r="C330" s="598">
        <v>46339.0</v>
      </c>
      <c r="D330" s="599"/>
      <c r="E330" s="600"/>
      <c r="F330" s="608">
        <v>450.0</v>
      </c>
      <c r="G330" s="600"/>
      <c r="H330" s="629"/>
      <c r="I330" s="600"/>
      <c r="J330" s="600"/>
      <c r="K330" s="601">
        <f t="shared" si="57"/>
        <v>0</v>
      </c>
      <c r="L330" s="600"/>
      <c r="M330" s="630">
        <v>450.0</v>
      </c>
      <c r="N330" s="602"/>
      <c r="O330" s="600"/>
      <c r="P330" s="608"/>
      <c r="Q330" s="449">
        <f t="shared" si="59"/>
        <v>17501.63</v>
      </c>
      <c r="R330" s="609"/>
    </row>
    <row r="331">
      <c r="B331" s="584"/>
      <c r="C331" s="566" t="s">
        <v>117</v>
      </c>
      <c r="D331" s="566">
        <v>2.0</v>
      </c>
      <c r="E331" s="586">
        <v>4832.0</v>
      </c>
      <c r="F331" s="595">
        <v>400.0</v>
      </c>
      <c r="G331" s="587"/>
      <c r="H331" s="595" t="s">
        <v>42</v>
      </c>
      <c r="I331" s="587"/>
      <c r="J331" s="586">
        <v>400.0</v>
      </c>
      <c r="K331" s="589">
        <f t="shared" si="57"/>
        <v>0</v>
      </c>
      <c r="L331" s="595">
        <v>4832.0</v>
      </c>
      <c r="M331" s="603"/>
      <c r="N331" s="610"/>
      <c r="O331" s="590">
        <v>-700.0</v>
      </c>
      <c r="P331" s="591"/>
      <c r="Q331" s="592">
        <f t="shared" si="59"/>
        <v>16801.63</v>
      </c>
      <c r="R331" s="593"/>
    </row>
    <row r="332">
      <c r="B332" s="584"/>
      <c r="C332" s="566" t="s">
        <v>30</v>
      </c>
      <c r="D332" s="566">
        <v>1.0</v>
      </c>
      <c r="E332" s="586">
        <f>1000+2800</f>
        <v>3800</v>
      </c>
      <c r="F332" s="595"/>
      <c r="G332" s="587"/>
      <c r="H332" s="595" t="s">
        <v>81</v>
      </c>
      <c r="I332" s="587"/>
      <c r="J332" s="586">
        <v>1000.0</v>
      </c>
      <c r="K332" s="589">
        <f t="shared" si="57"/>
        <v>0</v>
      </c>
      <c r="L332" s="587"/>
      <c r="M332" s="603"/>
      <c r="N332" s="577">
        <v>2800.0</v>
      </c>
      <c r="O332" s="590">
        <v>-700.0</v>
      </c>
      <c r="P332" s="591"/>
      <c r="Q332" s="592">
        <f t="shared" si="59"/>
        <v>18901.63</v>
      </c>
      <c r="R332" s="593"/>
    </row>
    <row r="333">
      <c r="B333" s="584"/>
      <c r="C333" s="566" t="s">
        <v>31</v>
      </c>
      <c r="D333" s="566">
        <v>1.0</v>
      </c>
      <c r="E333" s="586">
        <v>2300.0</v>
      </c>
      <c r="F333" s="595">
        <v>400.0</v>
      </c>
      <c r="G333" s="587"/>
      <c r="H333" s="595"/>
      <c r="I333" s="587"/>
      <c r="J333" s="586">
        <f>1000+400</f>
        <v>1400</v>
      </c>
      <c r="K333" s="589">
        <f t="shared" si="57"/>
        <v>0</v>
      </c>
      <c r="L333" s="587"/>
      <c r="M333" s="603"/>
      <c r="N333" s="577">
        <v>1300.0</v>
      </c>
      <c r="O333" s="590">
        <v>-700.0</v>
      </c>
      <c r="P333" s="591"/>
      <c r="Q333" s="592">
        <f t="shared" si="59"/>
        <v>19501.63</v>
      </c>
      <c r="R333" s="593"/>
    </row>
    <row r="334">
      <c r="B334" s="584"/>
      <c r="C334" s="566" t="s">
        <v>32</v>
      </c>
      <c r="D334" s="566">
        <v>1.0</v>
      </c>
      <c r="E334" s="586">
        <v>2200.0</v>
      </c>
      <c r="F334" s="595">
        <v>400.0</v>
      </c>
      <c r="G334" s="587"/>
      <c r="H334" s="587"/>
      <c r="I334" s="587"/>
      <c r="J334" s="586">
        <v>1275.0</v>
      </c>
      <c r="K334" s="589">
        <f t="shared" si="57"/>
        <v>0</v>
      </c>
      <c r="L334" s="587"/>
      <c r="M334" s="603"/>
      <c r="N334" s="577">
        <v>1325.0</v>
      </c>
      <c r="O334" s="590">
        <v>-700.0</v>
      </c>
      <c r="P334" s="591"/>
      <c r="Q334" s="592">
        <f t="shared" si="59"/>
        <v>20126.63</v>
      </c>
      <c r="R334" s="593"/>
      <c r="AR334" s="174" t="s">
        <v>321</v>
      </c>
      <c r="AS334" s="174"/>
      <c r="AT334" s="174"/>
    </row>
    <row r="335">
      <c r="B335" s="597"/>
      <c r="C335" s="613" t="s">
        <v>33</v>
      </c>
      <c r="D335" s="599"/>
      <c r="E335" s="600"/>
      <c r="F335" s="600"/>
      <c r="G335" s="600"/>
      <c r="H335" s="600"/>
      <c r="I335" s="600"/>
      <c r="J335" s="600"/>
      <c r="K335" s="601">
        <f t="shared" si="57"/>
        <v>0</v>
      </c>
      <c r="L335" s="600"/>
      <c r="M335" s="602"/>
      <c r="N335" s="602"/>
      <c r="O335" s="600"/>
      <c r="P335" s="600"/>
      <c r="Q335" s="449">
        <f t="shared" si="59"/>
        <v>20126.63</v>
      </c>
      <c r="R335" s="597"/>
    </row>
    <row r="336">
      <c r="B336" s="584"/>
      <c r="C336" s="566" t="s">
        <v>34</v>
      </c>
      <c r="D336" s="566">
        <v>1.0</v>
      </c>
      <c r="E336" s="586">
        <v>1800.0</v>
      </c>
      <c r="F336" s="595">
        <v>400.0</v>
      </c>
      <c r="G336" s="587"/>
      <c r="H336" s="587"/>
      <c r="I336" s="587"/>
      <c r="J336" s="586">
        <v>500.0</v>
      </c>
      <c r="K336" s="589">
        <f t="shared" si="57"/>
        <v>0</v>
      </c>
      <c r="L336" s="587"/>
      <c r="M336" s="606">
        <v>1700.0</v>
      </c>
      <c r="N336" s="577"/>
      <c r="O336" s="590">
        <v>-700.0</v>
      </c>
      <c r="P336" s="591"/>
      <c r="Q336" s="592">
        <f t="shared" si="59"/>
        <v>19426.63</v>
      </c>
      <c r="R336" s="593"/>
    </row>
    <row r="337">
      <c r="B337" s="584"/>
      <c r="C337" s="566" t="s">
        <v>69</v>
      </c>
      <c r="D337" s="566">
        <v>1.0</v>
      </c>
      <c r="E337" s="586">
        <v>3000.0</v>
      </c>
      <c r="F337" s="586">
        <v>400.0</v>
      </c>
      <c r="G337" s="587"/>
      <c r="H337" s="587"/>
      <c r="I337" s="587"/>
      <c r="J337" s="586">
        <v>1000.0</v>
      </c>
      <c r="K337" s="589">
        <f t="shared" si="57"/>
        <v>0</v>
      </c>
      <c r="L337" s="587"/>
      <c r="M337" s="606">
        <v>400.0</v>
      </c>
      <c r="N337" s="577">
        <v>2000.0</v>
      </c>
      <c r="O337" s="590">
        <v>-700.0</v>
      </c>
      <c r="P337" s="591"/>
      <c r="Q337" s="592">
        <f t="shared" si="59"/>
        <v>20726.63</v>
      </c>
      <c r="R337" s="593"/>
    </row>
    <row r="338">
      <c r="B338" s="584"/>
      <c r="C338" s="566" t="s">
        <v>68</v>
      </c>
      <c r="D338" s="566">
        <v>1.0</v>
      </c>
      <c r="E338" s="586">
        <v>2800.0</v>
      </c>
      <c r="F338" s="586"/>
      <c r="G338" s="587"/>
      <c r="H338" s="587"/>
      <c r="I338" s="587"/>
      <c r="J338" s="586">
        <v>1000.0</v>
      </c>
      <c r="K338" s="589">
        <f t="shared" si="57"/>
        <v>0</v>
      </c>
      <c r="L338" s="587"/>
      <c r="M338" s="606"/>
      <c r="N338" s="577">
        <v>1800.0</v>
      </c>
      <c r="O338" s="590">
        <v>-700.0</v>
      </c>
      <c r="P338" s="591"/>
      <c r="Q338" s="592">
        <f t="shared" si="59"/>
        <v>21826.63</v>
      </c>
      <c r="R338" s="593"/>
    </row>
    <row r="339">
      <c r="B339" s="584"/>
      <c r="C339" s="566" t="s">
        <v>37</v>
      </c>
      <c r="D339" s="566">
        <v>1.0</v>
      </c>
      <c r="E339" s="586">
        <v>2300.0</v>
      </c>
      <c r="F339" s="614"/>
      <c r="G339" s="587"/>
      <c r="H339" s="587"/>
      <c r="I339" s="587"/>
      <c r="J339" s="586">
        <v>1000.0</v>
      </c>
      <c r="K339" s="589">
        <f t="shared" si="57"/>
        <v>0</v>
      </c>
      <c r="L339" s="587"/>
      <c r="M339" s="603"/>
      <c r="N339" s="577">
        <v>1300.0</v>
      </c>
      <c r="O339" s="590">
        <v>-700.0</v>
      </c>
      <c r="P339" s="591"/>
      <c r="Q339" s="592">
        <f t="shared" si="59"/>
        <v>22426.63</v>
      </c>
      <c r="R339" s="593"/>
    </row>
    <row r="340">
      <c r="B340" s="597"/>
      <c r="C340" s="613" t="s">
        <v>185</v>
      </c>
      <c r="D340" s="599"/>
      <c r="E340" s="600"/>
      <c r="F340" s="600"/>
      <c r="G340" s="600"/>
      <c r="H340" s="600"/>
      <c r="I340" s="600"/>
      <c r="J340" s="600"/>
      <c r="K340" s="601">
        <f t="shared" si="57"/>
        <v>0</v>
      </c>
      <c r="L340" s="600"/>
      <c r="M340" s="602"/>
      <c r="N340" s="602"/>
      <c r="O340" s="600"/>
      <c r="P340" s="600"/>
      <c r="Q340" s="449">
        <f t="shared" si="59"/>
        <v>22426.63</v>
      </c>
      <c r="R340" s="597"/>
    </row>
    <row r="341">
      <c r="B341" s="584"/>
      <c r="C341" s="566" t="s">
        <v>72</v>
      </c>
      <c r="D341" s="566">
        <v>1.0</v>
      </c>
      <c r="E341" s="586">
        <v>2300.0</v>
      </c>
      <c r="F341" s="587"/>
      <c r="G341" s="587"/>
      <c r="H341" s="587"/>
      <c r="I341" s="587"/>
      <c r="J341" s="586">
        <v>1000.0</v>
      </c>
      <c r="K341" s="589">
        <f t="shared" si="57"/>
        <v>0</v>
      </c>
      <c r="L341" s="587"/>
      <c r="M341" s="603"/>
      <c r="N341" s="577">
        <v>1300.0</v>
      </c>
      <c r="O341" s="590">
        <v>-700.0</v>
      </c>
      <c r="P341" s="590"/>
      <c r="Q341" s="592">
        <f t="shared" si="59"/>
        <v>23026.63</v>
      </c>
      <c r="R341" s="605"/>
    </row>
    <row r="342">
      <c r="B342" s="584"/>
      <c r="C342" s="566" t="s">
        <v>118</v>
      </c>
      <c r="D342" s="566">
        <v>2.0</v>
      </c>
      <c r="E342" s="586">
        <v>5200.0</v>
      </c>
      <c r="F342" s="595">
        <v>400.0</v>
      </c>
      <c r="G342" s="587"/>
      <c r="H342" s="587"/>
      <c r="I342" s="587"/>
      <c r="J342" s="586">
        <v>1000.0</v>
      </c>
      <c r="K342" s="589">
        <f t="shared" si="57"/>
        <v>0</v>
      </c>
      <c r="L342" s="587"/>
      <c r="M342" s="603"/>
      <c r="N342" s="577">
        <v>4200.0</v>
      </c>
      <c r="O342" s="590">
        <v>-700.0</v>
      </c>
      <c r="P342" s="590">
        <v>400.0</v>
      </c>
      <c r="Q342" s="592">
        <f t="shared" si="59"/>
        <v>26926.63</v>
      </c>
      <c r="R342" s="605"/>
    </row>
    <row r="343">
      <c r="B343" s="584"/>
      <c r="C343" s="616"/>
      <c r="D343" s="616"/>
      <c r="E343" s="587"/>
      <c r="F343" s="587"/>
      <c r="G343" s="587"/>
      <c r="H343" s="587"/>
      <c r="I343" s="587"/>
      <c r="J343" s="587"/>
      <c r="K343" s="617"/>
      <c r="L343" s="587"/>
      <c r="M343" s="603"/>
      <c r="N343" s="618"/>
      <c r="O343" s="591"/>
      <c r="P343" s="604">
        <v>-200.0</v>
      </c>
      <c r="Q343" s="592">
        <f t="shared" si="59"/>
        <v>26726.63</v>
      </c>
      <c r="R343" s="605" t="s">
        <v>322</v>
      </c>
    </row>
    <row r="344">
      <c r="B344" s="584"/>
      <c r="C344" s="616"/>
      <c r="D344" s="616"/>
      <c r="E344" s="587"/>
      <c r="F344" s="587"/>
      <c r="G344" s="587"/>
      <c r="H344" s="587"/>
      <c r="I344" s="587"/>
      <c r="J344" s="587"/>
      <c r="K344" s="617"/>
      <c r="L344" s="587"/>
      <c r="M344" s="603"/>
      <c r="N344" s="618"/>
      <c r="O344" s="591"/>
      <c r="P344" s="604">
        <v>-1724.51</v>
      </c>
      <c r="Q344" s="592">
        <f t="shared" si="59"/>
        <v>25002.12</v>
      </c>
      <c r="R344" s="605" t="s">
        <v>55</v>
      </c>
    </row>
    <row r="345">
      <c r="B345" s="584"/>
      <c r="C345" s="616"/>
      <c r="D345" s="616"/>
      <c r="E345" s="587"/>
      <c r="F345" s="587"/>
      <c r="G345" s="587"/>
      <c r="H345" s="587"/>
      <c r="I345" s="587"/>
      <c r="J345" s="587"/>
      <c r="K345" s="617"/>
      <c r="L345" s="587"/>
      <c r="M345" s="603"/>
      <c r="N345" s="618"/>
      <c r="O345" s="591"/>
      <c r="P345" s="604">
        <v>-6394.01</v>
      </c>
      <c r="Q345" s="592">
        <f t="shared" si="59"/>
        <v>18608.11</v>
      </c>
      <c r="R345" s="593" t="s">
        <v>266</v>
      </c>
    </row>
    <row r="346">
      <c r="B346" s="584"/>
      <c r="C346" s="616"/>
      <c r="D346" s="616"/>
      <c r="E346" s="587"/>
      <c r="F346" s="587"/>
      <c r="G346" s="587"/>
      <c r="H346" s="587"/>
      <c r="I346" s="587"/>
      <c r="J346" s="587"/>
      <c r="K346" s="619"/>
      <c r="L346" s="587"/>
      <c r="M346" s="603"/>
      <c r="N346" s="618"/>
      <c r="O346" s="591"/>
      <c r="P346" s="590">
        <v>-100.0</v>
      </c>
      <c r="Q346" s="592">
        <f t="shared" si="59"/>
        <v>18508.11</v>
      </c>
      <c r="R346" s="593" t="s">
        <v>267</v>
      </c>
    </row>
    <row r="347">
      <c r="B347" s="584"/>
      <c r="C347" s="616"/>
      <c r="D347" s="616"/>
      <c r="E347" s="587"/>
      <c r="F347" s="587"/>
      <c r="G347" s="587"/>
      <c r="H347" s="587"/>
      <c r="I347" s="587"/>
      <c r="J347" s="587"/>
      <c r="K347" s="619"/>
      <c r="L347" s="587"/>
      <c r="M347" s="603"/>
      <c r="N347" s="618"/>
      <c r="O347" s="591"/>
      <c r="P347" s="604">
        <v>-500.0</v>
      </c>
      <c r="Q347" s="592">
        <f t="shared" si="59"/>
        <v>18008.11</v>
      </c>
      <c r="R347" s="605" t="s">
        <v>324</v>
      </c>
    </row>
    <row r="348">
      <c r="B348" s="620" t="s">
        <v>105</v>
      </c>
      <c r="C348" s="621" t="s">
        <v>66</v>
      </c>
      <c r="D348" s="622">
        <f t="shared" ref="D348:P348" si="60">sum(D324:D347)</f>
        <v>21</v>
      </c>
      <c r="E348" s="623">
        <f t="shared" si="60"/>
        <v>51932</v>
      </c>
      <c r="F348" s="623">
        <f t="shared" si="60"/>
        <v>4250</v>
      </c>
      <c r="G348" s="623">
        <f t="shared" si="60"/>
        <v>0</v>
      </c>
      <c r="H348" s="623">
        <f t="shared" si="60"/>
        <v>0</v>
      </c>
      <c r="I348" s="623">
        <f t="shared" si="60"/>
        <v>0</v>
      </c>
      <c r="J348" s="623">
        <f t="shared" si="60"/>
        <v>16925</v>
      </c>
      <c r="K348" s="623">
        <f t="shared" si="60"/>
        <v>0</v>
      </c>
      <c r="L348" s="623">
        <f t="shared" si="60"/>
        <v>4832</v>
      </c>
      <c r="M348" s="623">
        <f t="shared" si="60"/>
        <v>3850</v>
      </c>
      <c r="N348" s="623">
        <f t="shared" si="60"/>
        <v>30175</v>
      </c>
      <c r="O348" s="623">
        <f t="shared" si="60"/>
        <v>-10500</v>
      </c>
      <c r="P348" s="624">
        <f t="shared" si="60"/>
        <v>-8518.52</v>
      </c>
      <c r="Q348" s="625">
        <f>Q347</f>
        <v>18008.11</v>
      </c>
      <c r="R348" s="626"/>
    </row>
    <row r="349" hidden="1">
      <c r="B349" s="597" t="s">
        <v>91</v>
      </c>
      <c r="C349" s="598">
        <v>46057.0</v>
      </c>
      <c r="D349" s="599"/>
      <c r="E349" s="600"/>
      <c r="F349" s="600"/>
      <c r="G349" s="600"/>
      <c r="H349" s="600"/>
      <c r="I349" s="600"/>
      <c r="J349" s="600"/>
      <c r="K349" s="601">
        <f t="shared" ref="K349:K368" si="61">E349-J349-L349-M349-N349-I349+F349-P349</f>
        <v>0</v>
      </c>
      <c r="L349" s="600"/>
      <c r="M349" s="602"/>
      <c r="N349" s="602"/>
      <c r="O349" s="600"/>
      <c r="P349" s="600"/>
      <c r="Q349" s="449">
        <f t="shared" ref="Q349:Q352" si="62">Q348+N349+O349+P349</f>
        <v>18008.11</v>
      </c>
      <c r="R349" s="597"/>
    </row>
    <row r="350">
      <c r="B350" s="627" t="s">
        <v>121</v>
      </c>
      <c r="C350" s="585">
        <v>46118.0</v>
      </c>
      <c r="D350" s="566">
        <v>2.0</v>
      </c>
      <c r="E350" s="586">
        <v>3500.0</v>
      </c>
      <c r="F350" s="595">
        <v>400.0</v>
      </c>
      <c r="G350" s="587"/>
      <c r="H350" s="587"/>
      <c r="I350" s="587"/>
      <c r="J350" s="586">
        <v>1500.0</v>
      </c>
      <c r="K350" s="589">
        <f t="shared" si="61"/>
        <v>0</v>
      </c>
      <c r="L350" s="587"/>
      <c r="M350" s="595">
        <v>2000.0</v>
      </c>
      <c r="N350" s="596"/>
      <c r="O350" s="590">
        <v>-700.0</v>
      </c>
      <c r="P350" s="604">
        <v>400.0</v>
      </c>
      <c r="Q350" s="592">
        <f t="shared" si="62"/>
        <v>17708.11</v>
      </c>
      <c r="R350" s="605" t="s">
        <v>43</v>
      </c>
    </row>
    <row r="351">
      <c r="B351" s="584"/>
      <c r="C351" s="585">
        <v>46180.0</v>
      </c>
      <c r="D351" s="566">
        <v>1.0</v>
      </c>
      <c r="E351" s="586">
        <v>2500.0</v>
      </c>
      <c r="F351" s="587"/>
      <c r="G351" s="587"/>
      <c r="H351" s="587"/>
      <c r="I351" s="587"/>
      <c r="J351" s="586">
        <v>1000.0</v>
      </c>
      <c r="K351" s="589">
        <f t="shared" si="61"/>
        <v>0</v>
      </c>
      <c r="L351" s="587"/>
      <c r="M351" s="603"/>
      <c r="N351" s="577">
        <v>1500.0</v>
      </c>
      <c r="O351" s="590">
        <v>-700.0</v>
      </c>
      <c r="P351" s="591"/>
      <c r="Q351" s="592">
        <f t="shared" si="62"/>
        <v>18508.11</v>
      </c>
      <c r="R351" s="593"/>
    </row>
    <row r="352">
      <c r="B352" s="584"/>
      <c r="C352" s="585">
        <v>46211.0</v>
      </c>
      <c r="D352" s="566">
        <v>1.0</v>
      </c>
      <c r="E352" s="586">
        <v>3000.0</v>
      </c>
      <c r="F352" s="587"/>
      <c r="G352" s="587"/>
      <c r="H352" s="587"/>
      <c r="I352" s="587"/>
      <c r="J352" s="586">
        <v>1000.0</v>
      </c>
      <c r="K352" s="589">
        <f t="shared" si="61"/>
        <v>0</v>
      </c>
      <c r="L352" s="587"/>
      <c r="M352" s="603"/>
      <c r="N352" s="577">
        <v>2000.0</v>
      </c>
      <c r="O352" s="590">
        <v>-700.0</v>
      </c>
      <c r="P352" s="591"/>
      <c r="Q352" s="592">
        <f t="shared" si="62"/>
        <v>19808.11</v>
      </c>
      <c r="R352" s="593"/>
    </row>
    <row r="353">
      <c r="B353" s="584"/>
      <c r="C353" s="585">
        <v>46243.0</v>
      </c>
      <c r="D353" s="566">
        <v>1.0</v>
      </c>
      <c r="E353" s="586">
        <v>1800.0</v>
      </c>
      <c r="F353" s="587"/>
      <c r="G353" s="587"/>
      <c r="H353" s="587"/>
      <c r="I353" s="587"/>
      <c r="J353" s="586">
        <v>1000.0</v>
      </c>
      <c r="K353" s="589">
        <f t="shared" si="61"/>
        <v>0</v>
      </c>
      <c r="L353" s="587"/>
      <c r="M353" s="606">
        <v>800.0</v>
      </c>
      <c r="N353" s="577"/>
      <c r="O353" s="590">
        <v>-700.0</v>
      </c>
      <c r="P353" s="591"/>
      <c r="Q353" s="592">
        <f>Q352+N353+O353+P21679</f>
        <v>19108.11</v>
      </c>
      <c r="R353" s="593"/>
    </row>
    <row r="354">
      <c r="B354" s="584"/>
      <c r="C354" s="585">
        <v>46275.0</v>
      </c>
      <c r="D354" s="566">
        <v>1.0</v>
      </c>
      <c r="E354" s="586">
        <v>1800.0</v>
      </c>
      <c r="F354" s="595">
        <v>450.0</v>
      </c>
      <c r="G354" s="587"/>
      <c r="H354" s="587"/>
      <c r="I354" s="587"/>
      <c r="J354" s="586">
        <v>1025.0</v>
      </c>
      <c r="K354" s="589">
        <f t="shared" si="61"/>
        <v>0</v>
      </c>
      <c r="L354" s="587"/>
      <c r="M354" s="603"/>
      <c r="N354" s="577">
        <v>1225.0</v>
      </c>
      <c r="O354" s="590">
        <v>-700.0</v>
      </c>
      <c r="P354" s="591"/>
      <c r="Q354" s="592">
        <f t="shared" ref="Q354:Q373" si="63">Q353+N354+O354+P354</f>
        <v>19633.11</v>
      </c>
      <c r="R354" s="593"/>
    </row>
    <row r="355" hidden="1">
      <c r="B355" s="597"/>
      <c r="C355" s="598">
        <v>46307.0</v>
      </c>
      <c r="D355" s="599"/>
      <c r="E355" s="600"/>
      <c r="F355" s="608"/>
      <c r="G355" s="600"/>
      <c r="H355" s="629"/>
      <c r="I355" s="600"/>
      <c r="J355" s="600"/>
      <c r="K355" s="601">
        <f t="shared" si="61"/>
        <v>0</v>
      </c>
      <c r="L355" s="600"/>
      <c r="M355" s="602"/>
      <c r="N355" s="602"/>
      <c r="O355" s="600"/>
      <c r="P355" s="608"/>
      <c r="Q355" s="449">
        <f t="shared" si="63"/>
        <v>19633.11</v>
      </c>
      <c r="R355" s="609"/>
    </row>
    <row r="356">
      <c r="B356" s="584"/>
      <c r="C356" s="585">
        <v>46369.0</v>
      </c>
      <c r="D356" s="566">
        <v>1.0</v>
      </c>
      <c r="E356" s="586">
        <v>1800.0</v>
      </c>
      <c r="F356" s="587"/>
      <c r="G356" s="587"/>
      <c r="H356" s="595"/>
      <c r="I356" s="587"/>
      <c r="J356" s="586">
        <v>1000.0</v>
      </c>
      <c r="K356" s="589">
        <f t="shared" si="61"/>
        <v>0</v>
      </c>
      <c r="L356" s="595"/>
      <c r="M356" s="603"/>
      <c r="N356" s="577">
        <v>800.0</v>
      </c>
      <c r="O356" s="590">
        <v>-700.0</v>
      </c>
      <c r="P356" s="591"/>
      <c r="Q356" s="592">
        <f t="shared" si="63"/>
        <v>19733.11</v>
      </c>
      <c r="R356" s="593"/>
    </row>
    <row r="357" hidden="1">
      <c r="B357" s="597"/>
      <c r="C357" s="613" t="s">
        <v>46</v>
      </c>
      <c r="D357" s="599"/>
      <c r="E357" s="600"/>
      <c r="F357" s="608"/>
      <c r="G357" s="600"/>
      <c r="H357" s="629"/>
      <c r="I357" s="600"/>
      <c r="J357" s="600"/>
      <c r="K357" s="601">
        <f t="shared" si="61"/>
        <v>0</v>
      </c>
      <c r="L357" s="600"/>
      <c r="M357" s="602"/>
      <c r="N357" s="602"/>
      <c r="O357" s="600"/>
      <c r="P357" s="608"/>
      <c r="Q357" s="449">
        <f t="shared" si="63"/>
        <v>19733.11</v>
      </c>
      <c r="R357" s="609"/>
    </row>
    <row r="358">
      <c r="B358" s="584"/>
      <c r="C358" s="566" t="s">
        <v>29</v>
      </c>
      <c r="D358" s="566">
        <v>1.0</v>
      </c>
      <c r="E358" s="586">
        <v>3000.0</v>
      </c>
      <c r="F358" s="587"/>
      <c r="G358" s="587"/>
      <c r="H358" s="595"/>
      <c r="I358" s="587"/>
      <c r="J358" s="586">
        <v>1000.0</v>
      </c>
      <c r="K358" s="589">
        <f t="shared" si="61"/>
        <v>0</v>
      </c>
      <c r="L358" s="595"/>
      <c r="M358" s="603"/>
      <c r="N358" s="577">
        <v>2000.0</v>
      </c>
      <c r="O358" s="590">
        <v>-700.0</v>
      </c>
      <c r="P358" s="591"/>
      <c r="Q358" s="592">
        <f t="shared" si="63"/>
        <v>21033.11</v>
      </c>
      <c r="R358" s="593"/>
    </row>
    <row r="359" hidden="1">
      <c r="B359" s="597"/>
      <c r="C359" s="613" t="s">
        <v>30</v>
      </c>
      <c r="D359" s="599"/>
      <c r="E359" s="600"/>
      <c r="F359" s="608"/>
      <c r="G359" s="600"/>
      <c r="H359" s="629"/>
      <c r="I359" s="600"/>
      <c r="J359" s="600"/>
      <c r="K359" s="601">
        <f t="shared" si="61"/>
        <v>0</v>
      </c>
      <c r="L359" s="600"/>
      <c r="M359" s="602"/>
      <c r="N359" s="602"/>
      <c r="O359" s="600"/>
      <c r="P359" s="608"/>
      <c r="Q359" s="449">
        <f t="shared" si="63"/>
        <v>21033.11</v>
      </c>
      <c r="R359" s="609"/>
    </row>
    <row r="360">
      <c r="B360" s="584"/>
      <c r="C360" s="566" t="s">
        <v>31</v>
      </c>
      <c r="D360" s="566">
        <v>1.0</v>
      </c>
      <c r="E360" s="586">
        <v>2250.0</v>
      </c>
      <c r="F360" s="587"/>
      <c r="G360" s="587"/>
      <c r="H360" s="595"/>
      <c r="I360" s="587"/>
      <c r="J360" s="586">
        <v>1000.0</v>
      </c>
      <c r="K360" s="589">
        <f t="shared" si="61"/>
        <v>0</v>
      </c>
      <c r="L360" s="587"/>
      <c r="M360" s="606">
        <v>1250.0</v>
      </c>
      <c r="N360" s="577"/>
      <c r="O360" s="590">
        <v>-700.0</v>
      </c>
      <c r="P360" s="591"/>
      <c r="Q360" s="592">
        <f t="shared" si="63"/>
        <v>20333.11</v>
      </c>
      <c r="R360" s="593"/>
    </row>
    <row r="361">
      <c r="B361" s="597"/>
      <c r="C361" s="613" t="s">
        <v>56</v>
      </c>
      <c r="D361" s="599"/>
      <c r="E361" s="600"/>
      <c r="F361" s="608">
        <v>400.0</v>
      </c>
      <c r="G361" s="600"/>
      <c r="H361" s="600"/>
      <c r="I361" s="600"/>
      <c r="J361" s="600"/>
      <c r="K361" s="601">
        <f t="shared" si="61"/>
        <v>0</v>
      </c>
      <c r="L361" s="600"/>
      <c r="M361" s="602"/>
      <c r="N361" s="602"/>
      <c r="O361" s="600"/>
      <c r="P361" s="608">
        <v>400.0</v>
      </c>
      <c r="Q361" s="449">
        <f t="shared" si="63"/>
        <v>20733.11</v>
      </c>
      <c r="R361" s="609" t="s">
        <v>327</v>
      </c>
      <c r="AR361" s="206" t="s">
        <v>321</v>
      </c>
    </row>
    <row r="362">
      <c r="B362" s="584"/>
      <c r="C362" s="566" t="s">
        <v>64</v>
      </c>
      <c r="D362" s="566">
        <v>2.0</v>
      </c>
      <c r="E362" s="586">
        <v>4300.0</v>
      </c>
      <c r="F362" s="595"/>
      <c r="G362" s="587"/>
      <c r="H362" s="587"/>
      <c r="I362" s="587"/>
      <c r="J362" s="586">
        <v>1500.0</v>
      </c>
      <c r="K362" s="589">
        <f t="shared" si="61"/>
        <v>0</v>
      </c>
      <c r="L362" s="587"/>
      <c r="M362" s="606"/>
      <c r="N362" s="577">
        <v>2800.0</v>
      </c>
      <c r="O362" s="590">
        <v>-700.0</v>
      </c>
      <c r="P362" s="591"/>
      <c r="Q362" s="592">
        <f t="shared" si="63"/>
        <v>22833.11</v>
      </c>
      <c r="R362" s="593"/>
    </row>
    <row r="363">
      <c r="B363" s="584"/>
      <c r="C363" s="566" t="s">
        <v>68</v>
      </c>
      <c r="D363" s="566">
        <v>1.0</v>
      </c>
      <c r="E363" s="586">
        <v>3000.0</v>
      </c>
      <c r="F363" s="595"/>
      <c r="G363" s="587"/>
      <c r="H363" s="587"/>
      <c r="I363" s="587"/>
      <c r="J363" s="586">
        <v>1000.0</v>
      </c>
      <c r="K363" s="589">
        <f t="shared" si="61"/>
        <v>0</v>
      </c>
      <c r="L363" s="587"/>
      <c r="M363" s="606">
        <v>2000.0</v>
      </c>
      <c r="N363" s="577"/>
      <c r="O363" s="590">
        <v>-700.0</v>
      </c>
      <c r="P363" s="591"/>
      <c r="Q363" s="592">
        <f t="shared" si="63"/>
        <v>22133.11</v>
      </c>
      <c r="R363" s="593"/>
    </row>
    <row r="364">
      <c r="B364" s="584"/>
      <c r="C364" s="566" t="s">
        <v>70</v>
      </c>
      <c r="D364" s="566">
        <v>2.0</v>
      </c>
      <c r="E364" s="586">
        <v>4000.0</v>
      </c>
      <c r="F364" s="586"/>
      <c r="G364" s="587"/>
      <c r="H364" s="587"/>
      <c r="I364" s="587"/>
      <c r="J364" s="586">
        <v>1500.0</v>
      </c>
      <c r="K364" s="589">
        <f t="shared" si="61"/>
        <v>0</v>
      </c>
      <c r="L364" s="587"/>
      <c r="M364" s="606">
        <v>2500.0</v>
      </c>
      <c r="N364" s="635"/>
      <c r="O364" s="590">
        <v>-700.0</v>
      </c>
      <c r="P364" s="591"/>
      <c r="Q364" s="592">
        <f t="shared" si="63"/>
        <v>21433.11</v>
      </c>
      <c r="R364" s="593"/>
    </row>
    <row r="365">
      <c r="B365" s="597"/>
      <c r="C365" s="613" t="s">
        <v>252</v>
      </c>
      <c r="D365" s="599"/>
      <c r="E365" s="600"/>
      <c r="F365" s="608"/>
      <c r="G365" s="600"/>
      <c r="H365" s="600"/>
      <c r="I365" s="600"/>
      <c r="J365" s="600"/>
      <c r="K365" s="601">
        <f t="shared" si="61"/>
        <v>0</v>
      </c>
      <c r="L365" s="600"/>
      <c r="M365" s="602"/>
      <c r="N365" s="636"/>
      <c r="O365" s="600"/>
      <c r="P365" s="608"/>
      <c r="Q365" s="449">
        <f t="shared" si="63"/>
        <v>21433.11</v>
      </c>
      <c r="R365" s="609"/>
    </row>
    <row r="366">
      <c r="B366" s="584"/>
      <c r="C366" s="566" t="s">
        <v>72</v>
      </c>
      <c r="D366" s="566">
        <v>1.0</v>
      </c>
      <c r="E366" s="586">
        <f>750+2500</f>
        <v>3250</v>
      </c>
      <c r="F366" s="586">
        <v>350.0</v>
      </c>
      <c r="G366" s="587"/>
      <c r="H366" s="587"/>
      <c r="I366" s="587"/>
      <c r="J366" s="586">
        <f>750+1175</f>
        <v>1925</v>
      </c>
      <c r="K366" s="589">
        <f t="shared" si="61"/>
        <v>0</v>
      </c>
      <c r="L366" s="587"/>
      <c r="M366" s="603"/>
      <c r="N366" s="577">
        <v>1675.0</v>
      </c>
      <c r="O366" s="590">
        <v>-700.0</v>
      </c>
      <c r="P366" s="591"/>
      <c r="Q366" s="592">
        <f t="shared" si="63"/>
        <v>22408.11</v>
      </c>
      <c r="R366" s="593"/>
    </row>
    <row r="367">
      <c r="B367" s="584"/>
      <c r="C367" s="566" t="s">
        <v>73</v>
      </c>
      <c r="D367" s="566">
        <v>1.0</v>
      </c>
      <c r="E367" s="586">
        <v>2800.0</v>
      </c>
      <c r="F367" s="595">
        <v>450.0</v>
      </c>
      <c r="G367" s="587"/>
      <c r="H367" s="587"/>
      <c r="I367" s="587"/>
      <c r="J367" s="586">
        <v>1500.0</v>
      </c>
      <c r="K367" s="589">
        <f t="shared" si="61"/>
        <v>0</v>
      </c>
      <c r="L367" s="587"/>
      <c r="M367" s="603"/>
      <c r="N367" s="577">
        <v>1300.0</v>
      </c>
      <c r="O367" s="590">
        <v>-700.0</v>
      </c>
      <c r="P367" s="590">
        <v>450.0</v>
      </c>
      <c r="Q367" s="592">
        <f t="shared" si="63"/>
        <v>23458.11</v>
      </c>
      <c r="R367" s="605"/>
    </row>
    <row r="368">
      <c r="B368" s="597"/>
      <c r="C368" s="613" t="s">
        <v>167</v>
      </c>
      <c r="D368" s="599"/>
      <c r="E368" s="600"/>
      <c r="F368" s="600"/>
      <c r="G368" s="600"/>
      <c r="H368" s="600"/>
      <c r="I368" s="600"/>
      <c r="J368" s="600"/>
      <c r="K368" s="601">
        <f t="shared" si="61"/>
        <v>0</v>
      </c>
      <c r="L368" s="600"/>
      <c r="M368" s="602"/>
      <c r="N368" s="636"/>
      <c r="O368" s="600"/>
      <c r="P368" s="600"/>
      <c r="Q368" s="449">
        <f t="shared" si="63"/>
        <v>23458.11</v>
      </c>
      <c r="R368" s="597"/>
    </row>
    <row r="369">
      <c r="B369" s="584"/>
      <c r="C369" s="616"/>
      <c r="D369" s="616"/>
      <c r="E369" s="587"/>
      <c r="F369" s="587"/>
      <c r="G369" s="587"/>
      <c r="H369" s="587"/>
      <c r="I369" s="587"/>
      <c r="J369" s="587"/>
      <c r="K369" s="617"/>
      <c r="L369" s="587"/>
      <c r="M369" s="603"/>
      <c r="N369" s="618"/>
      <c r="O369" s="591"/>
      <c r="P369" s="604">
        <v>-2178.96</v>
      </c>
      <c r="Q369" s="592">
        <f t="shared" si="63"/>
        <v>21279.15</v>
      </c>
      <c r="R369" s="605" t="s">
        <v>55</v>
      </c>
    </row>
    <row r="370">
      <c r="B370" s="584"/>
      <c r="C370" s="616"/>
      <c r="D370" s="616"/>
      <c r="E370" s="587"/>
      <c r="F370" s="587"/>
      <c r="G370" s="587"/>
      <c r="H370" s="587"/>
      <c r="I370" s="587"/>
      <c r="J370" s="587"/>
      <c r="K370" s="617"/>
      <c r="L370" s="587"/>
      <c r="M370" s="603"/>
      <c r="N370" s="618"/>
      <c r="O370" s="591"/>
      <c r="P370" s="604">
        <v>-6781.25</v>
      </c>
      <c r="Q370" s="592">
        <f t="shared" si="63"/>
        <v>14497.9</v>
      </c>
      <c r="R370" s="593" t="s">
        <v>266</v>
      </c>
    </row>
    <row r="371">
      <c r="B371" s="584"/>
      <c r="C371" s="616"/>
      <c r="D371" s="616"/>
      <c r="E371" s="587"/>
      <c r="F371" s="587"/>
      <c r="G371" s="587"/>
      <c r="H371" s="587"/>
      <c r="I371" s="587"/>
      <c r="J371" s="587"/>
      <c r="K371" s="619"/>
      <c r="L371" s="587"/>
      <c r="M371" s="603"/>
      <c r="N371" s="618"/>
      <c r="O371" s="591"/>
      <c r="P371" s="590">
        <v>-100.0</v>
      </c>
      <c r="Q371" s="592">
        <f t="shared" si="63"/>
        <v>14397.9</v>
      </c>
      <c r="R371" s="593" t="s">
        <v>267</v>
      </c>
    </row>
    <row r="372">
      <c r="B372" s="584"/>
      <c r="C372" s="616"/>
      <c r="D372" s="616"/>
      <c r="E372" s="587"/>
      <c r="F372" s="587"/>
      <c r="G372" s="587"/>
      <c r="H372" s="587"/>
      <c r="I372" s="587"/>
      <c r="J372" s="587"/>
      <c r="K372" s="619"/>
      <c r="L372" s="587"/>
      <c r="M372" s="603"/>
      <c r="N372" s="618"/>
      <c r="O372" s="591"/>
      <c r="P372" s="604">
        <v>-1500.0</v>
      </c>
      <c r="Q372" s="592">
        <f t="shared" si="63"/>
        <v>12897.9</v>
      </c>
      <c r="R372" s="605" t="s">
        <v>109</v>
      </c>
    </row>
    <row r="373">
      <c r="B373" s="584"/>
      <c r="C373" s="616"/>
      <c r="D373" s="616"/>
      <c r="E373" s="587"/>
      <c r="F373" s="587"/>
      <c r="G373" s="587"/>
      <c r="H373" s="587"/>
      <c r="I373" s="587"/>
      <c r="J373" s="587"/>
      <c r="K373" s="619"/>
      <c r="L373" s="587"/>
      <c r="M373" s="603"/>
      <c r="N373" s="618"/>
      <c r="O373" s="591"/>
      <c r="P373" s="604">
        <v>-500.0</v>
      </c>
      <c r="Q373" s="592">
        <f t="shared" si="63"/>
        <v>12397.9</v>
      </c>
      <c r="R373" s="605" t="s">
        <v>330</v>
      </c>
    </row>
    <row r="374">
      <c r="B374" s="620" t="s">
        <v>121</v>
      </c>
      <c r="C374" s="621" t="s">
        <v>66</v>
      </c>
      <c r="D374" s="622">
        <f t="shared" ref="D374:P374" si="64">sum(D349:D373)</f>
        <v>16</v>
      </c>
      <c r="E374" s="623">
        <f t="shared" si="64"/>
        <v>37000</v>
      </c>
      <c r="F374" s="623">
        <f t="shared" si="64"/>
        <v>2050</v>
      </c>
      <c r="G374" s="623">
        <f t="shared" si="64"/>
        <v>0</v>
      </c>
      <c r="H374" s="623">
        <f t="shared" si="64"/>
        <v>0</v>
      </c>
      <c r="I374" s="623">
        <f t="shared" si="64"/>
        <v>0</v>
      </c>
      <c r="J374" s="623">
        <f t="shared" si="64"/>
        <v>15950</v>
      </c>
      <c r="K374" s="623">
        <f t="shared" si="64"/>
        <v>0</v>
      </c>
      <c r="L374" s="623">
        <f t="shared" si="64"/>
        <v>0</v>
      </c>
      <c r="M374" s="623">
        <f t="shared" si="64"/>
        <v>8550</v>
      </c>
      <c r="N374" s="623">
        <f t="shared" si="64"/>
        <v>13300</v>
      </c>
      <c r="O374" s="623">
        <f t="shared" si="64"/>
        <v>-9100</v>
      </c>
      <c r="P374" s="624">
        <f t="shared" si="64"/>
        <v>-9810.21</v>
      </c>
      <c r="Q374" s="625">
        <f>Q373</f>
        <v>12397.9</v>
      </c>
      <c r="R374" s="626"/>
    </row>
    <row r="375">
      <c r="C375" s="637"/>
      <c r="D375" s="637"/>
      <c r="E375" s="119"/>
      <c r="F375" s="119"/>
      <c r="G375" s="119"/>
      <c r="H375" s="119"/>
      <c r="I375" s="119"/>
      <c r="J375" s="119"/>
      <c r="K375" s="639"/>
      <c r="L375" s="119"/>
      <c r="M375" s="119"/>
      <c r="N375" s="119"/>
      <c r="O375" s="640"/>
      <c r="P375" s="119"/>
    </row>
    <row r="376">
      <c r="B376" s="627" t="s">
        <v>132</v>
      </c>
      <c r="C376" s="585">
        <v>46024.0</v>
      </c>
      <c r="D376" s="566">
        <v>1.0</v>
      </c>
      <c r="E376" s="586">
        <v>2500.0</v>
      </c>
      <c r="F376" s="595"/>
      <c r="G376" s="587"/>
      <c r="H376" s="587"/>
      <c r="I376" s="587"/>
      <c r="J376" s="586">
        <v>1000.0</v>
      </c>
      <c r="K376" s="589">
        <f t="shared" ref="K376:K394" si="65">E376-J376-L376-M376-N376-I376+F376-P376</f>
        <v>0</v>
      </c>
      <c r="L376" s="587"/>
      <c r="M376" s="595"/>
      <c r="N376" s="590">
        <v>1500.0</v>
      </c>
      <c r="O376" s="590">
        <v>-700.0</v>
      </c>
      <c r="P376" s="604"/>
      <c r="Q376" s="592">
        <f t="shared" ref="Q376:Q378" si="66">Q375+N376+O376+P376</f>
        <v>800</v>
      </c>
      <c r="R376" s="605"/>
    </row>
    <row r="377">
      <c r="B377" s="584"/>
      <c r="C377" s="585">
        <v>46056.0</v>
      </c>
      <c r="D377" s="566">
        <v>1.0</v>
      </c>
      <c r="E377" s="586">
        <v>3000.0</v>
      </c>
      <c r="F377" s="587"/>
      <c r="G377" s="587"/>
      <c r="H377" s="587"/>
      <c r="I377" s="587"/>
      <c r="J377" s="586">
        <v>1000.0</v>
      </c>
      <c r="K377" s="589">
        <f t="shared" si="65"/>
        <v>0</v>
      </c>
      <c r="L377" s="587"/>
      <c r="M377" s="603"/>
      <c r="N377" s="577">
        <v>2000.0</v>
      </c>
      <c r="O377" s="590">
        <v>-700.0</v>
      </c>
      <c r="P377" s="591"/>
      <c r="Q377" s="592">
        <f t="shared" si="66"/>
        <v>2100</v>
      </c>
      <c r="R377" s="593"/>
    </row>
    <row r="378">
      <c r="B378" s="584"/>
      <c r="C378" s="585">
        <v>46085.0</v>
      </c>
      <c r="D378" s="566">
        <v>1.0</v>
      </c>
      <c r="E378" s="586">
        <v>4000.0</v>
      </c>
      <c r="F378" s="595">
        <v>800.0</v>
      </c>
      <c r="G378" s="587"/>
      <c r="H378" s="587"/>
      <c r="I378" s="587"/>
      <c r="J378" s="586">
        <v>1000.0</v>
      </c>
      <c r="K378" s="589">
        <f t="shared" si="65"/>
        <v>0</v>
      </c>
      <c r="L378" s="587"/>
      <c r="M378" s="606">
        <v>800.0</v>
      </c>
      <c r="N378" s="577">
        <v>3000.0</v>
      </c>
      <c r="O378" s="590">
        <v>-700.0</v>
      </c>
      <c r="P378" s="591"/>
      <c r="Q378" s="592">
        <f t="shared" si="66"/>
        <v>4400</v>
      </c>
      <c r="R378" s="593"/>
    </row>
    <row r="379">
      <c r="B379" s="584"/>
      <c r="C379" s="585">
        <v>46117.0</v>
      </c>
      <c r="D379" s="566">
        <v>1.0</v>
      </c>
      <c r="E379" s="586">
        <v>3000.0</v>
      </c>
      <c r="F379" s="587"/>
      <c r="G379" s="587"/>
      <c r="H379" s="587"/>
      <c r="I379" s="587"/>
      <c r="J379" s="586">
        <v>1000.0</v>
      </c>
      <c r="K379" s="589">
        <f t="shared" si="65"/>
        <v>0</v>
      </c>
      <c r="L379" s="587"/>
      <c r="M379" s="606">
        <v>2000.0</v>
      </c>
      <c r="N379" s="577"/>
      <c r="O379" s="590">
        <v>-700.0</v>
      </c>
      <c r="P379" s="591"/>
      <c r="Q379" s="592">
        <f>Q378+N379+O379+P21705</f>
        <v>3700</v>
      </c>
      <c r="R379" s="593"/>
    </row>
    <row r="380">
      <c r="B380" s="597"/>
      <c r="C380" s="598">
        <v>46150.0</v>
      </c>
      <c r="D380" s="599"/>
      <c r="E380" s="600"/>
      <c r="F380" s="608"/>
      <c r="G380" s="600"/>
      <c r="H380" s="629"/>
      <c r="I380" s="600"/>
      <c r="J380" s="600"/>
      <c r="K380" s="601">
        <f t="shared" si="65"/>
        <v>0</v>
      </c>
      <c r="L380" s="600"/>
      <c r="M380" s="602"/>
      <c r="N380" s="602"/>
      <c r="O380" s="600"/>
      <c r="P380" s="608"/>
      <c r="Q380" s="449">
        <f t="shared" ref="Q380:Q404" si="67">Q379+N380+O380+P380</f>
        <v>3700</v>
      </c>
      <c r="R380" s="609"/>
    </row>
    <row r="381">
      <c r="B381" s="584"/>
      <c r="C381" s="585">
        <v>46243.0</v>
      </c>
      <c r="D381" s="566">
        <v>1.0</v>
      </c>
      <c r="E381" s="586">
        <v>2000.0</v>
      </c>
      <c r="F381" s="587"/>
      <c r="G381" s="587"/>
      <c r="H381" s="595"/>
      <c r="I381" s="587"/>
      <c r="J381" s="586">
        <v>1000.0</v>
      </c>
      <c r="K381" s="589">
        <f t="shared" si="65"/>
        <v>0</v>
      </c>
      <c r="L381" s="595"/>
      <c r="M381" s="603"/>
      <c r="N381" s="577">
        <v>1000.0</v>
      </c>
      <c r="O381" s="590">
        <v>-700.0</v>
      </c>
      <c r="P381" s="591"/>
      <c r="Q381" s="592">
        <f t="shared" si="67"/>
        <v>4000</v>
      </c>
      <c r="R381" s="593"/>
    </row>
    <row r="382">
      <c r="B382" s="597"/>
      <c r="C382" s="598">
        <v>46275.0</v>
      </c>
      <c r="D382" s="599"/>
      <c r="E382" s="600"/>
      <c r="F382" s="608"/>
      <c r="G382" s="600"/>
      <c r="H382" s="629"/>
      <c r="I382" s="600"/>
      <c r="J382" s="600"/>
      <c r="K382" s="601">
        <f t="shared" si="65"/>
        <v>0</v>
      </c>
      <c r="L382" s="600"/>
      <c r="M382" s="602"/>
      <c r="N382" s="602"/>
      <c r="O382" s="600"/>
      <c r="P382" s="608"/>
      <c r="Q382" s="449">
        <f t="shared" si="67"/>
        <v>4000</v>
      </c>
      <c r="R382" s="609"/>
    </row>
    <row r="383">
      <c r="B383" s="584"/>
      <c r="C383" s="585">
        <v>46307.0</v>
      </c>
      <c r="D383" s="566">
        <v>1.0</v>
      </c>
      <c r="E383" s="586">
        <f>2500+2000</f>
        <v>4500</v>
      </c>
      <c r="F383" s="595">
        <v>800.0</v>
      </c>
      <c r="G383" s="587"/>
      <c r="H383" s="643">
        <v>46339.0</v>
      </c>
      <c r="I383" s="587"/>
      <c r="J383" s="586">
        <v>1000.0</v>
      </c>
      <c r="K383" s="589">
        <f t="shared" si="65"/>
        <v>0</v>
      </c>
      <c r="L383" s="595"/>
      <c r="M383" s="606">
        <v>2500.0</v>
      </c>
      <c r="N383" s="577">
        <v>1000.0</v>
      </c>
      <c r="O383" s="590">
        <v>-700.0</v>
      </c>
      <c r="P383" s="604">
        <v>800.0</v>
      </c>
      <c r="Q383" s="592">
        <f t="shared" si="67"/>
        <v>5100</v>
      </c>
      <c r="R383" s="605" t="s">
        <v>333</v>
      </c>
    </row>
    <row r="384">
      <c r="B384" s="597"/>
      <c r="C384" s="598">
        <v>46370.0</v>
      </c>
      <c r="D384" s="599"/>
      <c r="E384" s="600"/>
      <c r="F384" s="608"/>
      <c r="G384" s="600"/>
      <c r="H384" s="629"/>
      <c r="I384" s="600"/>
      <c r="J384" s="600"/>
      <c r="K384" s="601">
        <f t="shared" si="65"/>
        <v>0</v>
      </c>
      <c r="L384" s="600"/>
      <c r="M384" s="602"/>
      <c r="N384" s="602"/>
      <c r="O384" s="600"/>
      <c r="P384" s="608"/>
      <c r="Q384" s="449">
        <f t="shared" si="67"/>
        <v>5100</v>
      </c>
      <c r="R384" s="609"/>
    </row>
    <row r="385">
      <c r="B385" s="584"/>
      <c r="C385" s="566" t="s">
        <v>29</v>
      </c>
      <c r="D385" s="566">
        <v>1.0</v>
      </c>
      <c r="E385" s="586">
        <v>2000.0</v>
      </c>
      <c r="F385" s="587"/>
      <c r="G385" s="587"/>
      <c r="H385" s="595"/>
      <c r="I385" s="587"/>
      <c r="J385" s="586">
        <v>1000.0</v>
      </c>
      <c r="K385" s="589">
        <f t="shared" si="65"/>
        <v>0</v>
      </c>
      <c r="L385" s="587"/>
      <c r="M385" s="606">
        <v>1000.0</v>
      </c>
      <c r="N385" s="577"/>
      <c r="O385" s="590">
        <v>-700.0</v>
      </c>
      <c r="P385" s="591"/>
      <c r="Q385" s="592">
        <f t="shared" si="67"/>
        <v>4400</v>
      </c>
      <c r="R385" s="593"/>
    </row>
    <row r="386">
      <c r="B386" s="584"/>
      <c r="C386" s="566" t="s">
        <v>30</v>
      </c>
      <c r="D386" s="566">
        <v>1.0</v>
      </c>
      <c r="E386" s="586">
        <v>2000.0</v>
      </c>
      <c r="F386" s="587"/>
      <c r="G386" s="587"/>
      <c r="H386" s="595"/>
      <c r="I386" s="587"/>
      <c r="J386" s="586">
        <v>1000.0</v>
      </c>
      <c r="K386" s="589">
        <f t="shared" si="65"/>
        <v>0</v>
      </c>
      <c r="L386" s="587"/>
      <c r="M386" s="606"/>
      <c r="N386" s="577">
        <v>1000.0</v>
      </c>
      <c r="O386" s="590">
        <v>-700.0</v>
      </c>
      <c r="P386" s="591"/>
      <c r="Q386" s="592">
        <f t="shared" si="67"/>
        <v>4700</v>
      </c>
      <c r="R386" s="593"/>
    </row>
    <row r="387">
      <c r="B387" s="584"/>
      <c r="C387" s="566" t="s">
        <v>31</v>
      </c>
      <c r="D387" s="566">
        <v>1.0</v>
      </c>
      <c r="E387" s="586">
        <f>600+1800</f>
        <v>2400</v>
      </c>
      <c r="F387" s="595"/>
      <c r="G387" s="587"/>
      <c r="H387" s="587"/>
      <c r="I387" s="587"/>
      <c r="J387" s="586">
        <v>1000.0</v>
      </c>
      <c r="K387" s="589">
        <f t="shared" si="65"/>
        <v>0</v>
      </c>
      <c r="L387" s="587"/>
      <c r="M387" s="606">
        <v>600.0</v>
      </c>
      <c r="N387" s="577">
        <v>800.0</v>
      </c>
      <c r="O387" s="590">
        <v>-700.0</v>
      </c>
      <c r="P387" s="604"/>
      <c r="Q387" s="592">
        <f t="shared" si="67"/>
        <v>4800</v>
      </c>
      <c r="R387" s="605" t="s">
        <v>336</v>
      </c>
    </row>
    <row r="388">
      <c r="B388" s="597"/>
      <c r="C388" s="613" t="s">
        <v>32</v>
      </c>
      <c r="D388" s="599"/>
      <c r="E388" s="600"/>
      <c r="F388" s="608"/>
      <c r="G388" s="600"/>
      <c r="H388" s="600"/>
      <c r="I388" s="600"/>
      <c r="J388" s="600"/>
      <c r="K388" s="601">
        <f t="shared" si="65"/>
        <v>0</v>
      </c>
      <c r="L388" s="600"/>
      <c r="M388" s="602"/>
      <c r="N388" s="636"/>
      <c r="O388" s="600"/>
      <c r="P388" s="608"/>
      <c r="Q388" s="449">
        <f t="shared" si="67"/>
        <v>4800</v>
      </c>
      <c r="R388" s="609"/>
    </row>
    <row r="389">
      <c r="B389" s="584"/>
      <c r="C389" s="566" t="s">
        <v>33</v>
      </c>
      <c r="D389" s="566">
        <v>1.0</v>
      </c>
      <c r="E389" s="586">
        <v>3900.0</v>
      </c>
      <c r="F389" s="595"/>
      <c r="G389" s="587"/>
      <c r="H389" s="587"/>
      <c r="I389" s="587"/>
      <c r="J389" s="586">
        <v>1000.0</v>
      </c>
      <c r="K389" s="589">
        <f t="shared" si="65"/>
        <v>0</v>
      </c>
      <c r="L389" s="587"/>
      <c r="M389" s="606">
        <v>2900.0</v>
      </c>
      <c r="N389" s="577"/>
      <c r="O389" s="590">
        <v>-700.0</v>
      </c>
      <c r="P389" s="591"/>
      <c r="Q389" s="592">
        <f t="shared" si="67"/>
        <v>4100</v>
      </c>
      <c r="R389" s="593"/>
    </row>
    <row r="390">
      <c r="B390" s="584"/>
      <c r="C390" s="566" t="s">
        <v>34</v>
      </c>
      <c r="D390" s="566">
        <v>1.0</v>
      </c>
      <c r="E390" s="586">
        <v>1932.8</v>
      </c>
      <c r="F390" s="586"/>
      <c r="G390" s="587"/>
      <c r="H390" s="587"/>
      <c r="I390" s="587"/>
      <c r="J390" s="586"/>
      <c r="K390" s="589">
        <f t="shared" si="65"/>
        <v>0</v>
      </c>
      <c r="L390" s="586">
        <v>1932.8</v>
      </c>
      <c r="M390" s="606"/>
      <c r="N390" s="635"/>
      <c r="O390" s="590">
        <v>-700.0</v>
      </c>
      <c r="P390" s="591"/>
      <c r="Q390" s="592">
        <f t="shared" si="67"/>
        <v>3400</v>
      </c>
      <c r="R390" s="593"/>
    </row>
    <row r="391">
      <c r="B391" s="584"/>
      <c r="C391" s="566" t="s">
        <v>211</v>
      </c>
      <c r="D391" s="566">
        <v>4.0</v>
      </c>
      <c r="E391" s="586">
        <v>7500.0</v>
      </c>
      <c r="F391" s="586"/>
      <c r="G391" s="587"/>
      <c r="H391" s="587"/>
      <c r="I391" s="587"/>
      <c r="J391" s="586">
        <v>3000.0</v>
      </c>
      <c r="K391" s="589">
        <f t="shared" si="65"/>
        <v>0</v>
      </c>
      <c r="L391" s="587"/>
      <c r="M391" s="603"/>
      <c r="N391" s="577">
        <v>4500.0</v>
      </c>
      <c r="O391" s="590">
        <v>-700.0</v>
      </c>
      <c r="P391" s="591"/>
      <c r="Q391" s="592">
        <f t="shared" si="67"/>
        <v>7200</v>
      </c>
      <c r="R391" s="593"/>
    </row>
    <row r="392">
      <c r="B392" s="584"/>
      <c r="C392" s="566" t="s">
        <v>71</v>
      </c>
      <c r="D392" s="566">
        <v>2.0</v>
      </c>
      <c r="E392" s="586">
        <v>5200.0</v>
      </c>
      <c r="F392" s="586">
        <v>800.0</v>
      </c>
      <c r="G392" s="595"/>
      <c r="H392" s="595" t="s">
        <v>108</v>
      </c>
      <c r="I392" s="587"/>
      <c r="J392" s="586">
        <v>1500.0</v>
      </c>
      <c r="K392" s="589">
        <f t="shared" si="65"/>
        <v>0</v>
      </c>
      <c r="L392" s="595">
        <v>400.0</v>
      </c>
      <c r="M392" s="606">
        <v>3700.0</v>
      </c>
      <c r="N392" s="577"/>
      <c r="O392" s="590">
        <v>-700.0</v>
      </c>
      <c r="P392" s="604">
        <v>400.0</v>
      </c>
      <c r="Q392" s="592">
        <f t="shared" si="67"/>
        <v>6900</v>
      </c>
      <c r="R392" s="605" t="s">
        <v>337</v>
      </c>
    </row>
    <row r="393">
      <c r="B393" s="584"/>
      <c r="C393" s="566" t="s">
        <v>47</v>
      </c>
      <c r="D393" s="566">
        <v>1.0</v>
      </c>
      <c r="E393" s="586">
        <v>2350.0</v>
      </c>
      <c r="F393" s="595">
        <v>400.0</v>
      </c>
      <c r="G393" s="587"/>
      <c r="H393" s="595" t="s">
        <v>45</v>
      </c>
      <c r="I393" s="587"/>
      <c r="J393" s="586">
        <v>1000.0</v>
      </c>
      <c r="K393" s="589">
        <f t="shared" si="65"/>
        <v>0</v>
      </c>
      <c r="L393" s="587"/>
      <c r="M393" s="606">
        <v>1350.0</v>
      </c>
      <c r="N393" s="577"/>
      <c r="O393" s="590">
        <v>-700.0</v>
      </c>
      <c r="P393" s="590">
        <v>400.0</v>
      </c>
      <c r="Q393" s="592">
        <f t="shared" si="67"/>
        <v>6600</v>
      </c>
      <c r="R393" s="605" t="s">
        <v>338</v>
      </c>
    </row>
    <row r="394">
      <c r="B394" s="584"/>
      <c r="C394" s="627" t="s">
        <v>48</v>
      </c>
      <c r="D394" s="627">
        <v>1.0</v>
      </c>
      <c r="E394" s="595">
        <v>3500.0</v>
      </c>
      <c r="F394" s="587"/>
      <c r="G394" s="587"/>
      <c r="H394" s="587"/>
      <c r="I394" s="587"/>
      <c r="J394" s="595">
        <v>1500.0</v>
      </c>
      <c r="K394" s="617">
        <f t="shared" si="65"/>
        <v>0</v>
      </c>
      <c r="L394" s="587"/>
      <c r="M394" s="603"/>
      <c r="N394" s="646">
        <v>2000.0</v>
      </c>
      <c r="O394" s="604">
        <v>-700.0</v>
      </c>
      <c r="P394" s="604"/>
      <c r="Q394" s="592">
        <f t="shared" si="67"/>
        <v>7900</v>
      </c>
      <c r="R394" s="605"/>
    </row>
    <row r="395">
      <c r="B395" s="597"/>
      <c r="C395" s="613" t="s">
        <v>49</v>
      </c>
      <c r="D395" s="599"/>
      <c r="E395" s="600"/>
      <c r="F395" s="608"/>
      <c r="G395" s="600"/>
      <c r="H395" s="600"/>
      <c r="I395" s="600"/>
      <c r="J395" s="600"/>
      <c r="K395" s="601"/>
      <c r="L395" s="600"/>
      <c r="M395" s="602"/>
      <c r="N395" s="636"/>
      <c r="O395" s="600"/>
      <c r="P395" s="608"/>
      <c r="Q395" s="449">
        <f t="shared" si="67"/>
        <v>7900</v>
      </c>
      <c r="R395" s="609"/>
    </row>
    <row r="396">
      <c r="B396" s="584"/>
      <c r="C396" s="627" t="s">
        <v>130</v>
      </c>
      <c r="D396" s="627">
        <v>2.0</v>
      </c>
      <c r="E396" s="595">
        <v>4200.0</v>
      </c>
      <c r="F396" s="595">
        <v>350.0</v>
      </c>
      <c r="G396" s="587"/>
      <c r="H396" s="587"/>
      <c r="I396" s="587"/>
      <c r="J396" s="595">
        <v>1500.0</v>
      </c>
      <c r="K396" s="617">
        <f>E396-J396-L396-M396-N396-I396+F396-P396</f>
        <v>350</v>
      </c>
      <c r="L396" s="587"/>
      <c r="M396" s="603"/>
      <c r="N396" s="646">
        <v>2700.0</v>
      </c>
      <c r="O396" s="604">
        <v>-700.0</v>
      </c>
      <c r="P396" s="591"/>
      <c r="Q396" s="592">
        <f t="shared" si="67"/>
        <v>9900</v>
      </c>
      <c r="R396" s="605"/>
    </row>
    <row r="397">
      <c r="B397" s="584"/>
      <c r="C397" s="627"/>
      <c r="D397" s="616"/>
      <c r="E397" s="587"/>
      <c r="F397" s="587"/>
      <c r="G397" s="587"/>
      <c r="H397" s="587"/>
      <c r="I397" s="587"/>
      <c r="J397" s="587"/>
      <c r="K397" s="617"/>
      <c r="L397" s="587"/>
      <c r="M397" s="603"/>
      <c r="N397" s="618"/>
      <c r="O397" s="591"/>
      <c r="P397" s="604">
        <v>-7051.57</v>
      </c>
      <c r="Q397" s="592">
        <f t="shared" si="67"/>
        <v>2848.43</v>
      </c>
      <c r="R397" s="593" t="s">
        <v>266</v>
      </c>
    </row>
    <row r="398">
      <c r="B398" s="584"/>
      <c r="C398" s="616"/>
      <c r="D398" s="616"/>
      <c r="E398" s="587"/>
      <c r="F398" s="587"/>
      <c r="G398" s="587"/>
      <c r="H398" s="587"/>
      <c r="I398" s="587"/>
      <c r="J398" s="587"/>
      <c r="K398" s="619"/>
      <c r="L398" s="587"/>
      <c r="M398" s="603"/>
      <c r="N398" s="618"/>
      <c r="O398" s="591"/>
      <c r="P398" s="590">
        <v>-50.0</v>
      </c>
      <c r="Q398" s="592">
        <f t="shared" si="67"/>
        <v>2798.43</v>
      </c>
      <c r="R398" s="593" t="s">
        <v>267</v>
      </c>
    </row>
    <row r="399">
      <c r="B399" s="584"/>
      <c r="C399" s="616"/>
      <c r="D399" s="616"/>
      <c r="E399" s="587"/>
      <c r="F399" s="587"/>
      <c r="G399" s="587"/>
      <c r="H399" s="587"/>
      <c r="I399" s="587"/>
      <c r="J399" s="587"/>
      <c r="K399" s="619"/>
      <c r="L399" s="587"/>
      <c r="M399" s="603"/>
      <c r="N399" s="618"/>
      <c r="O399" s="591"/>
      <c r="P399" s="604">
        <v>-3000.0</v>
      </c>
      <c r="Q399" s="592">
        <f t="shared" si="67"/>
        <v>-201.57</v>
      </c>
      <c r="R399" s="605" t="s">
        <v>339</v>
      </c>
    </row>
    <row r="400">
      <c r="B400" s="584"/>
      <c r="C400" s="616"/>
      <c r="D400" s="616"/>
      <c r="E400" s="587"/>
      <c r="F400" s="587"/>
      <c r="G400" s="587"/>
      <c r="H400" s="587"/>
      <c r="I400" s="587"/>
      <c r="J400" s="587"/>
      <c r="K400" s="619"/>
      <c r="L400" s="587"/>
      <c r="M400" s="603"/>
      <c r="N400" s="618"/>
      <c r="O400" s="591"/>
      <c r="P400" s="604">
        <v>-2077.49</v>
      </c>
      <c r="Q400" s="592">
        <f t="shared" si="67"/>
        <v>-2279.06</v>
      </c>
      <c r="R400" s="605" t="s">
        <v>55</v>
      </c>
    </row>
    <row r="401">
      <c r="B401" s="620" t="s">
        <v>132</v>
      </c>
      <c r="C401" s="621" t="s">
        <v>66</v>
      </c>
      <c r="D401" s="622">
        <f t="shared" ref="D401:P401" si="68">sum(D375:D400)</f>
        <v>21</v>
      </c>
      <c r="E401" s="623">
        <f t="shared" si="68"/>
        <v>53982.8</v>
      </c>
      <c r="F401" s="623">
        <f t="shared" si="68"/>
        <v>3150</v>
      </c>
      <c r="G401" s="623">
        <f t="shared" si="68"/>
        <v>0</v>
      </c>
      <c r="H401" s="623">
        <f t="shared" si="68"/>
        <v>46339</v>
      </c>
      <c r="I401" s="623">
        <f t="shared" si="68"/>
        <v>0</v>
      </c>
      <c r="J401" s="623">
        <f t="shared" si="68"/>
        <v>18500</v>
      </c>
      <c r="K401" s="623">
        <f t="shared" si="68"/>
        <v>350</v>
      </c>
      <c r="L401" s="623">
        <f t="shared" si="68"/>
        <v>2332.8</v>
      </c>
      <c r="M401" s="623">
        <f t="shared" si="68"/>
        <v>14850</v>
      </c>
      <c r="N401" s="623">
        <f t="shared" si="68"/>
        <v>19500</v>
      </c>
      <c r="O401" s="623">
        <f t="shared" si="68"/>
        <v>-11200</v>
      </c>
      <c r="P401" s="624">
        <f t="shared" si="68"/>
        <v>-10579.06</v>
      </c>
      <c r="Q401" s="625">
        <f t="shared" si="67"/>
        <v>-4558.12</v>
      </c>
      <c r="R401" s="626"/>
    </row>
    <row r="402">
      <c r="B402" s="597" t="s">
        <v>141</v>
      </c>
      <c r="C402" s="598">
        <v>46024.0</v>
      </c>
      <c r="D402" s="599"/>
      <c r="E402" s="600"/>
      <c r="F402" s="608"/>
      <c r="G402" s="600"/>
      <c r="H402" s="629"/>
      <c r="I402" s="600"/>
      <c r="J402" s="600"/>
      <c r="K402" s="601">
        <f t="shared" ref="K402:K420" si="69">E402-J402-L402-M402-N402-I402+F402-P402</f>
        <v>0</v>
      </c>
      <c r="L402" s="600"/>
      <c r="M402" s="602"/>
      <c r="N402" s="602"/>
      <c r="O402" s="600"/>
      <c r="P402" s="608"/>
      <c r="Q402" s="449">
        <f t="shared" si="67"/>
        <v>-4558.12</v>
      </c>
      <c r="R402" s="609"/>
    </row>
    <row r="403">
      <c r="B403" s="627" t="s">
        <v>141</v>
      </c>
      <c r="C403" s="585">
        <v>46056.0</v>
      </c>
      <c r="D403" s="566">
        <v>1.0</v>
      </c>
      <c r="E403" s="586">
        <v>2800.0</v>
      </c>
      <c r="F403" s="587"/>
      <c r="G403" s="587"/>
      <c r="H403" s="587"/>
      <c r="I403" s="587"/>
      <c r="J403" s="586">
        <v>1000.0</v>
      </c>
      <c r="K403" s="589">
        <f t="shared" si="69"/>
        <v>0</v>
      </c>
      <c r="L403" s="587"/>
      <c r="M403" s="603"/>
      <c r="N403" s="577">
        <v>1800.0</v>
      </c>
      <c r="O403" s="590">
        <v>-700.0</v>
      </c>
      <c r="P403" s="591"/>
      <c r="Q403" s="592">
        <f t="shared" si="67"/>
        <v>-3458.12</v>
      </c>
      <c r="R403" s="593"/>
    </row>
    <row r="404">
      <c r="B404" s="597"/>
      <c r="C404" s="598">
        <v>46086.0</v>
      </c>
      <c r="D404" s="599"/>
      <c r="E404" s="600"/>
      <c r="F404" s="608"/>
      <c r="G404" s="600"/>
      <c r="H404" s="629"/>
      <c r="I404" s="600"/>
      <c r="J404" s="600"/>
      <c r="K404" s="601">
        <f t="shared" si="69"/>
        <v>0</v>
      </c>
      <c r="L404" s="600"/>
      <c r="M404" s="602"/>
      <c r="N404" s="602"/>
      <c r="O404" s="600"/>
      <c r="P404" s="608"/>
      <c r="Q404" s="449">
        <f t="shared" si="67"/>
        <v>-3458.12</v>
      </c>
      <c r="R404" s="609"/>
    </row>
    <row r="405">
      <c r="B405" s="584"/>
      <c r="C405" s="585">
        <v>46148.0</v>
      </c>
      <c r="D405" s="566">
        <v>1.0</v>
      </c>
      <c r="E405" s="586">
        <v>2000.0</v>
      </c>
      <c r="F405" s="587">
        <f>400*3</f>
        <v>1200</v>
      </c>
      <c r="G405" s="587"/>
      <c r="H405" s="587"/>
      <c r="I405" s="587"/>
      <c r="J405" s="586">
        <v>1000.0</v>
      </c>
      <c r="K405" s="589">
        <f t="shared" si="69"/>
        <v>0</v>
      </c>
      <c r="L405" s="587"/>
      <c r="M405" s="606"/>
      <c r="N405" s="577">
        <v>1000.0</v>
      </c>
      <c r="O405" s="590">
        <v>-700.0</v>
      </c>
      <c r="P405" s="604">
        <v>1200.0</v>
      </c>
      <c r="Q405" s="592">
        <f>Q404+N405+O405+P21731</f>
        <v>-3158.12</v>
      </c>
      <c r="R405" s="605" t="s">
        <v>340</v>
      </c>
    </row>
    <row r="406">
      <c r="B406" s="597"/>
      <c r="C406" s="598">
        <v>46180.0</v>
      </c>
      <c r="D406" s="599"/>
      <c r="E406" s="600"/>
      <c r="F406" s="608"/>
      <c r="G406" s="600"/>
      <c r="H406" s="629"/>
      <c r="I406" s="600"/>
      <c r="J406" s="600"/>
      <c r="K406" s="601">
        <f t="shared" si="69"/>
        <v>0</v>
      </c>
      <c r="L406" s="600"/>
      <c r="M406" s="602"/>
      <c r="N406" s="602"/>
      <c r="O406" s="600"/>
      <c r="P406" s="608"/>
      <c r="Q406" s="449">
        <f t="shared" ref="Q406:Q428" si="70">Q405+N406+O406+P406</f>
        <v>-3158.12</v>
      </c>
      <c r="R406" s="609"/>
    </row>
    <row r="407">
      <c r="B407" s="584"/>
      <c r="C407" s="585">
        <v>46244.0</v>
      </c>
      <c r="D407" s="566">
        <v>2.0</v>
      </c>
      <c r="E407" s="586">
        <v>4800.0</v>
      </c>
      <c r="F407" s="595">
        <v>400.0</v>
      </c>
      <c r="G407" s="587"/>
      <c r="H407" s="595"/>
      <c r="I407" s="587"/>
      <c r="J407" s="586">
        <v>1500.0</v>
      </c>
      <c r="K407" s="589">
        <f t="shared" si="69"/>
        <v>0</v>
      </c>
      <c r="L407" s="595"/>
      <c r="M407" s="603"/>
      <c r="N407" s="577">
        <v>3300.0</v>
      </c>
      <c r="O407" s="590">
        <v>-700.0</v>
      </c>
      <c r="P407" s="604">
        <v>400.0</v>
      </c>
      <c r="Q407" s="592">
        <f t="shared" si="70"/>
        <v>-158.12</v>
      </c>
      <c r="R407" s="605" t="s">
        <v>341</v>
      </c>
    </row>
    <row r="408">
      <c r="B408" s="584"/>
      <c r="C408" s="585">
        <v>46306.0</v>
      </c>
      <c r="D408" s="566">
        <v>1.0</v>
      </c>
      <c r="E408" s="586">
        <v>2000.0</v>
      </c>
      <c r="F408" s="595"/>
      <c r="G408" s="587"/>
      <c r="H408" s="643"/>
      <c r="I408" s="587"/>
      <c r="J408" s="586">
        <v>1000.0</v>
      </c>
      <c r="K408" s="589">
        <f t="shared" si="69"/>
        <v>0</v>
      </c>
      <c r="L408" s="595"/>
      <c r="M408" s="606"/>
      <c r="N408" s="577">
        <v>1000.0</v>
      </c>
      <c r="O408" s="590">
        <v>-700.0</v>
      </c>
      <c r="P408" s="604"/>
      <c r="Q408" s="592">
        <f t="shared" si="70"/>
        <v>141.88</v>
      </c>
      <c r="R408" s="605"/>
    </row>
    <row r="409">
      <c r="B409" s="584"/>
      <c r="C409" s="585">
        <v>46338.0</v>
      </c>
      <c r="D409" s="566">
        <v>1.0</v>
      </c>
      <c r="E409" s="586">
        <v>2250.0</v>
      </c>
      <c r="F409" s="595"/>
      <c r="G409" s="587"/>
      <c r="H409" s="643"/>
      <c r="I409" s="587"/>
      <c r="J409" s="586">
        <v>1000.0</v>
      </c>
      <c r="K409" s="589">
        <f t="shared" si="69"/>
        <v>0</v>
      </c>
      <c r="L409" s="595"/>
      <c r="M409" s="606"/>
      <c r="N409" s="577">
        <v>1250.0</v>
      </c>
      <c r="O409" s="590">
        <v>-700.0</v>
      </c>
      <c r="P409" s="604"/>
      <c r="Q409" s="592">
        <f t="shared" si="70"/>
        <v>691.88</v>
      </c>
      <c r="R409" s="605"/>
    </row>
    <row r="410">
      <c r="B410" s="597"/>
      <c r="C410" s="598">
        <v>46370.0</v>
      </c>
      <c r="D410" s="599"/>
      <c r="E410" s="600"/>
      <c r="F410" s="608"/>
      <c r="G410" s="600"/>
      <c r="H410" s="629"/>
      <c r="I410" s="600"/>
      <c r="J410" s="600"/>
      <c r="K410" s="601">
        <f t="shared" si="69"/>
        <v>0</v>
      </c>
      <c r="L410" s="600"/>
      <c r="M410" s="602"/>
      <c r="N410" s="602"/>
      <c r="O410" s="600"/>
      <c r="P410" s="608"/>
      <c r="Q410" s="449">
        <f t="shared" si="70"/>
        <v>691.88</v>
      </c>
      <c r="R410" s="609"/>
    </row>
    <row r="411">
      <c r="B411" s="584"/>
      <c r="C411" s="566" t="s">
        <v>29</v>
      </c>
      <c r="D411" s="566">
        <v>1.0</v>
      </c>
      <c r="E411" s="586">
        <v>2300.0</v>
      </c>
      <c r="F411" s="587"/>
      <c r="G411" s="587"/>
      <c r="H411" s="595"/>
      <c r="I411" s="587"/>
      <c r="J411" s="586">
        <v>1000.0</v>
      </c>
      <c r="K411" s="589">
        <f t="shared" si="69"/>
        <v>0</v>
      </c>
      <c r="L411" s="587"/>
      <c r="M411" s="606">
        <v>1300.0</v>
      </c>
      <c r="N411" s="577"/>
      <c r="O411" s="590">
        <v>-700.0</v>
      </c>
      <c r="P411" s="591"/>
      <c r="Q411" s="592">
        <f t="shared" si="70"/>
        <v>-8.12</v>
      </c>
      <c r="R411" s="605" t="s">
        <v>343</v>
      </c>
    </row>
    <row r="412">
      <c r="B412" s="584"/>
      <c r="C412" s="566" t="s">
        <v>54</v>
      </c>
      <c r="D412" s="566">
        <v>2.0</v>
      </c>
      <c r="E412" s="586">
        <v>4800.0</v>
      </c>
      <c r="F412" s="595">
        <v>400.0</v>
      </c>
      <c r="G412" s="587"/>
      <c r="H412" s="595"/>
      <c r="I412" s="587"/>
      <c r="J412" s="586">
        <v>1500.0</v>
      </c>
      <c r="K412" s="589">
        <f t="shared" si="69"/>
        <v>0</v>
      </c>
      <c r="L412" s="587"/>
      <c r="M412" s="606"/>
      <c r="N412" s="577">
        <v>3300.0</v>
      </c>
      <c r="O412" s="590">
        <v>-700.0</v>
      </c>
      <c r="P412" s="604">
        <v>400.0</v>
      </c>
      <c r="Q412" s="592">
        <f t="shared" si="70"/>
        <v>2991.88</v>
      </c>
      <c r="R412" s="605" t="s">
        <v>308</v>
      </c>
    </row>
    <row r="413">
      <c r="B413" s="597"/>
      <c r="C413" s="613" t="s">
        <v>56</v>
      </c>
      <c r="D413" s="599"/>
      <c r="E413" s="600"/>
      <c r="F413" s="608"/>
      <c r="G413" s="600"/>
      <c r="H413" s="600"/>
      <c r="I413" s="600"/>
      <c r="J413" s="600"/>
      <c r="K413" s="601">
        <f t="shared" si="69"/>
        <v>0</v>
      </c>
      <c r="L413" s="600"/>
      <c r="M413" s="602"/>
      <c r="N413" s="636"/>
      <c r="O413" s="600"/>
      <c r="P413" s="608"/>
      <c r="Q413" s="449">
        <f t="shared" si="70"/>
        <v>2991.88</v>
      </c>
      <c r="R413" s="609"/>
    </row>
    <row r="414">
      <c r="B414" s="584"/>
      <c r="C414" s="566" t="s">
        <v>344</v>
      </c>
      <c r="D414" s="566">
        <v>2.0</v>
      </c>
      <c r="E414" s="586">
        <f>1500+3500</f>
        <v>5000</v>
      </c>
      <c r="F414" s="595"/>
      <c r="G414" s="587"/>
      <c r="H414" s="587"/>
      <c r="I414" s="587"/>
      <c r="J414" s="586">
        <v>1500.0</v>
      </c>
      <c r="K414" s="589">
        <f t="shared" si="69"/>
        <v>0</v>
      </c>
      <c r="L414" s="587"/>
      <c r="M414" s="606">
        <v>3500.0</v>
      </c>
      <c r="N414" s="577"/>
      <c r="O414" s="590">
        <v>-700.0</v>
      </c>
      <c r="P414" s="591"/>
      <c r="Q414" s="592">
        <f t="shared" si="70"/>
        <v>2291.88</v>
      </c>
      <c r="R414" s="593"/>
    </row>
    <row r="415">
      <c r="B415" s="584"/>
      <c r="C415" s="566" t="s">
        <v>108</v>
      </c>
      <c r="D415" s="566">
        <v>1.0</v>
      </c>
      <c r="E415" s="586">
        <v>5300.0</v>
      </c>
      <c r="F415" s="595"/>
      <c r="G415" s="587"/>
      <c r="H415" s="587"/>
      <c r="I415" s="587"/>
      <c r="J415" s="586">
        <v>1500.0</v>
      </c>
      <c r="K415" s="589">
        <f t="shared" si="69"/>
        <v>0</v>
      </c>
      <c r="L415" s="587"/>
      <c r="M415" s="606">
        <v>3800.0</v>
      </c>
      <c r="N415" s="577"/>
      <c r="O415" s="590">
        <v>-700.0</v>
      </c>
      <c r="P415" s="591"/>
      <c r="Q415" s="592">
        <f t="shared" si="70"/>
        <v>1591.88</v>
      </c>
      <c r="R415" s="593"/>
    </row>
    <row r="416">
      <c r="B416" s="597"/>
      <c r="C416" s="613" t="s">
        <v>99</v>
      </c>
      <c r="D416" s="599"/>
      <c r="E416" s="600"/>
      <c r="F416" s="608"/>
      <c r="G416" s="600"/>
      <c r="H416" s="600"/>
      <c r="I416" s="600"/>
      <c r="J416" s="600"/>
      <c r="K416" s="601">
        <f t="shared" si="69"/>
        <v>0</v>
      </c>
      <c r="L416" s="600"/>
      <c r="M416" s="602"/>
      <c r="N416" s="636"/>
      <c r="O416" s="600"/>
      <c r="P416" s="608"/>
      <c r="Q416" s="449">
        <f t="shared" si="70"/>
        <v>1591.88</v>
      </c>
      <c r="R416" s="609"/>
    </row>
    <row r="417">
      <c r="B417" s="584"/>
      <c r="C417" s="566" t="s">
        <v>48</v>
      </c>
      <c r="D417" s="566">
        <v>2.0</v>
      </c>
      <c r="E417" s="586">
        <v>4200.0</v>
      </c>
      <c r="F417" s="586"/>
      <c r="G417" s="587"/>
      <c r="H417" s="587"/>
      <c r="I417" s="587"/>
      <c r="J417" s="586">
        <v>1500.0</v>
      </c>
      <c r="K417" s="589">
        <f t="shared" si="69"/>
        <v>0</v>
      </c>
      <c r="L417" s="587"/>
      <c r="M417" s="603"/>
      <c r="N417" s="577">
        <v>2700.0</v>
      </c>
      <c r="O417" s="590">
        <v>-700.0</v>
      </c>
      <c r="P417" s="591"/>
      <c r="Q417" s="592">
        <f t="shared" si="70"/>
        <v>3591.88</v>
      </c>
      <c r="R417" s="593"/>
    </row>
    <row r="418">
      <c r="B418" s="584"/>
      <c r="C418" s="566" t="s">
        <v>49</v>
      </c>
      <c r="D418" s="566">
        <v>2.0</v>
      </c>
      <c r="E418" s="586">
        <v>5100.0</v>
      </c>
      <c r="F418" s="586"/>
      <c r="G418" s="595"/>
      <c r="H418" s="595"/>
      <c r="I418" s="587"/>
      <c r="J418" s="586">
        <v>1500.0</v>
      </c>
      <c r="K418" s="589">
        <f t="shared" si="69"/>
        <v>0</v>
      </c>
      <c r="L418" s="595"/>
      <c r="M418" s="606"/>
      <c r="N418" s="577">
        <v>3600.0</v>
      </c>
      <c r="O418" s="590">
        <v>-700.0</v>
      </c>
      <c r="P418" s="604"/>
      <c r="Q418" s="592">
        <f t="shared" si="70"/>
        <v>6491.88</v>
      </c>
      <c r="R418" s="605"/>
    </row>
    <row r="419">
      <c r="B419" s="597"/>
      <c r="C419" s="613" t="s">
        <v>50</v>
      </c>
      <c r="D419" s="613"/>
      <c r="E419" s="656"/>
      <c r="F419" s="608"/>
      <c r="G419" s="600"/>
      <c r="H419" s="608"/>
      <c r="I419" s="600"/>
      <c r="J419" s="656"/>
      <c r="K419" s="601">
        <f t="shared" si="69"/>
        <v>0</v>
      </c>
      <c r="L419" s="600"/>
      <c r="M419" s="630"/>
      <c r="N419" s="657"/>
      <c r="O419" s="656"/>
      <c r="P419" s="656"/>
      <c r="Q419" s="449">
        <f t="shared" si="70"/>
        <v>6491.88</v>
      </c>
      <c r="R419" s="609"/>
    </row>
    <row r="420">
      <c r="B420" s="584"/>
      <c r="C420" s="627" t="s">
        <v>52</v>
      </c>
      <c r="D420" s="627">
        <v>1.0</v>
      </c>
      <c r="E420" s="595">
        <v>2000.0</v>
      </c>
      <c r="F420" s="595">
        <v>350.0</v>
      </c>
      <c r="G420" s="587"/>
      <c r="H420" s="587"/>
      <c r="I420" s="587"/>
      <c r="J420" s="595">
        <v>1500.0</v>
      </c>
      <c r="K420" s="617">
        <f t="shared" si="69"/>
        <v>0</v>
      </c>
      <c r="L420" s="587"/>
      <c r="M420" s="603"/>
      <c r="N420" s="646">
        <v>500.0</v>
      </c>
      <c r="O420" s="604">
        <v>-700.0</v>
      </c>
      <c r="P420" s="604">
        <v>350.0</v>
      </c>
      <c r="Q420" s="592">
        <f t="shared" si="70"/>
        <v>6641.88</v>
      </c>
      <c r="R420" s="605" t="s">
        <v>308</v>
      </c>
    </row>
    <row r="421">
      <c r="B421" s="584"/>
      <c r="C421" s="627"/>
      <c r="D421" s="616"/>
      <c r="E421" s="587"/>
      <c r="F421" s="587"/>
      <c r="G421" s="587"/>
      <c r="H421" s="587"/>
      <c r="I421" s="587"/>
      <c r="J421" s="587"/>
      <c r="K421" s="617"/>
      <c r="L421" s="587"/>
      <c r="M421" s="603"/>
      <c r="N421" s="618"/>
      <c r="O421" s="591"/>
      <c r="P421" s="604">
        <v>-7525.8</v>
      </c>
      <c r="Q421" s="592">
        <f t="shared" si="70"/>
        <v>-883.92</v>
      </c>
      <c r="R421" s="593" t="s">
        <v>266</v>
      </c>
    </row>
    <row r="422">
      <c r="B422" s="584"/>
      <c r="C422" s="616"/>
      <c r="D422" s="616"/>
      <c r="E422" s="587"/>
      <c r="F422" s="587"/>
      <c r="G422" s="587"/>
      <c r="H422" s="587"/>
      <c r="I422" s="587"/>
      <c r="J422" s="587"/>
      <c r="K422" s="619"/>
      <c r="L422" s="587"/>
      <c r="M422" s="603"/>
      <c r="N422" s="618"/>
      <c r="O422" s="591"/>
      <c r="P422" s="590">
        <v>-110.0</v>
      </c>
      <c r="Q422" s="592">
        <f t="shared" si="70"/>
        <v>-993.92</v>
      </c>
      <c r="R422" s="593" t="s">
        <v>267</v>
      </c>
    </row>
    <row r="423">
      <c r="B423" s="584"/>
      <c r="C423" s="616"/>
      <c r="D423" s="616"/>
      <c r="E423" s="587"/>
      <c r="F423" s="587"/>
      <c r="G423" s="587"/>
      <c r="H423" s="587"/>
      <c r="I423" s="587"/>
      <c r="J423" s="587"/>
      <c r="K423" s="619"/>
      <c r="L423" s="587"/>
      <c r="M423" s="603"/>
      <c r="N423" s="618"/>
      <c r="O423" s="591"/>
      <c r="P423" s="604">
        <v>-500.0</v>
      </c>
      <c r="Q423" s="592">
        <f t="shared" si="70"/>
        <v>-1493.92</v>
      </c>
      <c r="R423" s="605" t="s">
        <v>347</v>
      </c>
    </row>
    <row r="424">
      <c r="B424" s="584"/>
      <c r="C424" s="616"/>
      <c r="D424" s="616"/>
      <c r="E424" s="587"/>
      <c r="F424" s="587"/>
      <c r="G424" s="587"/>
      <c r="H424" s="587"/>
      <c r="I424" s="587"/>
      <c r="J424" s="587"/>
      <c r="K424" s="619"/>
      <c r="L424" s="587"/>
      <c r="M424" s="603"/>
      <c r="N424" s="618"/>
      <c r="O424" s="591"/>
      <c r="P424" s="604">
        <v>-1600.0</v>
      </c>
      <c r="Q424" s="592">
        <f t="shared" si="70"/>
        <v>-3093.92</v>
      </c>
      <c r="R424" s="605" t="s">
        <v>348</v>
      </c>
    </row>
    <row r="425">
      <c r="B425" s="620" t="s">
        <v>141</v>
      </c>
      <c r="C425" s="621" t="s">
        <v>66</v>
      </c>
      <c r="D425" s="622">
        <f t="shared" ref="D425:P425" si="71">sum(D402:D424)</f>
        <v>17</v>
      </c>
      <c r="E425" s="623">
        <f t="shared" si="71"/>
        <v>42550</v>
      </c>
      <c r="F425" s="623">
        <f t="shared" si="71"/>
        <v>2350</v>
      </c>
      <c r="G425" s="623">
        <f t="shared" si="71"/>
        <v>0</v>
      </c>
      <c r="H425" s="623">
        <f t="shared" si="71"/>
        <v>0</v>
      </c>
      <c r="I425" s="623">
        <f t="shared" si="71"/>
        <v>0</v>
      </c>
      <c r="J425" s="623">
        <f t="shared" si="71"/>
        <v>15500</v>
      </c>
      <c r="K425" s="623">
        <f t="shared" si="71"/>
        <v>0</v>
      </c>
      <c r="L425" s="623">
        <f t="shared" si="71"/>
        <v>0</v>
      </c>
      <c r="M425" s="623">
        <f t="shared" si="71"/>
        <v>8600</v>
      </c>
      <c r="N425" s="623">
        <f t="shared" si="71"/>
        <v>18450</v>
      </c>
      <c r="O425" s="623">
        <f t="shared" si="71"/>
        <v>-8400</v>
      </c>
      <c r="P425" s="623">
        <f t="shared" si="71"/>
        <v>-7385.8</v>
      </c>
      <c r="Q425" s="625">
        <f t="shared" si="70"/>
        <v>-429.72</v>
      </c>
      <c r="R425" s="626"/>
    </row>
    <row r="426">
      <c r="B426" s="609" t="s">
        <v>154</v>
      </c>
      <c r="C426" s="598">
        <v>46028.0</v>
      </c>
      <c r="D426" s="599"/>
      <c r="E426" s="600"/>
      <c r="F426" s="608"/>
      <c r="G426" s="600"/>
      <c r="H426" s="629"/>
      <c r="I426" s="600"/>
      <c r="J426" s="600"/>
      <c r="K426" s="601">
        <f t="shared" ref="K426:K442" si="72">E426-J426-L426-M426-N426-I426+F426-P426</f>
        <v>0</v>
      </c>
      <c r="L426" s="600"/>
      <c r="M426" s="602"/>
      <c r="N426" s="602"/>
      <c r="O426" s="600"/>
      <c r="P426" s="608"/>
      <c r="Q426" s="449">
        <f t="shared" si="70"/>
        <v>-429.72</v>
      </c>
      <c r="R426" s="609"/>
    </row>
    <row r="427">
      <c r="B427" s="627" t="s">
        <v>154</v>
      </c>
      <c r="C427" s="585">
        <v>46180.0</v>
      </c>
      <c r="D427" s="566">
        <v>1.0</v>
      </c>
      <c r="E427" s="586">
        <v>3150.0</v>
      </c>
      <c r="F427" s="587"/>
      <c r="G427" s="587"/>
      <c r="H427" s="587"/>
      <c r="I427" s="587"/>
      <c r="J427" s="586">
        <v>1000.0</v>
      </c>
      <c r="K427" s="589">
        <f t="shared" si="72"/>
        <v>0</v>
      </c>
      <c r="L427" s="587"/>
      <c r="M427" s="606">
        <v>2150.0</v>
      </c>
      <c r="N427" s="577"/>
      <c r="O427" s="590">
        <v>-700.0</v>
      </c>
      <c r="P427" s="591"/>
      <c r="Q427" s="592">
        <f t="shared" si="70"/>
        <v>-1129.72</v>
      </c>
      <c r="R427" s="593"/>
    </row>
    <row r="428">
      <c r="B428" s="584"/>
      <c r="C428" s="585">
        <v>46211.0</v>
      </c>
      <c r="D428" s="566">
        <v>1.0</v>
      </c>
      <c r="E428" s="586">
        <v>2300.0</v>
      </c>
      <c r="F428" s="587"/>
      <c r="G428" s="587"/>
      <c r="H428" s="587"/>
      <c r="I428" s="587"/>
      <c r="J428" s="586">
        <v>1000.0</v>
      </c>
      <c r="K428" s="589">
        <f t="shared" si="72"/>
        <v>0</v>
      </c>
      <c r="L428" s="587"/>
      <c r="M428" s="606">
        <v>1300.0</v>
      </c>
      <c r="N428" s="577"/>
      <c r="O428" s="590">
        <v>-700.0</v>
      </c>
      <c r="P428" s="604"/>
      <c r="Q428" s="592">
        <f t="shared" si="70"/>
        <v>-1829.72</v>
      </c>
      <c r="R428" s="605"/>
    </row>
    <row r="429">
      <c r="B429" s="584"/>
      <c r="C429" s="585">
        <v>46244.0</v>
      </c>
      <c r="D429" s="566">
        <v>2.0</v>
      </c>
      <c r="E429" s="586">
        <v>3700.0</v>
      </c>
      <c r="F429" s="587"/>
      <c r="G429" s="587"/>
      <c r="H429" s="587"/>
      <c r="I429" s="587"/>
      <c r="J429" s="586">
        <v>1500.0</v>
      </c>
      <c r="K429" s="589">
        <f t="shared" si="72"/>
        <v>0</v>
      </c>
      <c r="L429" s="587"/>
      <c r="M429" s="606">
        <v>2200.0</v>
      </c>
      <c r="N429" s="635"/>
      <c r="O429" s="590">
        <v>-700.0</v>
      </c>
      <c r="P429" s="604"/>
      <c r="Q429" s="592">
        <f>Q428+N429+O429+P21755</f>
        <v>-2529.72</v>
      </c>
      <c r="R429" s="605"/>
    </row>
    <row r="430">
      <c r="B430" s="597"/>
      <c r="C430" s="598">
        <v>46307.0</v>
      </c>
      <c r="D430" s="599"/>
      <c r="E430" s="600"/>
      <c r="F430" s="608"/>
      <c r="G430" s="600"/>
      <c r="H430" s="629"/>
      <c r="I430" s="600"/>
      <c r="J430" s="600"/>
      <c r="K430" s="601">
        <f t="shared" si="72"/>
        <v>0</v>
      </c>
      <c r="L430" s="600"/>
      <c r="M430" s="602"/>
      <c r="N430" s="602"/>
      <c r="O430" s="600"/>
      <c r="P430" s="608"/>
      <c r="Q430" s="449">
        <f t="shared" ref="Q430:Q445" si="73">Q429+N430+O430+P430</f>
        <v>-2529.72</v>
      </c>
      <c r="R430" s="609"/>
    </row>
    <row r="431">
      <c r="B431" s="584"/>
      <c r="C431" s="585">
        <v>46370.0</v>
      </c>
      <c r="D431" s="566">
        <v>2.0</v>
      </c>
      <c r="E431" s="586">
        <v>5300.0</v>
      </c>
      <c r="F431" s="595">
        <v>450.0</v>
      </c>
      <c r="G431" s="587"/>
      <c r="H431" s="595"/>
      <c r="I431" s="587"/>
      <c r="J431" s="586">
        <v>1500.0</v>
      </c>
      <c r="K431" s="589">
        <f t="shared" si="72"/>
        <v>0</v>
      </c>
      <c r="L431" s="595"/>
      <c r="M431" s="606">
        <v>3800.0</v>
      </c>
      <c r="N431" s="577"/>
      <c r="O431" s="590">
        <v>-700.0</v>
      </c>
      <c r="P431" s="604">
        <v>450.0</v>
      </c>
      <c r="Q431" s="592">
        <f t="shared" si="73"/>
        <v>-2779.72</v>
      </c>
      <c r="R431" s="605" t="s">
        <v>308</v>
      </c>
    </row>
    <row r="432">
      <c r="B432" s="584"/>
      <c r="C432" s="566" t="s">
        <v>101</v>
      </c>
      <c r="D432" s="566">
        <v>2.0</v>
      </c>
      <c r="E432" s="586">
        <v>4200.0</v>
      </c>
      <c r="F432" s="595">
        <v>450.0</v>
      </c>
      <c r="G432" s="587"/>
      <c r="H432" s="643"/>
      <c r="I432" s="587"/>
      <c r="J432" s="586">
        <v>1500.0</v>
      </c>
      <c r="K432" s="589">
        <f t="shared" si="72"/>
        <v>0</v>
      </c>
      <c r="L432" s="595"/>
      <c r="M432" s="606"/>
      <c r="N432" s="577">
        <v>2700.0</v>
      </c>
      <c r="O432" s="590">
        <v>-700.0</v>
      </c>
      <c r="P432" s="604">
        <v>450.0</v>
      </c>
      <c r="Q432" s="592">
        <f t="shared" si="73"/>
        <v>-329.72</v>
      </c>
      <c r="R432" s="605" t="s">
        <v>351</v>
      </c>
    </row>
    <row r="433">
      <c r="B433" s="597"/>
      <c r="C433" s="613" t="s">
        <v>102</v>
      </c>
      <c r="D433" s="599"/>
      <c r="E433" s="600"/>
      <c r="F433" s="608"/>
      <c r="G433" s="600"/>
      <c r="H433" s="629"/>
      <c r="I433" s="600"/>
      <c r="J433" s="600"/>
      <c r="K433" s="601">
        <f t="shared" si="72"/>
        <v>0</v>
      </c>
      <c r="L433" s="600"/>
      <c r="M433" s="602"/>
      <c r="N433" s="602"/>
      <c r="O433" s="600"/>
      <c r="P433" s="608"/>
      <c r="Q433" s="449">
        <f t="shared" si="73"/>
        <v>-329.72</v>
      </c>
      <c r="R433" s="609"/>
    </row>
    <row r="434">
      <c r="B434" s="584"/>
      <c r="C434" s="566" t="s">
        <v>33</v>
      </c>
      <c r="D434" s="566">
        <v>1.0</v>
      </c>
      <c r="E434" s="586">
        <v>2300.0</v>
      </c>
      <c r="F434" s="595">
        <v>400.0</v>
      </c>
      <c r="G434" s="587"/>
      <c r="H434" s="595"/>
      <c r="I434" s="587"/>
      <c r="J434" s="586">
        <v>1000.0</v>
      </c>
      <c r="K434" s="589">
        <f t="shared" si="72"/>
        <v>0</v>
      </c>
      <c r="L434" s="587"/>
      <c r="M434" s="606">
        <v>1300.0</v>
      </c>
      <c r="N434" s="577"/>
      <c r="O434" s="590">
        <v>-700.0</v>
      </c>
      <c r="P434" s="604">
        <v>400.0</v>
      </c>
      <c r="Q434" s="592">
        <f t="shared" si="73"/>
        <v>-629.72</v>
      </c>
      <c r="R434" s="605" t="s">
        <v>353</v>
      </c>
    </row>
    <row r="435">
      <c r="B435" s="584"/>
      <c r="C435" s="566" t="s">
        <v>34</v>
      </c>
      <c r="D435" s="566">
        <v>1.0</v>
      </c>
      <c r="E435" s="586">
        <v>2500.0</v>
      </c>
      <c r="F435" s="587"/>
      <c r="G435" s="587"/>
      <c r="H435" s="595"/>
      <c r="I435" s="587"/>
      <c r="J435" s="586">
        <v>1000.0</v>
      </c>
      <c r="K435" s="589">
        <f t="shared" si="72"/>
        <v>0</v>
      </c>
      <c r="L435" s="587"/>
      <c r="M435" s="606"/>
      <c r="N435" s="577">
        <v>1500.0</v>
      </c>
      <c r="O435" s="590">
        <v>-700.0</v>
      </c>
      <c r="P435" s="591"/>
      <c r="Q435" s="592">
        <f t="shared" si="73"/>
        <v>170.28</v>
      </c>
      <c r="R435" s="593"/>
    </row>
    <row r="436">
      <c r="B436" s="584"/>
      <c r="C436" s="566" t="s">
        <v>35</v>
      </c>
      <c r="D436" s="566">
        <v>2.0</v>
      </c>
      <c r="E436" s="586">
        <v>5000.0</v>
      </c>
      <c r="F436" s="595">
        <v>800.0</v>
      </c>
      <c r="G436" s="587"/>
      <c r="H436" s="595"/>
      <c r="I436" s="587"/>
      <c r="J436" s="586">
        <v>1500.0</v>
      </c>
      <c r="K436" s="589">
        <f t="shared" si="72"/>
        <v>0</v>
      </c>
      <c r="L436" s="587"/>
      <c r="M436" s="606">
        <v>3500.0</v>
      </c>
      <c r="N436" s="635"/>
      <c r="O436" s="590">
        <v>-700.0</v>
      </c>
      <c r="P436" s="604">
        <v>800.0</v>
      </c>
      <c r="Q436" s="592">
        <f t="shared" si="73"/>
        <v>270.28</v>
      </c>
      <c r="R436" s="605" t="s">
        <v>355</v>
      </c>
    </row>
    <row r="437">
      <c r="B437" s="597"/>
      <c r="C437" s="613" t="s">
        <v>70</v>
      </c>
      <c r="D437" s="599"/>
      <c r="E437" s="600"/>
      <c r="F437" s="608"/>
      <c r="G437" s="600"/>
      <c r="H437" s="600"/>
      <c r="I437" s="600"/>
      <c r="J437" s="600"/>
      <c r="K437" s="601">
        <f t="shared" si="72"/>
        <v>0</v>
      </c>
      <c r="L437" s="600"/>
      <c r="M437" s="602"/>
      <c r="N437" s="636"/>
      <c r="O437" s="600"/>
      <c r="P437" s="608"/>
      <c r="Q437" s="449">
        <f t="shared" si="73"/>
        <v>270.28</v>
      </c>
      <c r="R437" s="609"/>
    </row>
    <row r="438">
      <c r="B438" s="584"/>
      <c r="C438" s="566" t="s">
        <v>44</v>
      </c>
      <c r="D438" s="566">
        <v>1.0</v>
      </c>
      <c r="E438" s="586">
        <v>2000.0</v>
      </c>
      <c r="F438" s="595">
        <v>350.0</v>
      </c>
      <c r="G438" s="587"/>
      <c r="H438" s="587"/>
      <c r="I438" s="587"/>
      <c r="J438" s="586">
        <v>1000.0</v>
      </c>
      <c r="K438" s="589">
        <f t="shared" si="72"/>
        <v>0</v>
      </c>
      <c r="L438" s="587"/>
      <c r="M438" s="606">
        <v>1350.0</v>
      </c>
      <c r="N438" s="577"/>
      <c r="O438" s="590">
        <v>-700.0</v>
      </c>
      <c r="P438" s="591"/>
      <c r="Q438" s="592">
        <f t="shared" si="73"/>
        <v>-429.72</v>
      </c>
      <c r="R438" s="593"/>
    </row>
    <row r="439">
      <c r="B439" s="584"/>
      <c r="C439" s="566" t="s">
        <v>45</v>
      </c>
      <c r="D439" s="566">
        <v>1.0</v>
      </c>
      <c r="E439" s="586">
        <v>2250.0</v>
      </c>
      <c r="F439" s="595"/>
      <c r="G439" s="587"/>
      <c r="H439" s="587"/>
      <c r="I439" s="587"/>
      <c r="J439" s="586">
        <v>1000.0</v>
      </c>
      <c r="K439" s="589">
        <f t="shared" si="72"/>
        <v>0</v>
      </c>
      <c r="L439" s="587"/>
      <c r="M439" s="606"/>
      <c r="N439" s="577">
        <v>1250.0</v>
      </c>
      <c r="O439" s="590">
        <v>-700.0</v>
      </c>
      <c r="P439" s="591"/>
      <c r="Q439" s="592">
        <f t="shared" si="73"/>
        <v>120.28</v>
      </c>
      <c r="R439" s="593"/>
    </row>
    <row r="440">
      <c r="B440" s="584"/>
      <c r="C440" s="566" t="s">
        <v>47</v>
      </c>
      <c r="D440" s="566">
        <v>1.0</v>
      </c>
      <c r="E440" s="586">
        <v>2000.0</v>
      </c>
      <c r="F440" s="586"/>
      <c r="G440" s="587"/>
      <c r="H440" s="587"/>
      <c r="I440" s="587"/>
      <c r="J440" s="586">
        <v>1000.0</v>
      </c>
      <c r="K440" s="589">
        <f t="shared" si="72"/>
        <v>0</v>
      </c>
      <c r="L440" s="587"/>
      <c r="M440" s="606">
        <v>1000.0</v>
      </c>
      <c r="N440" s="577"/>
      <c r="O440" s="590">
        <v>-700.0</v>
      </c>
      <c r="P440" s="591"/>
      <c r="Q440" s="592">
        <f t="shared" si="73"/>
        <v>-579.72</v>
      </c>
      <c r="R440" s="593"/>
    </row>
    <row r="441">
      <c r="B441" s="584"/>
      <c r="C441" s="566" t="s">
        <v>72</v>
      </c>
      <c r="D441" s="566">
        <v>1.0</v>
      </c>
      <c r="E441" s="586">
        <v>2800.0</v>
      </c>
      <c r="F441" s="586">
        <v>400.0</v>
      </c>
      <c r="G441" s="587"/>
      <c r="H441" s="587"/>
      <c r="I441" s="587"/>
      <c r="J441" s="586"/>
      <c r="K441" s="589">
        <f t="shared" si="72"/>
        <v>0</v>
      </c>
      <c r="L441" s="587"/>
      <c r="M441" s="603"/>
      <c r="N441" s="577">
        <v>2800.0</v>
      </c>
      <c r="O441" s="590">
        <v>-700.0</v>
      </c>
      <c r="P441" s="604">
        <v>400.0</v>
      </c>
      <c r="Q441" s="592">
        <f t="shared" si="73"/>
        <v>1920.28</v>
      </c>
      <c r="R441" s="605" t="s">
        <v>308</v>
      </c>
    </row>
    <row r="442">
      <c r="B442" s="584"/>
      <c r="C442" s="566" t="s">
        <v>74</v>
      </c>
      <c r="D442" s="566">
        <v>3.0</v>
      </c>
      <c r="E442" s="586">
        <f>1800+4300</f>
        <v>6100</v>
      </c>
      <c r="F442" s="586"/>
      <c r="G442" s="595"/>
      <c r="H442" s="595"/>
      <c r="I442" s="587"/>
      <c r="J442" s="586">
        <v>1000.0</v>
      </c>
      <c r="K442" s="589">
        <f t="shared" si="72"/>
        <v>0</v>
      </c>
      <c r="L442" s="595"/>
      <c r="M442" s="606">
        <f>1800+3300</f>
        <v>5100</v>
      </c>
      <c r="N442" s="577"/>
      <c r="O442" s="590">
        <v>-700.0</v>
      </c>
      <c r="P442" s="604"/>
      <c r="Q442" s="592">
        <f t="shared" si="73"/>
        <v>1220.28</v>
      </c>
      <c r="R442" s="605"/>
    </row>
    <row r="443">
      <c r="B443" s="584"/>
      <c r="C443" s="616"/>
      <c r="D443" s="616"/>
      <c r="E443" s="587"/>
      <c r="F443" s="587"/>
      <c r="G443" s="587"/>
      <c r="H443" s="587"/>
      <c r="I443" s="587"/>
      <c r="J443" s="587"/>
      <c r="K443" s="619"/>
      <c r="L443" s="587"/>
      <c r="M443" s="603"/>
      <c r="N443" s="618"/>
      <c r="O443" s="591"/>
      <c r="P443" s="590">
        <v>-110.0</v>
      </c>
      <c r="Q443" s="592">
        <f t="shared" si="73"/>
        <v>1110.28</v>
      </c>
      <c r="R443" s="593" t="s">
        <v>267</v>
      </c>
    </row>
    <row r="444">
      <c r="B444" s="584"/>
      <c r="C444" s="616"/>
      <c r="D444" s="616"/>
      <c r="E444" s="587"/>
      <c r="F444" s="587"/>
      <c r="G444" s="587"/>
      <c r="H444" s="587"/>
      <c r="I444" s="587"/>
      <c r="J444" s="587"/>
      <c r="K444" s="619"/>
      <c r="L444" s="587"/>
      <c r="M444" s="603"/>
      <c r="N444" s="618"/>
      <c r="O444" s="591"/>
      <c r="P444" s="604">
        <v>-500.0</v>
      </c>
      <c r="Q444" s="592">
        <f t="shared" si="73"/>
        <v>610.28</v>
      </c>
      <c r="R444" s="605" t="s">
        <v>360</v>
      </c>
    </row>
    <row r="445">
      <c r="B445" s="584"/>
      <c r="C445" s="616"/>
      <c r="D445" s="616"/>
      <c r="E445" s="587"/>
      <c r="F445" s="587"/>
      <c r="G445" s="587"/>
      <c r="H445" s="587"/>
      <c r="I445" s="587"/>
      <c r="J445" s="587"/>
      <c r="K445" s="619"/>
      <c r="L445" s="587"/>
      <c r="M445" s="603"/>
      <c r="N445" s="618"/>
      <c r="O445" s="591"/>
      <c r="P445" s="604">
        <v>-1650.28</v>
      </c>
      <c r="Q445" s="592">
        <f t="shared" si="73"/>
        <v>-1040</v>
      </c>
      <c r="R445" s="605"/>
    </row>
    <row r="446">
      <c r="B446" s="620" t="s">
        <v>154</v>
      </c>
      <c r="C446" s="621" t="s">
        <v>66</v>
      </c>
      <c r="D446" s="622">
        <f t="shared" ref="D446:P446" si="74">sum(D426:D445)</f>
        <v>19</v>
      </c>
      <c r="E446" s="623">
        <f t="shared" si="74"/>
        <v>43600</v>
      </c>
      <c r="F446" s="623">
        <f t="shared" si="74"/>
        <v>2850</v>
      </c>
      <c r="G446" s="623">
        <f t="shared" si="74"/>
        <v>0</v>
      </c>
      <c r="H446" s="623">
        <f t="shared" si="74"/>
        <v>0</v>
      </c>
      <c r="I446" s="623">
        <f t="shared" si="74"/>
        <v>0</v>
      </c>
      <c r="J446" s="623">
        <f t="shared" si="74"/>
        <v>14000</v>
      </c>
      <c r="K446" s="623">
        <f t="shared" si="74"/>
        <v>0</v>
      </c>
      <c r="L446" s="623">
        <f t="shared" si="74"/>
        <v>0</v>
      </c>
      <c r="M446" s="623">
        <f t="shared" si="74"/>
        <v>21700</v>
      </c>
      <c r="N446" s="623">
        <f t="shared" si="74"/>
        <v>8250</v>
      </c>
      <c r="O446" s="623">
        <f t="shared" si="74"/>
        <v>-9100</v>
      </c>
      <c r="P446" s="623">
        <f t="shared" si="74"/>
        <v>239.72</v>
      </c>
      <c r="Q446" s="751">
        <v>0.0</v>
      </c>
      <c r="R446" s="626"/>
    </row>
    <row r="447">
      <c r="B447" s="627" t="s">
        <v>172</v>
      </c>
      <c r="C447" s="585">
        <v>46024.0</v>
      </c>
      <c r="D447" s="566">
        <v>1.0</v>
      </c>
      <c r="E447" s="586">
        <v>2000.0</v>
      </c>
      <c r="F447" s="595">
        <v>450.0</v>
      </c>
      <c r="G447" s="587"/>
      <c r="H447" s="587"/>
      <c r="I447" s="587"/>
      <c r="J447" s="586">
        <v>1225.0</v>
      </c>
      <c r="K447" s="589">
        <f t="shared" ref="K447:K466" si="75">E447-J447-L447-M447-N447-I447+F447-P447</f>
        <v>0</v>
      </c>
      <c r="L447" s="587"/>
      <c r="M447" s="606"/>
      <c r="N447" s="577">
        <v>1225.0</v>
      </c>
      <c r="O447" s="590">
        <v>-700.0</v>
      </c>
      <c r="P447" s="591"/>
      <c r="Q447" s="592">
        <f t="shared" ref="Q447:Q469" si="76">Q446+N447+O447+P447</f>
        <v>525</v>
      </c>
      <c r="R447" s="593"/>
    </row>
    <row r="448">
      <c r="B448" s="627"/>
      <c r="C448" s="585">
        <v>46057.0</v>
      </c>
      <c r="D448" s="566">
        <v>2.0</v>
      </c>
      <c r="E448" s="586">
        <v>4000.0</v>
      </c>
      <c r="F448" s="595">
        <v>350.0</v>
      </c>
      <c r="G448" s="587"/>
      <c r="H448" s="587"/>
      <c r="I448" s="587"/>
      <c r="J448" s="586">
        <v>1500.0</v>
      </c>
      <c r="K448" s="589">
        <f t="shared" si="75"/>
        <v>0</v>
      </c>
      <c r="L448" s="587"/>
      <c r="M448" s="606">
        <v>2850.0</v>
      </c>
      <c r="N448" s="577"/>
      <c r="O448" s="590">
        <v>-700.0</v>
      </c>
      <c r="P448" s="591"/>
      <c r="Q448" s="592">
        <f t="shared" si="76"/>
        <v>-175</v>
      </c>
      <c r="R448" s="593"/>
    </row>
    <row r="449">
      <c r="B449" s="584"/>
      <c r="C449" s="585">
        <v>46122.0</v>
      </c>
      <c r="D449" s="566">
        <v>6.0</v>
      </c>
      <c r="E449" s="586">
        <f>1000+1700+1700+6000</f>
        <v>10400</v>
      </c>
      <c r="F449" s="595">
        <v>400.0</v>
      </c>
      <c r="G449" s="587"/>
      <c r="H449" s="587"/>
      <c r="I449" s="587"/>
      <c r="J449" s="586">
        <v>2000.0</v>
      </c>
      <c r="K449" s="589">
        <f t="shared" si="75"/>
        <v>0</v>
      </c>
      <c r="L449" s="587"/>
      <c r="M449" s="606">
        <f>1700+1700+1000+4000</f>
        <v>8400</v>
      </c>
      <c r="N449" s="577"/>
      <c r="O449" s="590">
        <v>-700.0</v>
      </c>
      <c r="P449" s="604">
        <v>400.0</v>
      </c>
      <c r="Q449" s="592">
        <f t="shared" si="76"/>
        <v>-475</v>
      </c>
      <c r="R449" s="605" t="s">
        <v>362</v>
      </c>
    </row>
    <row r="450">
      <c r="B450" s="584"/>
      <c r="C450" s="585">
        <v>46306.0</v>
      </c>
      <c r="D450" s="566">
        <v>1.0</v>
      </c>
      <c r="E450" s="586">
        <v>2000.0</v>
      </c>
      <c r="F450" s="595">
        <v>200.0</v>
      </c>
      <c r="G450" s="587"/>
      <c r="H450" s="595" t="s">
        <v>215</v>
      </c>
      <c r="I450" s="587"/>
      <c r="J450" s="586">
        <v>1000.0</v>
      </c>
      <c r="K450" s="589">
        <f t="shared" si="75"/>
        <v>0</v>
      </c>
      <c r="L450" s="587"/>
      <c r="M450" s="606">
        <v>1200.0</v>
      </c>
      <c r="N450" s="635"/>
      <c r="O450" s="590">
        <v>-700.0</v>
      </c>
      <c r="P450" s="604"/>
      <c r="Q450" s="592">
        <f t="shared" si="76"/>
        <v>-1175</v>
      </c>
      <c r="R450" s="605"/>
    </row>
    <row r="451">
      <c r="B451" s="584"/>
      <c r="C451" s="585">
        <v>46338.0</v>
      </c>
      <c r="D451" s="566">
        <v>1.0</v>
      </c>
      <c r="E451" s="586">
        <v>2800.0</v>
      </c>
      <c r="F451" s="595">
        <v>200.0</v>
      </c>
      <c r="G451" s="587"/>
      <c r="H451" s="595" t="s">
        <v>125</v>
      </c>
      <c r="I451" s="587"/>
      <c r="J451" s="586">
        <v>1000.0</v>
      </c>
      <c r="K451" s="589">
        <f t="shared" si="75"/>
        <v>0</v>
      </c>
      <c r="L451" s="595"/>
      <c r="M451" s="606"/>
      <c r="N451" s="577">
        <v>2000.0</v>
      </c>
      <c r="O451" s="590">
        <v>-700.0</v>
      </c>
      <c r="P451" s="604"/>
      <c r="Q451" s="592">
        <f t="shared" si="76"/>
        <v>125</v>
      </c>
      <c r="R451" s="605"/>
    </row>
    <row r="452">
      <c r="B452" s="597"/>
      <c r="C452" s="598">
        <v>46369.0</v>
      </c>
      <c r="D452" s="599"/>
      <c r="E452" s="600"/>
      <c r="F452" s="608"/>
      <c r="G452" s="600"/>
      <c r="H452" s="629"/>
      <c r="I452" s="600"/>
      <c r="J452" s="600"/>
      <c r="K452" s="601">
        <f t="shared" si="75"/>
        <v>0</v>
      </c>
      <c r="L452" s="600"/>
      <c r="M452" s="602"/>
      <c r="N452" s="602"/>
      <c r="O452" s="600"/>
      <c r="P452" s="608"/>
      <c r="Q452" s="449">
        <f t="shared" si="76"/>
        <v>125</v>
      </c>
      <c r="R452" s="609"/>
    </row>
    <row r="453">
      <c r="B453" s="584"/>
      <c r="C453" s="566" t="s">
        <v>46</v>
      </c>
      <c r="D453" s="566">
        <v>1.0</v>
      </c>
      <c r="E453" s="586">
        <v>2000.0</v>
      </c>
      <c r="F453" s="595">
        <v>350.0</v>
      </c>
      <c r="G453" s="587"/>
      <c r="H453" s="643"/>
      <c r="I453" s="587"/>
      <c r="J453" s="586">
        <v>1000.0</v>
      </c>
      <c r="K453" s="589">
        <f t="shared" si="75"/>
        <v>0</v>
      </c>
      <c r="L453" s="595"/>
      <c r="M453" s="606"/>
      <c r="N453" s="577">
        <v>1000.0</v>
      </c>
      <c r="O453" s="590">
        <v>-700.0</v>
      </c>
      <c r="P453" s="604">
        <v>350.0</v>
      </c>
      <c r="Q453" s="592">
        <f t="shared" si="76"/>
        <v>775</v>
      </c>
      <c r="R453" s="605" t="s">
        <v>366</v>
      </c>
    </row>
    <row r="454">
      <c r="B454" s="584"/>
      <c r="C454" s="566" t="s">
        <v>29</v>
      </c>
      <c r="D454" s="566">
        <v>1.0</v>
      </c>
      <c r="E454" s="586">
        <f>2750-500</f>
        <v>2250</v>
      </c>
      <c r="F454" s="595">
        <v>450.0</v>
      </c>
      <c r="G454" s="587"/>
      <c r="H454" s="595"/>
      <c r="I454" s="595"/>
      <c r="J454" s="586">
        <v>1225.0</v>
      </c>
      <c r="K454" s="589">
        <f t="shared" si="75"/>
        <v>0</v>
      </c>
      <c r="L454" s="587"/>
      <c r="M454" s="606"/>
      <c r="N454" s="577">
        <v>1975.0</v>
      </c>
      <c r="O454" s="590">
        <v>-700.0</v>
      </c>
      <c r="P454" s="604">
        <v>-500.0</v>
      </c>
      <c r="Q454" s="592">
        <f t="shared" si="76"/>
        <v>1550</v>
      </c>
      <c r="R454" s="605" t="s">
        <v>85</v>
      </c>
    </row>
    <row r="455">
      <c r="B455" s="597"/>
      <c r="C455" s="613" t="s">
        <v>30</v>
      </c>
      <c r="D455" s="599"/>
      <c r="E455" s="600"/>
      <c r="F455" s="608"/>
      <c r="G455" s="600"/>
      <c r="H455" s="600"/>
      <c r="I455" s="600"/>
      <c r="J455" s="600"/>
      <c r="K455" s="601">
        <f t="shared" si="75"/>
        <v>0</v>
      </c>
      <c r="L455" s="600"/>
      <c r="M455" s="602"/>
      <c r="N455" s="636"/>
      <c r="O455" s="600"/>
      <c r="P455" s="608"/>
      <c r="Q455" s="449">
        <f t="shared" si="76"/>
        <v>1550</v>
      </c>
      <c r="R455" s="609"/>
    </row>
    <row r="456">
      <c r="B456" s="584"/>
      <c r="C456" s="566" t="s">
        <v>31</v>
      </c>
      <c r="D456" s="566">
        <v>1.0</v>
      </c>
      <c r="E456" s="586">
        <v>2000.0</v>
      </c>
      <c r="F456" s="595">
        <v>350.0</v>
      </c>
      <c r="G456" s="587"/>
      <c r="H456" s="595"/>
      <c r="I456" s="587"/>
      <c r="J456" s="586">
        <v>1175.0</v>
      </c>
      <c r="K456" s="589">
        <f t="shared" si="75"/>
        <v>0</v>
      </c>
      <c r="L456" s="587"/>
      <c r="M456" s="606">
        <v>1175.0</v>
      </c>
      <c r="N456" s="577"/>
      <c r="O456" s="590">
        <v>-700.0</v>
      </c>
      <c r="P456" s="591"/>
      <c r="Q456" s="592">
        <f t="shared" si="76"/>
        <v>850</v>
      </c>
      <c r="R456" s="593"/>
    </row>
    <row r="457">
      <c r="B457" s="584"/>
      <c r="C457" s="566" t="s">
        <v>56</v>
      </c>
      <c r="D457" s="566">
        <v>2.0</v>
      </c>
      <c r="E457" s="586">
        <v>4800.0</v>
      </c>
      <c r="F457" s="595">
        <v>750.0</v>
      </c>
      <c r="G457" s="587"/>
      <c r="H457" s="595"/>
      <c r="I457" s="587"/>
      <c r="J457" s="586">
        <v>1900.0</v>
      </c>
      <c r="K457" s="589">
        <f t="shared" si="75"/>
        <v>0</v>
      </c>
      <c r="L457" s="587"/>
      <c r="M457" s="606"/>
      <c r="N457" s="577">
        <v>3650.0</v>
      </c>
      <c r="O457" s="590">
        <v>-700.0</v>
      </c>
      <c r="P457" s="604"/>
      <c r="Q457" s="592">
        <f t="shared" si="76"/>
        <v>3800</v>
      </c>
      <c r="R457" s="605"/>
    </row>
    <row r="458">
      <c r="B458" s="597"/>
      <c r="C458" s="613" t="s">
        <v>144</v>
      </c>
      <c r="D458" s="599"/>
      <c r="E458" s="600"/>
      <c r="F458" s="608"/>
      <c r="G458" s="600"/>
      <c r="H458" s="600"/>
      <c r="I458" s="600"/>
      <c r="J458" s="600"/>
      <c r="K458" s="601">
        <f t="shared" si="75"/>
        <v>0</v>
      </c>
      <c r="L458" s="600"/>
      <c r="M458" s="602"/>
      <c r="N458" s="636"/>
      <c r="O458" s="600"/>
      <c r="P458" s="608"/>
      <c r="Q458" s="449">
        <f t="shared" si="76"/>
        <v>3800</v>
      </c>
      <c r="R458" s="609"/>
    </row>
    <row r="459">
      <c r="B459" s="584"/>
      <c r="C459" s="566" t="s">
        <v>70</v>
      </c>
      <c r="D459" s="566">
        <v>2.0</v>
      </c>
      <c r="E459" s="586">
        <v>3700.0</v>
      </c>
      <c r="F459" s="595"/>
      <c r="G459" s="587"/>
      <c r="H459" s="587"/>
      <c r="I459" s="587"/>
      <c r="J459" s="586">
        <v>1500.0</v>
      </c>
      <c r="K459" s="589">
        <f t="shared" si="75"/>
        <v>0</v>
      </c>
      <c r="L459" s="587"/>
      <c r="M459" s="606"/>
      <c r="N459" s="577">
        <v>2200.0</v>
      </c>
      <c r="O459" s="590">
        <v>-700.0</v>
      </c>
      <c r="P459" s="591"/>
      <c r="Q459" s="592">
        <f t="shared" si="76"/>
        <v>5300</v>
      </c>
      <c r="R459" s="593"/>
    </row>
    <row r="460">
      <c r="B460" s="584"/>
      <c r="C460" s="566" t="s">
        <v>44</v>
      </c>
      <c r="D460" s="566">
        <v>1.0</v>
      </c>
      <c r="E460" s="586">
        <v>2500.0</v>
      </c>
      <c r="F460" s="595"/>
      <c r="G460" s="587"/>
      <c r="H460" s="587"/>
      <c r="I460" s="587"/>
      <c r="J460" s="586">
        <v>1000.0</v>
      </c>
      <c r="K460" s="589">
        <f t="shared" si="75"/>
        <v>0</v>
      </c>
      <c r="L460" s="587"/>
      <c r="M460" s="606"/>
      <c r="N460" s="577">
        <v>1500.0</v>
      </c>
      <c r="O460" s="590">
        <v>-700.0</v>
      </c>
      <c r="P460" s="591"/>
      <c r="Q460" s="592">
        <f t="shared" si="76"/>
        <v>6100</v>
      </c>
      <c r="R460" s="593"/>
    </row>
    <row r="461">
      <c r="B461" s="584"/>
      <c r="C461" s="566" t="s">
        <v>45</v>
      </c>
      <c r="D461" s="566">
        <v>1.0</v>
      </c>
      <c r="E461" s="586">
        <v>2800.0</v>
      </c>
      <c r="F461" s="586"/>
      <c r="G461" s="587"/>
      <c r="H461" s="587"/>
      <c r="I461" s="587"/>
      <c r="J461" s="586">
        <v>1000.0</v>
      </c>
      <c r="K461" s="589">
        <f t="shared" si="75"/>
        <v>0</v>
      </c>
      <c r="L461" s="587"/>
      <c r="M461" s="606"/>
      <c r="N461" s="577">
        <v>1800.0</v>
      </c>
      <c r="O461" s="590">
        <v>-700.0</v>
      </c>
      <c r="P461" s="591"/>
      <c r="Q461" s="592">
        <f t="shared" si="76"/>
        <v>7200</v>
      </c>
      <c r="R461" s="593"/>
    </row>
    <row r="462">
      <c r="B462" s="597"/>
      <c r="C462" s="613" t="s">
        <v>47</v>
      </c>
      <c r="D462" s="599"/>
      <c r="E462" s="600"/>
      <c r="F462" s="608"/>
      <c r="G462" s="600"/>
      <c r="H462" s="600"/>
      <c r="I462" s="600"/>
      <c r="J462" s="600"/>
      <c r="K462" s="601">
        <f t="shared" si="75"/>
        <v>0</v>
      </c>
      <c r="L462" s="600"/>
      <c r="M462" s="602"/>
      <c r="N462" s="636"/>
      <c r="O462" s="600"/>
      <c r="P462" s="608"/>
      <c r="Q462" s="449">
        <f t="shared" si="76"/>
        <v>7200</v>
      </c>
      <c r="R462" s="609"/>
    </row>
    <row r="463">
      <c r="B463" s="584"/>
      <c r="C463" s="566" t="s">
        <v>72</v>
      </c>
      <c r="D463" s="566">
        <v>1.0</v>
      </c>
      <c r="E463" s="586">
        <v>2000.0</v>
      </c>
      <c r="F463" s="586"/>
      <c r="G463" s="595"/>
      <c r="H463" s="595"/>
      <c r="I463" s="587"/>
      <c r="J463" s="586">
        <v>1000.0</v>
      </c>
      <c r="K463" s="589">
        <f t="shared" si="75"/>
        <v>0</v>
      </c>
      <c r="L463" s="595"/>
      <c r="M463" s="606">
        <v>1000.0</v>
      </c>
      <c r="N463" s="577"/>
      <c r="O463" s="590">
        <v>-700.0</v>
      </c>
      <c r="P463" s="604"/>
      <c r="Q463" s="592">
        <f t="shared" si="76"/>
        <v>6500</v>
      </c>
      <c r="R463" s="605"/>
    </row>
    <row r="464">
      <c r="B464" s="584"/>
      <c r="C464" s="627" t="s">
        <v>88</v>
      </c>
      <c r="D464" s="627">
        <v>2.0</v>
      </c>
      <c r="E464" s="595">
        <v>3500.0</v>
      </c>
      <c r="F464" s="587"/>
      <c r="G464" s="587"/>
      <c r="H464" s="587"/>
      <c r="I464" s="587"/>
      <c r="J464" s="595">
        <v>500.0</v>
      </c>
      <c r="K464" s="589">
        <f t="shared" si="75"/>
        <v>0</v>
      </c>
      <c r="L464" s="587"/>
      <c r="M464" s="606">
        <v>3000.0</v>
      </c>
      <c r="N464" s="618"/>
      <c r="O464" s="590">
        <v>-700.0</v>
      </c>
      <c r="P464" s="590"/>
      <c r="Q464" s="592">
        <f t="shared" si="76"/>
        <v>5800</v>
      </c>
      <c r="R464" s="593"/>
    </row>
    <row r="465">
      <c r="B465" s="597"/>
      <c r="C465" s="613" t="s">
        <v>50</v>
      </c>
      <c r="D465" s="599"/>
      <c r="E465" s="600"/>
      <c r="F465" s="608"/>
      <c r="G465" s="600"/>
      <c r="H465" s="600"/>
      <c r="I465" s="600"/>
      <c r="J465" s="600"/>
      <c r="K465" s="601">
        <f t="shared" si="75"/>
        <v>0</v>
      </c>
      <c r="L465" s="600"/>
      <c r="M465" s="602"/>
      <c r="N465" s="636"/>
      <c r="O465" s="600"/>
      <c r="P465" s="608"/>
      <c r="Q465" s="449">
        <f t="shared" si="76"/>
        <v>5800</v>
      </c>
      <c r="R465" s="609"/>
    </row>
    <row r="466">
      <c r="B466" s="584"/>
      <c r="C466" s="627" t="s">
        <v>52</v>
      </c>
      <c r="D466" s="627">
        <v>1.0</v>
      </c>
      <c r="E466" s="595">
        <v>2500.0</v>
      </c>
      <c r="F466" s="587"/>
      <c r="G466" s="587"/>
      <c r="H466" s="587"/>
      <c r="I466" s="587"/>
      <c r="J466" s="595">
        <v>1000.0</v>
      </c>
      <c r="K466" s="589">
        <f t="shared" si="75"/>
        <v>0</v>
      </c>
      <c r="L466" s="587"/>
      <c r="M466" s="603"/>
      <c r="N466" s="646">
        <v>1500.0</v>
      </c>
      <c r="O466" s="590">
        <v>-700.0</v>
      </c>
      <c r="P466" s="590"/>
      <c r="Q466" s="592">
        <f t="shared" si="76"/>
        <v>6600</v>
      </c>
      <c r="R466" s="593"/>
    </row>
    <row r="467">
      <c r="B467" s="584"/>
      <c r="C467" s="616"/>
      <c r="D467" s="616"/>
      <c r="E467" s="587"/>
      <c r="F467" s="587"/>
      <c r="G467" s="587"/>
      <c r="H467" s="587"/>
      <c r="I467" s="587"/>
      <c r="J467" s="587"/>
      <c r="K467" s="589"/>
      <c r="L467" s="587"/>
      <c r="M467" s="603"/>
      <c r="N467" s="618"/>
      <c r="O467" s="591"/>
      <c r="P467" s="590">
        <v>-120.0</v>
      </c>
      <c r="Q467" s="592">
        <f t="shared" si="76"/>
        <v>6480</v>
      </c>
      <c r="R467" s="605" t="s">
        <v>114</v>
      </c>
    </row>
    <row r="468">
      <c r="B468" s="584"/>
      <c r="C468" s="616"/>
      <c r="D468" s="616"/>
      <c r="E468" s="587"/>
      <c r="F468" s="587"/>
      <c r="G468" s="587"/>
      <c r="H468" s="587"/>
      <c r="I468" s="587"/>
      <c r="J468" s="587"/>
      <c r="K468" s="589"/>
      <c r="L468" s="587"/>
      <c r="M468" s="603"/>
      <c r="N468" s="618"/>
      <c r="O468" s="591"/>
      <c r="P468" s="604">
        <v>-4143.12</v>
      </c>
      <c r="Q468" s="592">
        <f t="shared" si="76"/>
        <v>2336.88</v>
      </c>
      <c r="R468" s="605" t="s">
        <v>55</v>
      </c>
    </row>
    <row r="469">
      <c r="B469" s="584"/>
      <c r="C469" s="616"/>
      <c r="D469" s="616"/>
      <c r="E469" s="587"/>
      <c r="F469" s="587"/>
      <c r="G469" s="587"/>
      <c r="H469" s="587"/>
      <c r="I469" s="587"/>
      <c r="J469" s="587"/>
      <c r="K469" s="589">
        <f>E469-J469-L469-M469-N469-I469+F469-P469</f>
        <v>0</v>
      </c>
      <c r="L469" s="587"/>
      <c r="M469" s="603"/>
      <c r="N469" s="618"/>
      <c r="O469" s="591"/>
      <c r="P469" s="604"/>
      <c r="Q469" s="592">
        <f t="shared" si="76"/>
        <v>2336.88</v>
      </c>
      <c r="R469" s="605"/>
    </row>
    <row r="470">
      <c r="B470" s="620" t="str">
        <f>B447</f>
        <v>JUL</v>
      </c>
      <c r="C470" s="621" t="s">
        <v>66</v>
      </c>
      <c r="D470" s="622">
        <f t="shared" ref="D470:P470" si="77">sum(D447:D469)</f>
        <v>24</v>
      </c>
      <c r="E470" s="623">
        <f t="shared" si="77"/>
        <v>49250</v>
      </c>
      <c r="F470" s="623">
        <f t="shared" si="77"/>
        <v>3500</v>
      </c>
      <c r="G470" s="623">
        <f t="shared" si="77"/>
        <v>0</v>
      </c>
      <c r="H470" s="623">
        <f t="shared" si="77"/>
        <v>0</v>
      </c>
      <c r="I470" s="623">
        <f t="shared" si="77"/>
        <v>0</v>
      </c>
      <c r="J470" s="623">
        <f t="shared" si="77"/>
        <v>18025</v>
      </c>
      <c r="K470" s="623">
        <f t="shared" si="77"/>
        <v>0</v>
      </c>
      <c r="L470" s="623">
        <f t="shared" si="77"/>
        <v>0</v>
      </c>
      <c r="M470" s="623">
        <f t="shared" si="77"/>
        <v>17625</v>
      </c>
      <c r="N470" s="623">
        <f t="shared" si="77"/>
        <v>16850</v>
      </c>
      <c r="O470" s="623">
        <f t="shared" si="77"/>
        <v>-10500</v>
      </c>
      <c r="P470" s="623">
        <f t="shared" si="77"/>
        <v>-4013.12</v>
      </c>
      <c r="Q470" s="625">
        <f>Q469</f>
        <v>2336.88</v>
      </c>
      <c r="R470" s="626"/>
    </row>
    <row r="471">
      <c r="B471" s="627" t="s">
        <v>166</v>
      </c>
      <c r="C471" s="585">
        <v>46025.0</v>
      </c>
      <c r="D471" s="566">
        <v>2.0</v>
      </c>
      <c r="E471" s="586">
        <v>5000.0</v>
      </c>
      <c r="F471" s="595">
        <v>950.0</v>
      </c>
      <c r="G471" s="587"/>
      <c r="H471" s="587"/>
      <c r="I471" s="587"/>
      <c r="J471" s="586">
        <f>1500+(950/2)</f>
        <v>1975</v>
      </c>
      <c r="K471" s="589">
        <f t="shared" ref="K471:K485" si="78">E471-J471-L471-M471-N471-I471+F471-P471</f>
        <v>0</v>
      </c>
      <c r="L471" s="587"/>
      <c r="M471" s="606">
        <v>3975.0</v>
      </c>
      <c r="N471" s="577"/>
      <c r="O471" s="590">
        <v>-700.0</v>
      </c>
      <c r="P471" s="591"/>
      <c r="Q471" s="592">
        <f t="shared" ref="Q471:Q490" si="79">Q470+N471+O471+P471</f>
        <v>1636.88</v>
      </c>
      <c r="R471" s="593"/>
    </row>
    <row r="472">
      <c r="B472" s="597"/>
      <c r="C472" s="598">
        <v>46089.0</v>
      </c>
      <c r="D472" s="599"/>
      <c r="E472" s="600"/>
      <c r="F472" s="608">
        <v>400.0</v>
      </c>
      <c r="G472" s="600"/>
      <c r="H472" s="629"/>
      <c r="I472" s="600"/>
      <c r="J472" s="600"/>
      <c r="K472" s="601">
        <f t="shared" si="78"/>
        <v>0</v>
      </c>
      <c r="L472" s="600"/>
      <c r="M472" s="602"/>
      <c r="N472" s="602"/>
      <c r="O472" s="600"/>
      <c r="P472" s="608">
        <v>400.0</v>
      </c>
      <c r="Q472" s="449">
        <f t="shared" si="79"/>
        <v>2036.88</v>
      </c>
      <c r="R472" s="609" t="s">
        <v>377</v>
      </c>
      <c r="T472" s="206" t="s">
        <v>378</v>
      </c>
    </row>
    <row r="473">
      <c r="B473" s="584"/>
      <c r="C473" s="585">
        <v>46243.0</v>
      </c>
      <c r="D473" s="566">
        <v>1.0</v>
      </c>
      <c r="E473" s="586">
        <v>2800.0</v>
      </c>
      <c r="F473" s="595">
        <v>400.0</v>
      </c>
      <c r="G473" s="587"/>
      <c r="H473" s="643">
        <v>46211.0</v>
      </c>
      <c r="I473" s="587"/>
      <c r="J473" s="586">
        <v>1000.0</v>
      </c>
      <c r="K473" s="589">
        <f t="shared" si="78"/>
        <v>0</v>
      </c>
      <c r="L473" s="587"/>
      <c r="M473" s="606">
        <f>1800+400</f>
        <v>2200</v>
      </c>
      <c r="N473" s="577"/>
      <c r="O473" s="590">
        <v>-700.0</v>
      </c>
      <c r="P473" s="604"/>
      <c r="Q473" s="592">
        <f t="shared" si="79"/>
        <v>1336.88</v>
      </c>
      <c r="R473" s="605"/>
    </row>
    <row r="474">
      <c r="B474" s="584"/>
      <c r="C474" s="585">
        <v>46276.0</v>
      </c>
      <c r="D474" s="566">
        <v>2.0</v>
      </c>
      <c r="E474" s="586">
        <v>4300.0</v>
      </c>
      <c r="F474" s="595">
        <v>700.0</v>
      </c>
      <c r="G474" s="587"/>
      <c r="H474" s="587"/>
      <c r="I474" s="587"/>
      <c r="J474" s="586">
        <v>1850.0</v>
      </c>
      <c r="K474" s="589">
        <f t="shared" si="78"/>
        <v>0</v>
      </c>
      <c r="L474" s="587"/>
      <c r="M474" s="606">
        <v>3150.0</v>
      </c>
      <c r="N474" s="635"/>
      <c r="O474" s="590">
        <v>-700.0</v>
      </c>
      <c r="P474" s="604"/>
      <c r="Q474" s="592">
        <f t="shared" si="79"/>
        <v>636.88</v>
      </c>
      <c r="R474" s="605"/>
    </row>
    <row r="475">
      <c r="B475" s="597"/>
      <c r="C475" s="598">
        <v>46338.0</v>
      </c>
      <c r="D475" s="599"/>
      <c r="E475" s="600"/>
      <c r="F475" s="608">
        <v>400.0</v>
      </c>
      <c r="G475" s="600"/>
      <c r="H475" s="629"/>
      <c r="I475" s="600"/>
      <c r="J475" s="600"/>
      <c r="K475" s="601">
        <f t="shared" si="78"/>
        <v>0</v>
      </c>
      <c r="L475" s="600"/>
      <c r="M475" s="602"/>
      <c r="N475" s="602"/>
      <c r="O475" s="600"/>
      <c r="P475" s="608">
        <v>400.0</v>
      </c>
      <c r="Q475" s="449">
        <f t="shared" si="79"/>
        <v>1036.88</v>
      </c>
      <c r="R475" s="609" t="s">
        <v>379</v>
      </c>
    </row>
    <row r="476">
      <c r="B476" s="584"/>
      <c r="C476" s="585">
        <v>46370.0</v>
      </c>
      <c r="D476" s="566">
        <v>2.0</v>
      </c>
      <c r="E476" s="586">
        <v>4100.0</v>
      </c>
      <c r="F476" s="595">
        <v>400.0</v>
      </c>
      <c r="G476" s="587"/>
      <c r="H476" s="595"/>
      <c r="I476" s="587"/>
      <c r="J476" s="586">
        <v>1500.0</v>
      </c>
      <c r="K476" s="589">
        <f t="shared" si="78"/>
        <v>0</v>
      </c>
      <c r="L476" s="595"/>
      <c r="M476" s="606">
        <v>2600.0</v>
      </c>
      <c r="N476" s="577"/>
      <c r="O476" s="590">
        <v>-700.0</v>
      </c>
      <c r="P476" s="604">
        <v>400.0</v>
      </c>
      <c r="Q476" s="592">
        <f t="shared" si="79"/>
        <v>736.88</v>
      </c>
      <c r="R476" s="605" t="s">
        <v>380</v>
      </c>
    </row>
    <row r="477">
      <c r="B477" s="597"/>
      <c r="C477" s="613" t="s">
        <v>29</v>
      </c>
      <c r="D477" s="609">
        <v>1.0</v>
      </c>
      <c r="E477" s="608">
        <v>1000.0</v>
      </c>
      <c r="F477" s="608"/>
      <c r="G477" s="600"/>
      <c r="H477" s="609" t="s">
        <v>381</v>
      </c>
      <c r="I477" s="600"/>
      <c r="J477" s="608">
        <v>1000.0</v>
      </c>
      <c r="K477" s="601">
        <f t="shared" si="78"/>
        <v>0</v>
      </c>
      <c r="L477" s="600"/>
      <c r="M477" s="602"/>
      <c r="N477" s="602"/>
      <c r="O477" s="600"/>
      <c r="P477" s="608"/>
      <c r="Q477" s="449">
        <f t="shared" si="79"/>
        <v>736.88</v>
      </c>
      <c r="R477" s="609"/>
    </row>
    <row r="478">
      <c r="B478" s="584"/>
      <c r="C478" s="566" t="s">
        <v>30</v>
      </c>
      <c r="D478" s="566">
        <v>1.0</v>
      </c>
      <c r="E478" s="586">
        <v>2800.0</v>
      </c>
      <c r="F478" s="595"/>
      <c r="G478" s="587"/>
      <c r="H478" s="643"/>
      <c r="I478" s="587"/>
      <c r="J478" s="586">
        <v>1000.0</v>
      </c>
      <c r="K478" s="589">
        <f t="shared" si="78"/>
        <v>0</v>
      </c>
      <c r="L478" s="595"/>
      <c r="M478" s="606"/>
      <c r="N478" s="577">
        <v>1800.0</v>
      </c>
      <c r="O478" s="590">
        <v>-700.0</v>
      </c>
      <c r="P478" s="604"/>
      <c r="Q478" s="592">
        <f t="shared" si="79"/>
        <v>1836.88</v>
      </c>
      <c r="R478" s="605"/>
    </row>
    <row r="479">
      <c r="B479" s="584"/>
      <c r="C479" s="566" t="s">
        <v>31</v>
      </c>
      <c r="D479" s="566">
        <v>1.0</v>
      </c>
      <c r="E479" s="586">
        <v>2500.0</v>
      </c>
      <c r="F479" s="595"/>
      <c r="G479" s="587"/>
      <c r="H479" s="643"/>
      <c r="I479" s="587"/>
      <c r="J479" s="586">
        <v>1000.0</v>
      </c>
      <c r="K479" s="589">
        <f t="shared" si="78"/>
        <v>0</v>
      </c>
      <c r="L479" s="595"/>
      <c r="M479" s="606"/>
      <c r="N479" s="577">
        <v>1500.0</v>
      </c>
      <c r="O479" s="590">
        <v>-700.0</v>
      </c>
      <c r="P479" s="604"/>
      <c r="Q479" s="592">
        <f t="shared" si="79"/>
        <v>2636.88</v>
      </c>
      <c r="R479" s="605"/>
    </row>
    <row r="480">
      <c r="B480" s="584"/>
      <c r="C480" s="566" t="s">
        <v>126</v>
      </c>
      <c r="D480" s="566">
        <v>5.0</v>
      </c>
      <c r="E480" s="586">
        <v>12000.0</v>
      </c>
      <c r="F480" s="595"/>
      <c r="G480" s="587"/>
      <c r="H480" s="595"/>
      <c r="I480" s="587"/>
      <c r="J480" s="586">
        <v>4000.0</v>
      </c>
      <c r="K480" s="589">
        <f t="shared" si="78"/>
        <v>0</v>
      </c>
      <c r="L480" s="587"/>
      <c r="M480" s="606"/>
      <c r="N480" s="577">
        <v>8000.0</v>
      </c>
      <c r="O480" s="590">
        <v>-700.0</v>
      </c>
      <c r="P480" s="604"/>
      <c r="Q480" s="592">
        <f t="shared" si="79"/>
        <v>9936.88</v>
      </c>
      <c r="R480" s="605"/>
    </row>
    <row r="481">
      <c r="B481" s="584"/>
      <c r="C481" s="566" t="s">
        <v>37</v>
      </c>
      <c r="D481" s="566">
        <v>1.0</v>
      </c>
      <c r="E481" s="586">
        <v>2800.0</v>
      </c>
      <c r="F481" s="595">
        <v>400.0</v>
      </c>
      <c r="G481" s="587"/>
      <c r="H481" s="595"/>
      <c r="I481" s="587"/>
      <c r="J481" s="586">
        <v>1000.0</v>
      </c>
      <c r="K481" s="589">
        <f t="shared" si="78"/>
        <v>0</v>
      </c>
      <c r="L481" s="587"/>
      <c r="M481" s="606"/>
      <c r="N481" s="577">
        <v>1800.0</v>
      </c>
      <c r="O481" s="590">
        <v>-700.0</v>
      </c>
      <c r="P481" s="604">
        <v>400.0</v>
      </c>
      <c r="Q481" s="592">
        <f t="shared" si="79"/>
        <v>11436.88</v>
      </c>
      <c r="R481" s="605" t="s">
        <v>384</v>
      </c>
    </row>
    <row r="482">
      <c r="B482" s="584"/>
      <c r="C482" s="566" t="s">
        <v>108</v>
      </c>
      <c r="D482" s="566">
        <v>2.0</v>
      </c>
      <c r="E482" s="586">
        <v>4300.0</v>
      </c>
      <c r="F482" s="595">
        <f>400+700</f>
        <v>1100</v>
      </c>
      <c r="G482" s="587"/>
      <c r="H482" s="587"/>
      <c r="I482" s="587"/>
      <c r="J482" s="586">
        <v>1850.0</v>
      </c>
      <c r="K482" s="589">
        <f t="shared" si="78"/>
        <v>0</v>
      </c>
      <c r="L482" s="587"/>
      <c r="M482" s="606">
        <v>3150.0</v>
      </c>
      <c r="N482" s="577"/>
      <c r="O482" s="590">
        <v>-700.0</v>
      </c>
      <c r="P482" s="604">
        <v>400.0</v>
      </c>
      <c r="Q482" s="592">
        <f t="shared" si="79"/>
        <v>11136.88</v>
      </c>
      <c r="R482" s="605" t="s">
        <v>386</v>
      </c>
    </row>
    <row r="483">
      <c r="B483" s="597"/>
      <c r="C483" s="613" t="s">
        <v>201</v>
      </c>
      <c r="D483" s="609"/>
      <c r="E483" s="608"/>
      <c r="F483" s="608">
        <v>400.0</v>
      </c>
      <c r="G483" s="600"/>
      <c r="H483" s="609"/>
      <c r="I483" s="600"/>
      <c r="J483" s="608"/>
      <c r="K483" s="601">
        <f t="shared" si="78"/>
        <v>0</v>
      </c>
      <c r="L483" s="600"/>
      <c r="M483" s="602"/>
      <c r="N483" s="602"/>
      <c r="O483" s="600"/>
      <c r="P483" s="608">
        <v>400.0</v>
      </c>
      <c r="Q483" s="449">
        <f t="shared" si="79"/>
        <v>11536.88</v>
      </c>
      <c r="R483" s="609" t="s">
        <v>387</v>
      </c>
    </row>
    <row r="484">
      <c r="B484" s="584"/>
      <c r="C484" s="566" t="s">
        <v>73</v>
      </c>
      <c r="D484" s="566">
        <v>1.0</v>
      </c>
      <c r="E484" s="586">
        <v>2850.0</v>
      </c>
      <c r="F484" s="595">
        <v>400.0</v>
      </c>
      <c r="G484" s="587"/>
      <c r="H484" s="587"/>
      <c r="I484" s="587"/>
      <c r="J484" s="586">
        <v>1000.0</v>
      </c>
      <c r="K484" s="589">
        <f t="shared" si="78"/>
        <v>0</v>
      </c>
      <c r="L484" s="587"/>
      <c r="M484" s="606">
        <v>1850.0</v>
      </c>
      <c r="N484" s="577"/>
      <c r="O484" s="590">
        <v>-700.0</v>
      </c>
      <c r="P484" s="604">
        <v>400.0</v>
      </c>
      <c r="Q484" s="592">
        <f t="shared" si="79"/>
        <v>11236.88</v>
      </c>
      <c r="R484" s="605" t="s">
        <v>389</v>
      </c>
    </row>
    <row r="485">
      <c r="B485" s="584"/>
      <c r="C485" s="566" t="s">
        <v>137</v>
      </c>
      <c r="D485" s="566">
        <v>2.0</v>
      </c>
      <c r="E485" s="586">
        <v>5000.0</v>
      </c>
      <c r="F485" s="586">
        <v>800.0</v>
      </c>
      <c r="G485" s="587"/>
      <c r="H485" s="587"/>
      <c r="I485" s="587"/>
      <c r="J485" s="586">
        <v>1500.0</v>
      </c>
      <c r="K485" s="589">
        <f t="shared" si="78"/>
        <v>0</v>
      </c>
      <c r="L485" s="587"/>
      <c r="M485" s="606"/>
      <c r="N485" s="577">
        <v>3500.0</v>
      </c>
      <c r="O485" s="590">
        <v>-700.0</v>
      </c>
      <c r="P485" s="604">
        <v>800.0</v>
      </c>
      <c r="Q485" s="592">
        <f t="shared" si="79"/>
        <v>14836.88</v>
      </c>
      <c r="R485" s="605" t="s">
        <v>390</v>
      </c>
    </row>
    <row r="486">
      <c r="B486" s="584"/>
      <c r="C486" s="566"/>
      <c r="D486" s="566"/>
      <c r="E486" s="586"/>
      <c r="F486" s="586"/>
      <c r="G486" s="587"/>
      <c r="H486" s="587"/>
      <c r="I486" s="587"/>
      <c r="J486" s="586"/>
      <c r="K486" s="589"/>
      <c r="L486" s="587"/>
      <c r="M486" s="603"/>
      <c r="N486" s="577"/>
      <c r="O486" s="590"/>
      <c r="P486" s="604">
        <v>-2345.21</v>
      </c>
      <c r="Q486" s="592">
        <f t="shared" si="79"/>
        <v>12491.67</v>
      </c>
      <c r="R486" s="605" t="s">
        <v>55</v>
      </c>
    </row>
    <row r="487">
      <c r="B487" s="584"/>
      <c r="C487" s="566"/>
      <c r="D487" s="566"/>
      <c r="E487" s="586"/>
      <c r="F487" s="586"/>
      <c r="G487" s="595"/>
      <c r="H487" s="595"/>
      <c r="I487" s="587"/>
      <c r="J487" s="586"/>
      <c r="K487" s="589"/>
      <c r="L487" s="595"/>
      <c r="M487" s="606"/>
      <c r="N487" s="577"/>
      <c r="O487" s="590"/>
      <c r="P487" s="604">
        <v>-500.0</v>
      </c>
      <c r="Q487" s="592">
        <f t="shared" si="79"/>
        <v>11991.67</v>
      </c>
      <c r="R487" s="605" t="s">
        <v>391</v>
      </c>
    </row>
    <row r="488">
      <c r="B488" s="584"/>
      <c r="C488" s="616"/>
      <c r="D488" s="616"/>
      <c r="E488" s="587"/>
      <c r="F488" s="587"/>
      <c r="G488" s="587"/>
      <c r="H488" s="587"/>
      <c r="I488" s="587"/>
      <c r="J488" s="587"/>
      <c r="K488" s="619"/>
      <c r="L488" s="587"/>
      <c r="M488" s="603"/>
      <c r="N488" s="618"/>
      <c r="O488" s="591"/>
      <c r="P488" s="590"/>
      <c r="Q488" s="592">
        <f t="shared" si="79"/>
        <v>11991.67</v>
      </c>
      <c r="R488" s="593"/>
    </row>
    <row r="489">
      <c r="B489" s="584"/>
      <c r="C489" s="616"/>
      <c r="D489" s="616"/>
      <c r="E489" s="587"/>
      <c r="F489" s="587"/>
      <c r="G489" s="587"/>
      <c r="H489" s="587"/>
      <c r="I489" s="587"/>
      <c r="J489" s="587"/>
      <c r="K489" s="619"/>
      <c r="L489" s="587"/>
      <c r="M489" s="603"/>
      <c r="N489" s="618"/>
      <c r="O489" s="591"/>
      <c r="P489" s="604"/>
      <c r="Q489" s="592">
        <f t="shared" si="79"/>
        <v>11991.67</v>
      </c>
      <c r="R489" s="605"/>
    </row>
    <row r="490">
      <c r="B490" s="584"/>
      <c r="C490" s="616"/>
      <c r="D490" s="616"/>
      <c r="E490" s="587"/>
      <c r="F490" s="587"/>
      <c r="G490" s="587"/>
      <c r="H490" s="587"/>
      <c r="I490" s="587"/>
      <c r="J490" s="587"/>
      <c r="K490" s="619"/>
      <c r="L490" s="587"/>
      <c r="M490" s="603"/>
      <c r="N490" s="618"/>
      <c r="O490" s="591"/>
      <c r="P490" s="604"/>
      <c r="Q490" s="592">
        <f t="shared" si="79"/>
        <v>11991.67</v>
      </c>
      <c r="R490" s="605"/>
    </row>
    <row r="491">
      <c r="B491" s="620" t="str">
        <f>B471</f>
        <v>AUG</v>
      </c>
      <c r="C491" s="621" t="s">
        <v>66</v>
      </c>
      <c r="D491" s="622">
        <f t="shared" ref="D491:P491" si="80">sum(D471:D490)</f>
        <v>21</v>
      </c>
      <c r="E491" s="623">
        <f t="shared" si="80"/>
        <v>49450</v>
      </c>
      <c r="F491" s="623">
        <f t="shared" si="80"/>
        <v>6350</v>
      </c>
      <c r="G491" s="623">
        <f t="shared" si="80"/>
        <v>0</v>
      </c>
      <c r="H491" s="623">
        <f t="shared" si="80"/>
        <v>46211</v>
      </c>
      <c r="I491" s="623">
        <f t="shared" si="80"/>
        <v>0</v>
      </c>
      <c r="J491" s="623">
        <f t="shared" si="80"/>
        <v>18675</v>
      </c>
      <c r="K491" s="623">
        <f t="shared" si="80"/>
        <v>0</v>
      </c>
      <c r="L491" s="623">
        <f t="shared" si="80"/>
        <v>0</v>
      </c>
      <c r="M491" s="623">
        <f t="shared" si="80"/>
        <v>16925</v>
      </c>
      <c r="N491" s="623">
        <f t="shared" si="80"/>
        <v>16600</v>
      </c>
      <c r="O491" s="623">
        <f t="shared" si="80"/>
        <v>-7700</v>
      </c>
      <c r="P491" s="623">
        <f t="shared" si="80"/>
        <v>754.79</v>
      </c>
      <c r="Q491" s="625">
        <f>Q490</f>
        <v>11991.67</v>
      </c>
      <c r="R491" s="626"/>
    </row>
    <row r="492">
      <c r="C492" s="637"/>
      <c r="D492" s="637"/>
      <c r="E492" s="119"/>
      <c r="F492" s="119"/>
      <c r="G492" s="119"/>
      <c r="H492" s="119"/>
      <c r="I492" s="119"/>
      <c r="J492" s="119"/>
      <c r="K492" s="639"/>
      <c r="L492" s="119"/>
      <c r="M492" s="119"/>
      <c r="N492" s="119"/>
      <c r="O492" s="640"/>
      <c r="P492" s="119"/>
    </row>
    <row r="493">
      <c r="C493" s="637"/>
      <c r="D493" s="637"/>
      <c r="E493" s="119"/>
      <c r="F493" s="119"/>
      <c r="G493" s="119"/>
      <c r="H493" s="119"/>
      <c r="I493" s="119"/>
      <c r="J493" s="119"/>
      <c r="K493" s="639"/>
      <c r="L493" s="119"/>
      <c r="M493" s="119"/>
      <c r="N493" s="119"/>
      <c r="O493" s="640"/>
      <c r="P493" s="119"/>
    </row>
    <row r="494">
      <c r="C494" s="637"/>
      <c r="D494" s="637"/>
      <c r="E494" s="119"/>
      <c r="F494" s="119"/>
      <c r="G494" s="119"/>
      <c r="H494" s="119"/>
      <c r="I494" s="119"/>
      <c r="J494" s="119"/>
      <c r="K494" s="639"/>
      <c r="L494" s="119"/>
      <c r="M494" s="119"/>
      <c r="N494" s="119"/>
      <c r="O494" s="640"/>
      <c r="P494" s="119"/>
    </row>
    <row r="495">
      <c r="C495" s="637"/>
      <c r="D495" s="637"/>
      <c r="E495" s="119"/>
      <c r="F495" s="119"/>
      <c r="G495" s="119"/>
      <c r="H495" s="119"/>
      <c r="I495" s="119"/>
      <c r="J495" s="119"/>
      <c r="K495" s="639"/>
      <c r="L495" s="119"/>
      <c r="M495" s="119"/>
      <c r="N495" s="119"/>
      <c r="O495" s="640"/>
      <c r="P495" s="119"/>
    </row>
    <row r="496">
      <c r="C496" s="637"/>
      <c r="D496" s="637"/>
      <c r="E496" s="119"/>
      <c r="F496" s="119"/>
      <c r="G496" s="119"/>
      <c r="H496" s="119"/>
      <c r="I496" s="119"/>
      <c r="J496" s="119"/>
      <c r="K496" s="639"/>
      <c r="L496" s="119"/>
      <c r="M496" s="119"/>
      <c r="N496" s="119"/>
      <c r="O496" s="640"/>
      <c r="P496" s="119"/>
    </row>
    <row r="497">
      <c r="C497" s="637"/>
      <c r="D497" s="637"/>
      <c r="E497" s="119"/>
      <c r="F497" s="119"/>
      <c r="G497" s="119"/>
      <c r="H497" s="119"/>
      <c r="I497" s="119"/>
      <c r="J497" s="119"/>
      <c r="K497" s="639"/>
      <c r="L497" s="119"/>
      <c r="M497" s="119"/>
      <c r="N497" s="119"/>
      <c r="O497" s="640"/>
      <c r="P497" s="119"/>
    </row>
    <row r="498">
      <c r="C498" s="637"/>
      <c r="D498" s="637"/>
      <c r="E498" s="119"/>
      <c r="F498" s="119"/>
      <c r="G498" s="119"/>
      <c r="H498" s="119"/>
      <c r="I498" s="119"/>
      <c r="J498" s="119"/>
      <c r="K498" s="639"/>
      <c r="L498" s="119"/>
      <c r="M498" s="119"/>
      <c r="N498" s="119"/>
      <c r="O498" s="640"/>
      <c r="P498" s="119"/>
    </row>
    <row r="499">
      <c r="C499" s="637"/>
      <c r="D499" s="637"/>
      <c r="E499" s="119"/>
      <c r="F499" s="119"/>
      <c r="G499" s="119"/>
      <c r="H499" s="119"/>
      <c r="I499" s="119"/>
      <c r="J499" s="119"/>
      <c r="K499" s="639"/>
      <c r="L499" s="119"/>
      <c r="M499" s="119"/>
      <c r="N499" s="119"/>
      <c r="O499" s="640"/>
      <c r="P499" s="119"/>
    </row>
    <row r="500">
      <c r="C500" s="637"/>
      <c r="D500" s="637"/>
      <c r="E500" s="119"/>
      <c r="F500" s="119"/>
      <c r="G500" s="119"/>
      <c r="H500" s="119"/>
      <c r="I500" s="119"/>
      <c r="J500" s="119"/>
      <c r="K500" s="639"/>
      <c r="L500" s="119"/>
      <c r="M500" s="119"/>
      <c r="N500" s="119"/>
      <c r="O500" s="640"/>
      <c r="P500" s="119"/>
    </row>
    <row r="501">
      <c r="C501" s="637"/>
      <c r="D501" s="637"/>
      <c r="E501" s="119"/>
      <c r="F501" s="119"/>
      <c r="G501" s="119"/>
      <c r="H501" s="119"/>
      <c r="I501" s="119"/>
      <c r="J501" s="119"/>
      <c r="K501" s="639"/>
      <c r="L501" s="119"/>
      <c r="M501" s="119"/>
      <c r="N501" s="119"/>
      <c r="O501" s="640"/>
      <c r="P501" s="119"/>
    </row>
    <row r="502">
      <c r="C502" s="637"/>
      <c r="D502" s="637"/>
      <c r="E502" s="119"/>
      <c r="F502" s="119"/>
      <c r="G502" s="119"/>
      <c r="H502" s="119"/>
      <c r="I502" s="119"/>
      <c r="J502" s="119"/>
      <c r="K502" s="639"/>
      <c r="L502" s="119"/>
      <c r="M502" s="119"/>
      <c r="N502" s="119"/>
      <c r="O502" s="640"/>
      <c r="P502" s="119"/>
    </row>
    <row r="503">
      <c r="C503" s="637"/>
      <c r="D503" s="637"/>
      <c r="E503" s="119"/>
      <c r="F503" s="119"/>
      <c r="G503" s="119"/>
      <c r="H503" s="119"/>
      <c r="I503" s="119"/>
      <c r="J503" s="119"/>
      <c r="K503" s="639"/>
      <c r="L503" s="119"/>
      <c r="M503" s="119"/>
      <c r="N503" s="119"/>
      <c r="O503" s="640"/>
      <c r="P503" s="119"/>
    </row>
    <row r="504">
      <c r="C504" s="637"/>
      <c r="D504" s="637"/>
      <c r="E504" s="119"/>
      <c r="F504" s="119"/>
      <c r="G504" s="119"/>
      <c r="H504" s="119"/>
      <c r="I504" s="119"/>
      <c r="J504" s="119"/>
      <c r="K504" s="639"/>
      <c r="L504" s="119"/>
      <c r="M504" s="119"/>
      <c r="N504" s="119"/>
      <c r="O504" s="640"/>
      <c r="P504" s="119"/>
    </row>
    <row r="505">
      <c r="C505" s="637"/>
      <c r="D505" s="637"/>
      <c r="E505" s="119"/>
      <c r="F505" s="119"/>
      <c r="G505" s="119"/>
      <c r="H505" s="119"/>
      <c r="I505" s="119"/>
      <c r="J505" s="119"/>
      <c r="K505" s="639"/>
      <c r="L505" s="119"/>
      <c r="M505" s="119"/>
      <c r="N505" s="119"/>
      <c r="O505" s="640"/>
      <c r="P505" s="119"/>
    </row>
    <row r="506">
      <c r="C506" s="637"/>
      <c r="D506" s="637"/>
      <c r="E506" s="119"/>
      <c r="F506" s="119"/>
      <c r="G506" s="119"/>
      <c r="H506" s="119"/>
      <c r="I506" s="119"/>
      <c r="J506" s="119"/>
      <c r="K506" s="639"/>
      <c r="L506" s="119"/>
      <c r="M506" s="119"/>
      <c r="N506" s="119"/>
      <c r="O506" s="640"/>
      <c r="P506" s="119"/>
    </row>
    <row r="507">
      <c r="C507" s="637"/>
      <c r="D507" s="637"/>
      <c r="E507" s="119"/>
      <c r="F507" s="119"/>
      <c r="G507" s="119"/>
      <c r="H507" s="119"/>
      <c r="I507" s="119"/>
      <c r="J507" s="119"/>
      <c r="K507" s="639"/>
      <c r="L507" s="119"/>
      <c r="M507" s="119"/>
      <c r="N507" s="119"/>
      <c r="O507" s="640"/>
      <c r="P507" s="119"/>
    </row>
    <row r="508">
      <c r="C508" s="637"/>
      <c r="D508" s="637"/>
      <c r="E508" s="119"/>
      <c r="F508" s="119"/>
      <c r="G508" s="119"/>
      <c r="H508" s="119"/>
      <c r="I508" s="119"/>
      <c r="J508" s="119"/>
      <c r="K508" s="639"/>
      <c r="L508" s="119"/>
      <c r="M508" s="119"/>
      <c r="N508" s="119"/>
      <c r="O508" s="640"/>
      <c r="P508" s="119"/>
    </row>
    <row r="509">
      <c r="C509" s="637"/>
      <c r="D509" s="637"/>
      <c r="E509" s="119"/>
      <c r="F509" s="119"/>
      <c r="G509" s="119"/>
      <c r="H509" s="119"/>
      <c r="I509" s="119"/>
      <c r="J509" s="119"/>
      <c r="K509" s="639"/>
      <c r="L509" s="119"/>
      <c r="M509" s="119"/>
      <c r="N509" s="119"/>
      <c r="O509" s="640"/>
      <c r="P509" s="119"/>
    </row>
    <row r="510">
      <c r="C510" s="637"/>
      <c r="D510" s="637"/>
      <c r="E510" s="119"/>
      <c r="F510" s="119"/>
      <c r="G510" s="119"/>
      <c r="H510" s="119"/>
      <c r="I510" s="119"/>
      <c r="J510" s="119"/>
      <c r="K510" s="639"/>
      <c r="L510" s="119"/>
      <c r="M510" s="119"/>
      <c r="N510" s="119"/>
      <c r="O510" s="640"/>
      <c r="P510" s="119"/>
    </row>
    <row r="511">
      <c r="C511" s="637"/>
      <c r="D511" s="637"/>
      <c r="E511" s="119"/>
      <c r="F511" s="119"/>
      <c r="G511" s="119"/>
      <c r="H511" s="119"/>
      <c r="I511" s="119"/>
      <c r="J511" s="119"/>
      <c r="K511" s="639"/>
      <c r="L511" s="119"/>
      <c r="M511" s="119"/>
      <c r="N511" s="119"/>
      <c r="O511" s="640"/>
      <c r="P511" s="119"/>
    </row>
    <row r="512">
      <c r="C512" s="637"/>
      <c r="D512" s="637"/>
      <c r="E512" s="119"/>
      <c r="F512" s="119"/>
      <c r="G512" s="119"/>
      <c r="H512" s="119"/>
      <c r="I512" s="119"/>
      <c r="J512" s="119"/>
      <c r="K512" s="639"/>
      <c r="L512" s="119"/>
      <c r="M512" s="119"/>
      <c r="N512" s="119"/>
      <c r="O512" s="640"/>
      <c r="P512" s="119"/>
    </row>
    <row r="513">
      <c r="C513" s="637"/>
      <c r="D513" s="637"/>
      <c r="E513" s="119"/>
      <c r="F513" s="119"/>
      <c r="G513" s="119"/>
      <c r="H513" s="119"/>
      <c r="I513" s="119"/>
      <c r="J513" s="119"/>
      <c r="K513" s="639"/>
      <c r="L513" s="119"/>
      <c r="M513" s="119"/>
      <c r="N513" s="119"/>
      <c r="O513" s="640"/>
      <c r="P513" s="119"/>
    </row>
    <row r="514">
      <c r="C514" s="637"/>
      <c r="D514" s="637"/>
      <c r="E514" s="119"/>
      <c r="F514" s="119"/>
      <c r="G514" s="119"/>
      <c r="H514" s="119"/>
      <c r="I514" s="119"/>
      <c r="J514" s="119"/>
      <c r="K514" s="639"/>
      <c r="L514" s="119"/>
      <c r="M514" s="119"/>
      <c r="N514" s="119"/>
      <c r="O514" s="640"/>
      <c r="P514" s="119"/>
    </row>
    <row r="515">
      <c r="C515" s="637"/>
      <c r="D515" s="637"/>
      <c r="E515" s="119"/>
      <c r="F515" s="119"/>
      <c r="G515" s="119"/>
      <c r="H515" s="119"/>
      <c r="I515" s="119"/>
      <c r="J515" s="119"/>
      <c r="K515" s="639"/>
      <c r="L515" s="119"/>
      <c r="M515" s="119"/>
      <c r="N515" s="119"/>
      <c r="O515" s="640"/>
      <c r="P515" s="119"/>
    </row>
    <row r="516">
      <c r="C516" s="637"/>
      <c r="D516" s="637"/>
      <c r="E516" s="119"/>
      <c r="F516" s="119"/>
      <c r="G516" s="119"/>
      <c r="H516" s="119"/>
      <c r="I516" s="119"/>
      <c r="J516" s="119"/>
      <c r="K516" s="639"/>
      <c r="L516" s="119"/>
      <c r="M516" s="119"/>
      <c r="N516" s="119"/>
      <c r="O516" s="640"/>
      <c r="P516" s="119"/>
    </row>
    <row r="517">
      <c r="C517" s="637"/>
      <c r="D517" s="637"/>
      <c r="E517" s="119"/>
      <c r="F517" s="119"/>
      <c r="G517" s="119"/>
      <c r="H517" s="119"/>
      <c r="I517" s="119"/>
      <c r="J517" s="119"/>
      <c r="K517" s="639"/>
      <c r="L517" s="119"/>
      <c r="M517" s="119"/>
      <c r="N517" s="119"/>
      <c r="O517" s="640"/>
      <c r="P517" s="119"/>
    </row>
    <row r="518">
      <c r="C518" s="637"/>
      <c r="D518" s="637"/>
      <c r="E518" s="119"/>
      <c r="F518" s="119"/>
      <c r="G518" s="119"/>
      <c r="H518" s="119"/>
      <c r="I518" s="119"/>
      <c r="J518" s="119"/>
      <c r="K518" s="639"/>
      <c r="L518" s="119"/>
      <c r="M518" s="119"/>
      <c r="N518" s="119"/>
      <c r="O518" s="640"/>
      <c r="P518" s="119"/>
    </row>
    <row r="519">
      <c r="C519" s="637"/>
      <c r="D519" s="637"/>
      <c r="E519" s="119"/>
      <c r="F519" s="119"/>
      <c r="G519" s="119"/>
      <c r="H519" s="119"/>
      <c r="I519" s="119"/>
      <c r="J519" s="119"/>
      <c r="K519" s="639"/>
      <c r="L519" s="119"/>
      <c r="M519" s="119"/>
      <c r="N519" s="119"/>
      <c r="O519" s="640"/>
      <c r="P519" s="119"/>
    </row>
    <row r="520">
      <c r="C520" s="637"/>
      <c r="D520" s="637"/>
      <c r="E520" s="119"/>
      <c r="F520" s="119"/>
      <c r="G520" s="119"/>
      <c r="H520" s="119"/>
      <c r="I520" s="119"/>
      <c r="J520" s="119"/>
      <c r="K520" s="639"/>
      <c r="L520" s="119"/>
      <c r="M520" s="119"/>
      <c r="N520" s="119"/>
      <c r="O520" s="640"/>
      <c r="P520" s="119"/>
    </row>
    <row r="521">
      <c r="C521" s="637"/>
      <c r="D521" s="637"/>
      <c r="E521" s="119"/>
      <c r="F521" s="119"/>
      <c r="G521" s="119"/>
      <c r="H521" s="119"/>
      <c r="I521" s="119"/>
      <c r="J521" s="119"/>
      <c r="K521" s="639"/>
      <c r="L521" s="119"/>
      <c r="M521" s="119"/>
      <c r="N521" s="119"/>
      <c r="O521" s="640"/>
      <c r="P521" s="119"/>
    </row>
    <row r="522">
      <c r="C522" s="637"/>
      <c r="D522" s="637"/>
      <c r="E522" s="119"/>
      <c r="F522" s="119"/>
      <c r="G522" s="119"/>
      <c r="H522" s="119"/>
      <c r="I522" s="119"/>
      <c r="J522" s="119"/>
      <c r="K522" s="639"/>
      <c r="L522" s="119"/>
      <c r="M522" s="119"/>
      <c r="N522" s="119"/>
      <c r="O522" s="640"/>
      <c r="P522" s="119"/>
    </row>
    <row r="523">
      <c r="C523" s="637"/>
      <c r="D523" s="637"/>
      <c r="E523" s="119"/>
      <c r="F523" s="119"/>
      <c r="G523" s="119"/>
      <c r="H523" s="119"/>
      <c r="I523" s="119"/>
      <c r="J523" s="119"/>
      <c r="K523" s="639"/>
      <c r="L523" s="119"/>
      <c r="M523" s="119"/>
      <c r="N523" s="119"/>
      <c r="O523" s="640"/>
      <c r="P523" s="119"/>
    </row>
    <row r="524">
      <c r="C524" s="637"/>
      <c r="D524" s="637"/>
      <c r="E524" s="119"/>
      <c r="F524" s="119"/>
      <c r="G524" s="119"/>
      <c r="H524" s="119"/>
      <c r="I524" s="119"/>
      <c r="J524" s="119"/>
      <c r="K524" s="639"/>
      <c r="L524" s="119"/>
      <c r="M524" s="119"/>
      <c r="N524" s="119"/>
      <c r="O524" s="640"/>
      <c r="P524" s="119"/>
    </row>
    <row r="525">
      <c r="C525" s="637"/>
      <c r="D525" s="637"/>
      <c r="E525" s="119"/>
      <c r="F525" s="119"/>
      <c r="G525" s="119"/>
      <c r="H525" s="119"/>
      <c r="I525" s="119"/>
      <c r="J525" s="119"/>
      <c r="K525" s="639"/>
      <c r="L525" s="119"/>
      <c r="M525" s="119"/>
      <c r="N525" s="119"/>
      <c r="O525" s="640"/>
      <c r="P525" s="119"/>
    </row>
    <row r="526">
      <c r="C526" s="637"/>
      <c r="D526" s="637"/>
      <c r="E526" s="119"/>
      <c r="F526" s="119"/>
      <c r="G526" s="119"/>
      <c r="H526" s="119"/>
      <c r="I526" s="119"/>
      <c r="J526" s="119"/>
      <c r="K526" s="639"/>
      <c r="L526" s="119"/>
      <c r="M526" s="119"/>
      <c r="N526" s="119"/>
      <c r="O526" s="640"/>
      <c r="P526" s="119"/>
    </row>
    <row r="527">
      <c r="C527" s="637"/>
      <c r="D527" s="637"/>
      <c r="E527" s="119"/>
      <c r="F527" s="119"/>
      <c r="G527" s="119"/>
      <c r="H527" s="119"/>
      <c r="I527" s="119"/>
      <c r="J527" s="119"/>
      <c r="K527" s="639"/>
      <c r="L527" s="119"/>
      <c r="M527" s="119"/>
      <c r="N527" s="119"/>
      <c r="O527" s="640"/>
      <c r="P527" s="119"/>
    </row>
    <row r="528">
      <c r="C528" s="637"/>
      <c r="D528" s="637"/>
      <c r="E528" s="119"/>
      <c r="F528" s="119"/>
      <c r="G528" s="119"/>
      <c r="H528" s="119"/>
      <c r="I528" s="119"/>
      <c r="J528" s="119"/>
      <c r="K528" s="639"/>
      <c r="L528" s="119"/>
      <c r="M528" s="119"/>
      <c r="N528" s="119"/>
      <c r="O528" s="640"/>
      <c r="P528" s="119"/>
    </row>
    <row r="529">
      <c r="C529" s="637"/>
      <c r="D529" s="637"/>
      <c r="E529" s="119"/>
      <c r="F529" s="119"/>
      <c r="G529" s="119"/>
      <c r="H529" s="119"/>
      <c r="I529" s="119"/>
      <c r="J529" s="119"/>
      <c r="K529" s="639"/>
      <c r="L529" s="119"/>
      <c r="M529" s="119"/>
      <c r="N529" s="119"/>
      <c r="O529" s="640"/>
      <c r="P529" s="119"/>
    </row>
    <row r="530">
      <c r="C530" s="637"/>
      <c r="D530" s="637"/>
      <c r="E530" s="119"/>
      <c r="F530" s="119"/>
      <c r="G530" s="119"/>
      <c r="H530" s="119"/>
      <c r="I530" s="119"/>
      <c r="J530" s="119"/>
      <c r="K530" s="639"/>
      <c r="L530" s="119"/>
      <c r="M530" s="119"/>
      <c r="N530" s="119"/>
      <c r="O530" s="640"/>
      <c r="P530" s="119"/>
    </row>
    <row r="531">
      <c r="C531" s="637"/>
      <c r="D531" s="637"/>
      <c r="E531" s="119"/>
      <c r="F531" s="119"/>
      <c r="G531" s="119"/>
      <c r="H531" s="119"/>
      <c r="I531" s="119"/>
      <c r="J531" s="119"/>
      <c r="K531" s="639"/>
      <c r="L531" s="119"/>
      <c r="M531" s="119"/>
      <c r="N531" s="119"/>
      <c r="O531" s="640"/>
      <c r="P531" s="119"/>
    </row>
    <row r="532">
      <c r="C532" s="637"/>
      <c r="D532" s="637"/>
      <c r="E532" s="119"/>
      <c r="F532" s="119"/>
      <c r="G532" s="119"/>
      <c r="H532" s="119"/>
      <c r="I532" s="119"/>
      <c r="J532" s="119"/>
      <c r="K532" s="639"/>
      <c r="L532" s="119"/>
      <c r="M532" s="119"/>
      <c r="N532" s="119"/>
      <c r="O532" s="640"/>
      <c r="P532" s="119"/>
    </row>
    <row r="533">
      <c r="C533" s="637"/>
      <c r="D533" s="637"/>
      <c r="E533" s="119"/>
      <c r="F533" s="119"/>
      <c r="G533" s="119"/>
      <c r="H533" s="119"/>
      <c r="I533" s="119"/>
      <c r="J533" s="119"/>
      <c r="K533" s="639"/>
      <c r="L533" s="119"/>
      <c r="M533" s="119"/>
      <c r="N533" s="119"/>
      <c r="O533" s="640"/>
      <c r="P533" s="119"/>
    </row>
    <row r="534">
      <c r="C534" s="637"/>
      <c r="D534" s="637"/>
      <c r="E534" s="119"/>
      <c r="F534" s="119"/>
      <c r="G534" s="119"/>
      <c r="H534" s="119"/>
      <c r="I534" s="119"/>
      <c r="J534" s="119"/>
      <c r="K534" s="639"/>
      <c r="L534" s="119"/>
      <c r="M534" s="119"/>
      <c r="N534" s="119"/>
      <c r="O534" s="640"/>
      <c r="P534" s="119"/>
    </row>
    <row r="535">
      <c r="C535" s="637"/>
      <c r="D535" s="637"/>
      <c r="E535" s="119"/>
      <c r="F535" s="119"/>
      <c r="G535" s="119"/>
      <c r="H535" s="119"/>
      <c r="I535" s="119"/>
      <c r="J535" s="119"/>
      <c r="K535" s="639"/>
      <c r="L535" s="119"/>
      <c r="M535" s="119"/>
      <c r="N535" s="119"/>
      <c r="O535" s="640"/>
      <c r="P535" s="119"/>
    </row>
    <row r="536">
      <c r="C536" s="637"/>
      <c r="D536" s="637"/>
      <c r="E536" s="119"/>
      <c r="F536" s="119"/>
      <c r="G536" s="119"/>
      <c r="H536" s="119"/>
      <c r="I536" s="119"/>
      <c r="J536" s="119"/>
      <c r="K536" s="639"/>
      <c r="L536" s="119"/>
      <c r="M536" s="119"/>
      <c r="N536" s="119"/>
      <c r="O536" s="640"/>
      <c r="P536" s="119"/>
    </row>
    <row r="537">
      <c r="C537" s="637"/>
      <c r="D537" s="637"/>
      <c r="E537" s="119"/>
      <c r="F537" s="119"/>
      <c r="G537" s="119"/>
      <c r="H537" s="119"/>
      <c r="I537" s="119"/>
      <c r="J537" s="119"/>
      <c r="K537" s="639"/>
      <c r="L537" s="119"/>
      <c r="M537" s="119"/>
      <c r="N537" s="119"/>
      <c r="O537" s="640"/>
      <c r="P537" s="119"/>
    </row>
    <row r="538">
      <c r="C538" s="637"/>
      <c r="D538" s="637"/>
      <c r="E538" s="119"/>
      <c r="F538" s="119"/>
      <c r="G538" s="119"/>
      <c r="H538" s="119"/>
      <c r="I538" s="119"/>
      <c r="J538" s="119"/>
      <c r="K538" s="639"/>
      <c r="L538" s="119"/>
      <c r="M538" s="119"/>
      <c r="N538" s="119"/>
      <c r="O538" s="640"/>
      <c r="P538" s="119"/>
    </row>
    <row r="539">
      <c r="C539" s="637"/>
      <c r="D539" s="637"/>
      <c r="E539" s="119"/>
      <c r="F539" s="119"/>
      <c r="G539" s="119"/>
      <c r="H539" s="119"/>
      <c r="I539" s="119"/>
      <c r="J539" s="119"/>
      <c r="K539" s="639"/>
      <c r="L539" s="119"/>
      <c r="M539" s="119"/>
      <c r="N539" s="119"/>
      <c r="O539" s="640"/>
      <c r="P539" s="119"/>
    </row>
    <row r="540">
      <c r="C540" s="637"/>
      <c r="D540" s="637"/>
      <c r="E540" s="119"/>
      <c r="F540" s="119"/>
      <c r="G540" s="119"/>
      <c r="H540" s="119"/>
      <c r="I540" s="119"/>
      <c r="J540" s="119"/>
      <c r="K540" s="639"/>
      <c r="L540" s="119"/>
      <c r="M540" s="119"/>
      <c r="N540" s="119"/>
      <c r="O540" s="640"/>
      <c r="P540" s="119"/>
    </row>
    <row r="541">
      <c r="C541" s="637"/>
      <c r="D541" s="637"/>
      <c r="E541" s="119"/>
      <c r="F541" s="119"/>
      <c r="G541" s="119"/>
      <c r="H541" s="119"/>
      <c r="I541" s="119"/>
      <c r="J541" s="119"/>
      <c r="K541" s="639"/>
      <c r="L541" s="119"/>
      <c r="M541" s="119"/>
      <c r="N541" s="119"/>
      <c r="O541" s="640"/>
      <c r="P541" s="119"/>
    </row>
    <row r="542">
      <c r="C542" s="637"/>
      <c r="D542" s="637"/>
      <c r="E542" s="119"/>
      <c r="F542" s="119"/>
      <c r="G542" s="119"/>
      <c r="H542" s="119"/>
      <c r="I542" s="119"/>
      <c r="J542" s="119"/>
      <c r="K542" s="639"/>
      <c r="L542" s="119"/>
      <c r="M542" s="119"/>
      <c r="N542" s="119"/>
      <c r="O542" s="640"/>
      <c r="P542" s="119"/>
    </row>
    <row r="543">
      <c r="C543" s="637"/>
      <c r="D543" s="637"/>
      <c r="E543" s="119"/>
      <c r="F543" s="119"/>
      <c r="G543" s="119"/>
      <c r="H543" s="119"/>
      <c r="I543" s="119"/>
      <c r="J543" s="119"/>
      <c r="K543" s="639"/>
      <c r="L543" s="119"/>
      <c r="M543" s="119"/>
      <c r="N543" s="119"/>
      <c r="O543" s="640"/>
      <c r="P543" s="119"/>
    </row>
    <row r="544">
      <c r="C544" s="637"/>
      <c r="D544" s="637"/>
      <c r="E544" s="119"/>
      <c r="F544" s="119"/>
      <c r="G544" s="119"/>
      <c r="H544" s="119"/>
      <c r="I544" s="119"/>
      <c r="J544" s="119"/>
      <c r="K544" s="639"/>
      <c r="L544" s="119"/>
      <c r="M544" s="119"/>
      <c r="N544" s="119"/>
      <c r="O544" s="640"/>
      <c r="P544" s="119"/>
    </row>
    <row r="545">
      <c r="C545" s="637"/>
      <c r="D545" s="637"/>
      <c r="E545" s="119"/>
      <c r="F545" s="119"/>
      <c r="G545" s="119"/>
      <c r="H545" s="119"/>
      <c r="I545" s="119"/>
      <c r="J545" s="119"/>
      <c r="K545" s="639"/>
      <c r="L545" s="119"/>
      <c r="M545" s="119"/>
      <c r="N545" s="119"/>
      <c r="O545" s="640"/>
      <c r="P545" s="119"/>
    </row>
    <row r="546">
      <c r="C546" s="637"/>
      <c r="D546" s="637"/>
      <c r="E546" s="119"/>
      <c r="F546" s="119"/>
      <c r="G546" s="119"/>
      <c r="H546" s="119"/>
      <c r="I546" s="119"/>
      <c r="J546" s="119"/>
      <c r="K546" s="639"/>
      <c r="L546" s="119"/>
      <c r="M546" s="119"/>
      <c r="N546" s="119"/>
      <c r="O546" s="640"/>
      <c r="P546" s="119"/>
    </row>
    <row r="547">
      <c r="C547" s="637"/>
      <c r="D547" s="637"/>
      <c r="E547" s="119"/>
      <c r="F547" s="119"/>
      <c r="G547" s="119"/>
      <c r="H547" s="119"/>
      <c r="I547" s="119"/>
      <c r="J547" s="119"/>
      <c r="K547" s="639"/>
      <c r="L547" s="119"/>
      <c r="M547" s="119"/>
      <c r="N547" s="119"/>
      <c r="O547" s="640"/>
      <c r="P547" s="119"/>
    </row>
    <row r="548">
      <c r="C548" s="637"/>
      <c r="D548" s="637"/>
      <c r="E548" s="119"/>
      <c r="F548" s="119"/>
      <c r="G548" s="119"/>
      <c r="H548" s="119"/>
      <c r="I548" s="119"/>
      <c r="J548" s="119"/>
      <c r="K548" s="639"/>
      <c r="L548" s="119"/>
      <c r="M548" s="119"/>
      <c r="N548" s="119"/>
      <c r="O548" s="640"/>
      <c r="P548" s="119"/>
    </row>
    <row r="549">
      <c r="C549" s="637"/>
      <c r="D549" s="637"/>
      <c r="E549" s="119"/>
      <c r="F549" s="119"/>
      <c r="G549" s="119"/>
      <c r="H549" s="119"/>
      <c r="I549" s="119"/>
      <c r="J549" s="119"/>
      <c r="K549" s="639"/>
      <c r="L549" s="119"/>
      <c r="M549" s="119"/>
      <c r="N549" s="119"/>
      <c r="O549" s="640"/>
      <c r="P549" s="119"/>
    </row>
    <row r="550">
      <c r="C550" s="637"/>
      <c r="D550" s="637"/>
      <c r="E550" s="119"/>
      <c r="F550" s="119"/>
      <c r="G550" s="119"/>
      <c r="H550" s="119"/>
      <c r="I550" s="119"/>
      <c r="J550" s="119"/>
      <c r="K550" s="639"/>
      <c r="L550" s="119"/>
      <c r="M550" s="119"/>
      <c r="N550" s="119"/>
      <c r="O550" s="640"/>
      <c r="P550" s="119"/>
    </row>
    <row r="551">
      <c r="C551" s="637"/>
      <c r="D551" s="637"/>
      <c r="E551" s="119"/>
      <c r="F551" s="119"/>
      <c r="G551" s="119"/>
      <c r="H551" s="119"/>
      <c r="I551" s="119"/>
      <c r="J551" s="119"/>
      <c r="K551" s="639"/>
      <c r="L551" s="119"/>
      <c r="M551" s="119"/>
      <c r="N551" s="119"/>
      <c r="O551" s="640"/>
      <c r="P551" s="119"/>
    </row>
    <row r="552">
      <c r="C552" s="637"/>
      <c r="D552" s="637"/>
      <c r="E552" s="119"/>
      <c r="F552" s="119"/>
      <c r="G552" s="119"/>
      <c r="H552" s="119"/>
      <c r="I552" s="119"/>
      <c r="J552" s="119"/>
      <c r="K552" s="639"/>
      <c r="L552" s="119"/>
      <c r="M552" s="119"/>
      <c r="N552" s="119"/>
      <c r="O552" s="640"/>
      <c r="P552" s="119"/>
    </row>
    <row r="553">
      <c r="C553" s="637"/>
      <c r="D553" s="637"/>
      <c r="E553" s="119"/>
      <c r="F553" s="119"/>
      <c r="G553" s="119"/>
      <c r="H553" s="119"/>
      <c r="I553" s="119"/>
      <c r="J553" s="119"/>
      <c r="K553" s="639"/>
      <c r="L553" s="119"/>
      <c r="M553" s="119"/>
      <c r="N553" s="119"/>
      <c r="O553" s="640"/>
      <c r="P553" s="119"/>
    </row>
    <row r="554">
      <c r="C554" s="637"/>
      <c r="D554" s="637"/>
      <c r="E554" s="119"/>
      <c r="F554" s="119"/>
      <c r="G554" s="119"/>
      <c r="H554" s="119"/>
      <c r="I554" s="119"/>
      <c r="J554" s="119"/>
      <c r="K554" s="639"/>
      <c r="L554" s="119"/>
      <c r="M554" s="119"/>
      <c r="N554" s="119"/>
      <c r="O554" s="640"/>
      <c r="P554" s="119"/>
    </row>
    <row r="555">
      <c r="C555" s="637"/>
      <c r="D555" s="637"/>
      <c r="E555" s="119"/>
      <c r="F555" s="119"/>
      <c r="G555" s="119"/>
      <c r="H555" s="119"/>
      <c r="I555" s="119"/>
      <c r="J555" s="119"/>
      <c r="K555" s="639"/>
      <c r="L555" s="119"/>
      <c r="M555" s="119"/>
      <c r="N555" s="119"/>
      <c r="O555" s="640"/>
      <c r="P555" s="119"/>
    </row>
    <row r="556">
      <c r="C556" s="637"/>
      <c r="D556" s="637"/>
      <c r="E556" s="119"/>
      <c r="F556" s="119"/>
      <c r="G556" s="119"/>
      <c r="H556" s="119"/>
      <c r="I556" s="119"/>
      <c r="J556" s="119"/>
      <c r="K556" s="639"/>
      <c r="L556" s="119"/>
      <c r="M556" s="119"/>
      <c r="N556" s="119"/>
      <c r="O556" s="640"/>
      <c r="P556" s="119"/>
    </row>
    <row r="557">
      <c r="C557" s="637"/>
      <c r="D557" s="637"/>
      <c r="E557" s="119"/>
      <c r="F557" s="119"/>
      <c r="G557" s="119"/>
      <c r="H557" s="119"/>
      <c r="I557" s="119"/>
      <c r="J557" s="119"/>
      <c r="K557" s="639"/>
      <c r="L557" s="119"/>
      <c r="M557" s="119"/>
      <c r="N557" s="119"/>
      <c r="O557" s="640"/>
      <c r="P557" s="119"/>
    </row>
    <row r="558">
      <c r="C558" s="637"/>
      <c r="D558" s="637"/>
      <c r="E558" s="119"/>
      <c r="F558" s="119"/>
      <c r="G558" s="119"/>
      <c r="H558" s="119"/>
      <c r="I558" s="119"/>
      <c r="J558" s="119"/>
      <c r="K558" s="639"/>
      <c r="L558" s="119"/>
      <c r="M558" s="119"/>
      <c r="N558" s="119"/>
      <c r="O558" s="640"/>
      <c r="P558" s="119"/>
    </row>
    <row r="559">
      <c r="C559" s="637"/>
      <c r="D559" s="637"/>
      <c r="E559" s="119"/>
      <c r="F559" s="119"/>
      <c r="G559" s="119"/>
      <c r="H559" s="119"/>
      <c r="I559" s="119"/>
      <c r="J559" s="119"/>
      <c r="K559" s="639"/>
      <c r="L559" s="119"/>
      <c r="M559" s="119"/>
      <c r="N559" s="119"/>
      <c r="O559" s="640"/>
      <c r="P559" s="119"/>
    </row>
    <row r="560">
      <c r="C560" s="637"/>
      <c r="D560" s="637"/>
      <c r="E560" s="119"/>
      <c r="F560" s="119"/>
      <c r="G560" s="119"/>
      <c r="H560" s="119"/>
      <c r="I560" s="119"/>
      <c r="J560" s="119"/>
      <c r="K560" s="639"/>
      <c r="L560" s="119"/>
      <c r="M560" s="119"/>
      <c r="N560" s="119"/>
      <c r="O560" s="640"/>
      <c r="P560" s="119"/>
    </row>
    <row r="561">
      <c r="C561" s="637"/>
      <c r="D561" s="637"/>
      <c r="E561" s="119"/>
      <c r="F561" s="119"/>
      <c r="G561" s="119"/>
      <c r="H561" s="119"/>
      <c r="I561" s="119"/>
      <c r="J561" s="119"/>
      <c r="K561" s="639"/>
      <c r="L561" s="119"/>
      <c r="M561" s="119"/>
      <c r="N561" s="119"/>
      <c r="O561" s="640"/>
      <c r="P561" s="119"/>
    </row>
    <row r="562">
      <c r="C562" s="637"/>
      <c r="D562" s="637"/>
      <c r="E562" s="119"/>
      <c r="F562" s="119"/>
      <c r="G562" s="119"/>
      <c r="H562" s="119"/>
      <c r="I562" s="119"/>
      <c r="J562" s="119"/>
      <c r="K562" s="639"/>
      <c r="L562" s="119"/>
      <c r="M562" s="119"/>
      <c r="N562" s="119"/>
      <c r="O562" s="640"/>
      <c r="P562" s="119"/>
    </row>
    <row r="563">
      <c r="C563" s="637"/>
      <c r="D563" s="637"/>
      <c r="E563" s="119"/>
      <c r="F563" s="119"/>
      <c r="G563" s="119"/>
      <c r="H563" s="119"/>
      <c r="I563" s="119"/>
      <c r="J563" s="119"/>
      <c r="K563" s="639"/>
      <c r="L563" s="119"/>
      <c r="M563" s="119"/>
      <c r="N563" s="119"/>
      <c r="O563" s="640"/>
      <c r="P563" s="119"/>
    </row>
    <row r="564">
      <c r="C564" s="637"/>
      <c r="D564" s="637"/>
      <c r="E564" s="119"/>
      <c r="F564" s="119"/>
      <c r="G564" s="119"/>
      <c r="H564" s="119"/>
      <c r="I564" s="119"/>
      <c r="J564" s="119"/>
      <c r="K564" s="639"/>
      <c r="L564" s="119"/>
      <c r="M564" s="119"/>
      <c r="N564" s="119"/>
      <c r="O564" s="640"/>
      <c r="P564" s="119"/>
    </row>
    <row r="565">
      <c r="C565" s="637"/>
      <c r="D565" s="637"/>
      <c r="E565" s="119"/>
      <c r="F565" s="119"/>
      <c r="G565" s="119"/>
      <c r="H565" s="119"/>
      <c r="I565" s="119"/>
      <c r="J565" s="119"/>
      <c r="K565" s="639"/>
      <c r="L565" s="119"/>
      <c r="M565" s="119"/>
      <c r="N565" s="119"/>
      <c r="O565" s="640"/>
      <c r="P565" s="119"/>
    </row>
    <row r="566">
      <c r="C566" s="637"/>
      <c r="D566" s="637"/>
      <c r="E566" s="119"/>
      <c r="F566" s="119"/>
      <c r="G566" s="119"/>
      <c r="H566" s="119"/>
      <c r="I566" s="119"/>
      <c r="J566" s="119"/>
      <c r="K566" s="639"/>
      <c r="L566" s="119"/>
      <c r="M566" s="119"/>
      <c r="N566" s="119"/>
      <c r="O566" s="640"/>
      <c r="P566" s="119"/>
    </row>
    <row r="567">
      <c r="C567" s="637"/>
      <c r="D567" s="637"/>
      <c r="E567" s="119"/>
      <c r="F567" s="119"/>
      <c r="G567" s="119"/>
      <c r="H567" s="119"/>
      <c r="I567" s="119"/>
      <c r="J567" s="119"/>
      <c r="K567" s="639"/>
      <c r="L567" s="119"/>
      <c r="M567" s="119"/>
      <c r="N567" s="119"/>
      <c r="O567" s="640"/>
      <c r="P567" s="119"/>
    </row>
    <row r="568">
      <c r="C568" s="637"/>
      <c r="D568" s="637"/>
      <c r="E568" s="119"/>
      <c r="F568" s="119"/>
      <c r="G568" s="119"/>
      <c r="H568" s="119"/>
      <c r="I568" s="119"/>
      <c r="J568" s="119"/>
      <c r="K568" s="639"/>
      <c r="L568" s="119"/>
      <c r="M568" s="119"/>
      <c r="N568" s="119"/>
      <c r="O568" s="640"/>
      <c r="P568" s="119"/>
    </row>
    <row r="569">
      <c r="C569" s="637"/>
      <c r="D569" s="637"/>
      <c r="E569" s="119"/>
      <c r="F569" s="119"/>
      <c r="G569" s="119"/>
      <c r="H569" s="119"/>
      <c r="I569" s="119"/>
      <c r="J569" s="119"/>
      <c r="K569" s="639"/>
      <c r="L569" s="119"/>
      <c r="M569" s="119"/>
      <c r="N569" s="119"/>
      <c r="O569" s="640"/>
      <c r="P569" s="119"/>
    </row>
    <row r="570">
      <c r="C570" s="637"/>
      <c r="D570" s="637"/>
      <c r="E570" s="119"/>
      <c r="F570" s="119"/>
      <c r="G570" s="119"/>
      <c r="H570" s="119"/>
      <c r="I570" s="119"/>
      <c r="J570" s="119"/>
      <c r="K570" s="639"/>
      <c r="L570" s="119"/>
      <c r="M570" s="119"/>
      <c r="N570" s="119"/>
      <c r="O570" s="640"/>
      <c r="P570" s="119"/>
    </row>
    <row r="571">
      <c r="C571" s="637"/>
      <c r="D571" s="637"/>
      <c r="E571" s="119"/>
      <c r="F571" s="119"/>
      <c r="G571" s="119"/>
      <c r="H571" s="119"/>
      <c r="I571" s="119"/>
      <c r="J571" s="119"/>
      <c r="K571" s="639"/>
      <c r="L571" s="119"/>
      <c r="M571" s="119"/>
      <c r="N571" s="119"/>
      <c r="O571" s="640"/>
      <c r="P571" s="119"/>
    </row>
    <row r="572">
      <c r="C572" s="637"/>
      <c r="D572" s="637"/>
      <c r="E572" s="119"/>
      <c r="F572" s="119"/>
      <c r="G572" s="119"/>
      <c r="H572" s="119"/>
      <c r="I572" s="119"/>
      <c r="J572" s="119"/>
      <c r="K572" s="639"/>
      <c r="L572" s="119"/>
      <c r="M572" s="119"/>
      <c r="N572" s="119"/>
      <c r="O572" s="640"/>
      <c r="P572" s="119"/>
    </row>
    <row r="573">
      <c r="C573" s="637"/>
      <c r="D573" s="637"/>
      <c r="E573" s="119"/>
      <c r="F573" s="119"/>
      <c r="G573" s="119"/>
      <c r="H573" s="119"/>
      <c r="I573" s="119"/>
      <c r="J573" s="119"/>
      <c r="K573" s="639"/>
      <c r="L573" s="119"/>
      <c r="M573" s="119"/>
      <c r="N573" s="119"/>
      <c r="O573" s="640"/>
      <c r="P573" s="119"/>
    </row>
    <row r="574">
      <c r="C574" s="637"/>
      <c r="D574" s="637"/>
      <c r="E574" s="119"/>
      <c r="F574" s="119"/>
      <c r="G574" s="119"/>
      <c r="H574" s="119"/>
      <c r="I574" s="119"/>
      <c r="J574" s="119"/>
      <c r="K574" s="639"/>
      <c r="L574" s="119"/>
      <c r="M574" s="119"/>
      <c r="N574" s="119"/>
      <c r="O574" s="640"/>
      <c r="P574" s="119"/>
    </row>
    <row r="575">
      <c r="C575" s="637"/>
      <c r="D575" s="637"/>
      <c r="E575" s="119"/>
      <c r="F575" s="119"/>
      <c r="G575" s="119"/>
      <c r="H575" s="119"/>
      <c r="I575" s="119"/>
      <c r="J575" s="119"/>
      <c r="K575" s="639"/>
      <c r="L575" s="119"/>
      <c r="M575" s="119"/>
      <c r="N575" s="119"/>
      <c r="O575" s="640"/>
      <c r="P575" s="119"/>
    </row>
    <row r="576">
      <c r="C576" s="637"/>
      <c r="D576" s="637"/>
      <c r="E576" s="119"/>
      <c r="F576" s="119"/>
      <c r="G576" s="119"/>
      <c r="H576" s="119"/>
      <c r="I576" s="119"/>
      <c r="J576" s="119"/>
      <c r="K576" s="639"/>
      <c r="L576" s="119"/>
      <c r="M576" s="119"/>
      <c r="N576" s="119"/>
      <c r="O576" s="640"/>
      <c r="P576" s="119"/>
    </row>
    <row r="577">
      <c r="C577" s="637"/>
      <c r="D577" s="637"/>
      <c r="E577" s="119"/>
      <c r="F577" s="119"/>
      <c r="G577" s="119"/>
      <c r="H577" s="119"/>
      <c r="I577" s="119"/>
      <c r="J577" s="119"/>
      <c r="K577" s="639"/>
      <c r="L577" s="119"/>
      <c r="M577" s="119"/>
      <c r="N577" s="119"/>
      <c r="O577" s="640"/>
      <c r="P577" s="119"/>
    </row>
    <row r="578">
      <c r="C578" s="637"/>
      <c r="D578" s="637"/>
      <c r="E578" s="119"/>
      <c r="F578" s="119"/>
      <c r="G578" s="119"/>
      <c r="H578" s="119"/>
      <c r="I578" s="119"/>
      <c r="J578" s="119"/>
      <c r="K578" s="639"/>
      <c r="L578" s="119"/>
      <c r="M578" s="119"/>
      <c r="N578" s="119"/>
      <c r="O578" s="640"/>
      <c r="P578" s="119"/>
    </row>
    <row r="579">
      <c r="C579" s="637"/>
      <c r="D579" s="637"/>
      <c r="E579" s="119"/>
      <c r="F579" s="119"/>
      <c r="G579" s="119"/>
      <c r="H579" s="119"/>
      <c r="I579" s="119"/>
      <c r="J579" s="119"/>
      <c r="K579" s="639"/>
      <c r="L579" s="119"/>
      <c r="M579" s="119"/>
      <c r="N579" s="119"/>
      <c r="O579" s="640"/>
      <c r="P579" s="119"/>
    </row>
    <row r="580">
      <c r="C580" s="637"/>
      <c r="D580" s="637"/>
      <c r="E580" s="119"/>
      <c r="F580" s="119"/>
      <c r="G580" s="119"/>
      <c r="H580" s="119"/>
      <c r="I580" s="119"/>
      <c r="J580" s="119"/>
      <c r="K580" s="639"/>
      <c r="L580" s="119"/>
      <c r="M580" s="119"/>
      <c r="N580" s="119"/>
      <c r="O580" s="640"/>
      <c r="P580" s="119"/>
    </row>
    <row r="581">
      <c r="C581" s="637"/>
      <c r="D581" s="637"/>
      <c r="E581" s="119"/>
      <c r="F581" s="119"/>
      <c r="G581" s="119"/>
      <c r="H581" s="119"/>
      <c r="I581" s="119"/>
      <c r="J581" s="119"/>
      <c r="K581" s="639"/>
      <c r="L581" s="119"/>
      <c r="M581" s="119"/>
      <c r="N581" s="119"/>
      <c r="O581" s="640"/>
      <c r="P581" s="119"/>
    </row>
    <row r="582">
      <c r="C582" s="637"/>
      <c r="D582" s="637"/>
      <c r="E582" s="119"/>
      <c r="F582" s="119"/>
      <c r="G582" s="119"/>
      <c r="H582" s="119"/>
      <c r="I582" s="119"/>
      <c r="J582" s="119"/>
      <c r="K582" s="639"/>
      <c r="L582" s="119"/>
      <c r="M582" s="119"/>
      <c r="N582" s="119"/>
      <c r="O582" s="640"/>
      <c r="P582" s="119"/>
    </row>
    <row r="583">
      <c r="C583" s="637"/>
      <c r="D583" s="637"/>
      <c r="E583" s="119"/>
      <c r="F583" s="119"/>
      <c r="G583" s="119"/>
      <c r="H583" s="119"/>
      <c r="I583" s="119"/>
      <c r="J583" s="119"/>
      <c r="K583" s="639"/>
      <c r="L583" s="119"/>
      <c r="M583" s="119"/>
      <c r="N583" s="119"/>
      <c r="O583" s="640"/>
      <c r="P583" s="119"/>
    </row>
    <row r="584">
      <c r="C584" s="637"/>
      <c r="D584" s="637"/>
      <c r="E584" s="119"/>
      <c r="F584" s="119"/>
      <c r="G584" s="119"/>
      <c r="H584" s="119"/>
      <c r="I584" s="119"/>
      <c r="J584" s="119"/>
      <c r="K584" s="639"/>
      <c r="L584" s="119"/>
      <c r="M584" s="119"/>
      <c r="N584" s="119"/>
      <c r="O584" s="640"/>
      <c r="P584" s="119"/>
    </row>
    <row r="585">
      <c r="C585" s="637"/>
      <c r="D585" s="637"/>
      <c r="E585" s="119"/>
      <c r="F585" s="119"/>
      <c r="G585" s="119"/>
      <c r="H585" s="119"/>
      <c r="I585" s="119"/>
      <c r="J585" s="119"/>
      <c r="K585" s="639"/>
      <c r="L585" s="119"/>
      <c r="M585" s="119"/>
      <c r="N585" s="119"/>
      <c r="O585" s="640"/>
      <c r="P585" s="119"/>
    </row>
    <row r="586">
      <c r="C586" s="637"/>
      <c r="D586" s="637"/>
      <c r="E586" s="119"/>
      <c r="F586" s="119"/>
      <c r="G586" s="119"/>
      <c r="H586" s="119"/>
      <c r="I586" s="119"/>
      <c r="J586" s="119"/>
      <c r="K586" s="639"/>
      <c r="L586" s="119"/>
      <c r="M586" s="119"/>
      <c r="N586" s="119"/>
      <c r="O586" s="640"/>
      <c r="P586" s="119"/>
    </row>
    <row r="587">
      <c r="C587" s="637"/>
      <c r="D587" s="637"/>
      <c r="E587" s="119"/>
      <c r="F587" s="119"/>
      <c r="G587" s="119"/>
      <c r="H587" s="119"/>
      <c r="I587" s="119"/>
      <c r="J587" s="119"/>
      <c r="K587" s="639"/>
      <c r="L587" s="119"/>
      <c r="M587" s="119"/>
      <c r="N587" s="119"/>
      <c r="O587" s="640"/>
      <c r="P587" s="119"/>
    </row>
    <row r="588">
      <c r="C588" s="637"/>
      <c r="D588" s="637"/>
      <c r="E588" s="119"/>
      <c r="F588" s="119"/>
      <c r="G588" s="119"/>
      <c r="H588" s="119"/>
      <c r="I588" s="119"/>
      <c r="J588" s="119"/>
      <c r="K588" s="639"/>
      <c r="L588" s="119"/>
      <c r="M588" s="119"/>
      <c r="N588" s="119"/>
      <c r="O588" s="640"/>
      <c r="P588" s="119"/>
    </row>
    <row r="589">
      <c r="C589" s="637"/>
      <c r="D589" s="637"/>
      <c r="E589" s="119"/>
      <c r="F589" s="119"/>
      <c r="G589" s="119"/>
      <c r="H589" s="119"/>
      <c r="I589" s="119"/>
      <c r="J589" s="119"/>
      <c r="K589" s="639"/>
      <c r="L589" s="119"/>
      <c r="M589" s="119"/>
      <c r="N589" s="119"/>
      <c r="O589" s="640"/>
      <c r="P589" s="119"/>
    </row>
    <row r="590">
      <c r="C590" s="637"/>
      <c r="D590" s="637"/>
      <c r="E590" s="119"/>
      <c r="F590" s="119"/>
      <c r="G590" s="119"/>
      <c r="H590" s="119"/>
      <c r="I590" s="119"/>
      <c r="J590" s="119"/>
      <c r="K590" s="639"/>
      <c r="L590" s="119"/>
      <c r="M590" s="119"/>
      <c r="N590" s="119"/>
      <c r="O590" s="640"/>
      <c r="P590" s="119"/>
    </row>
    <row r="591">
      <c r="C591" s="637"/>
      <c r="D591" s="637"/>
      <c r="E591" s="119"/>
      <c r="F591" s="119"/>
      <c r="G591" s="119"/>
      <c r="H591" s="119"/>
      <c r="I591" s="119"/>
      <c r="J591" s="119"/>
      <c r="K591" s="639"/>
      <c r="L591" s="119"/>
      <c r="M591" s="119"/>
      <c r="N591" s="119"/>
      <c r="O591" s="640"/>
      <c r="P591" s="119"/>
    </row>
    <row r="592">
      <c r="C592" s="637"/>
      <c r="D592" s="637"/>
      <c r="E592" s="119"/>
      <c r="F592" s="119"/>
      <c r="G592" s="119"/>
      <c r="H592" s="119"/>
      <c r="I592" s="119"/>
      <c r="J592" s="119"/>
      <c r="K592" s="639"/>
      <c r="L592" s="119"/>
      <c r="M592" s="119"/>
      <c r="N592" s="119"/>
      <c r="O592" s="640"/>
      <c r="P592" s="119"/>
    </row>
    <row r="593">
      <c r="C593" s="637"/>
      <c r="D593" s="637"/>
      <c r="E593" s="119"/>
      <c r="F593" s="119"/>
      <c r="G593" s="119"/>
      <c r="H593" s="119"/>
      <c r="I593" s="119"/>
      <c r="J593" s="119"/>
      <c r="K593" s="639"/>
      <c r="L593" s="119"/>
      <c r="M593" s="119"/>
      <c r="N593" s="119"/>
      <c r="O593" s="640"/>
      <c r="P593" s="119"/>
    </row>
    <row r="594">
      <c r="C594" s="637"/>
      <c r="D594" s="637"/>
      <c r="E594" s="119"/>
      <c r="F594" s="119"/>
      <c r="G594" s="119"/>
      <c r="H594" s="119"/>
      <c r="I594" s="119"/>
      <c r="J594" s="119"/>
      <c r="K594" s="639"/>
      <c r="L594" s="119"/>
      <c r="M594" s="119"/>
      <c r="N594" s="119"/>
      <c r="O594" s="640"/>
      <c r="P594" s="119"/>
    </row>
    <row r="595">
      <c r="C595" s="637"/>
      <c r="D595" s="637"/>
      <c r="E595" s="119"/>
      <c r="F595" s="119"/>
      <c r="G595" s="119"/>
      <c r="H595" s="119"/>
      <c r="I595" s="119"/>
      <c r="J595" s="119"/>
      <c r="K595" s="639"/>
      <c r="L595" s="119"/>
      <c r="M595" s="119"/>
      <c r="N595" s="119"/>
      <c r="O595" s="640"/>
      <c r="P595" s="119"/>
    </row>
    <row r="596">
      <c r="C596" s="637"/>
      <c r="D596" s="637"/>
      <c r="E596" s="119"/>
      <c r="F596" s="119"/>
      <c r="G596" s="119"/>
      <c r="H596" s="119"/>
      <c r="I596" s="119"/>
      <c r="J596" s="119"/>
      <c r="K596" s="639"/>
      <c r="L596" s="119"/>
      <c r="M596" s="119"/>
      <c r="N596" s="119"/>
      <c r="O596" s="640"/>
      <c r="P596" s="119"/>
    </row>
    <row r="597">
      <c r="C597" s="637"/>
      <c r="D597" s="637"/>
      <c r="E597" s="119"/>
      <c r="F597" s="119"/>
      <c r="G597" s="119"/>
      <c r="H597" s="119"/>
      <c r="I597" s="119"/>
      <c r="J597" s="119"/>
      <c r="K597" s="639"/>
      <c r="L597" s="119"/>
      <c r="M597" s="119"/>
      <c r="N597" s="119"/>
      <c r="O597" s="640"/>
      <c r="P597" s="119"/>
    </row>
    <row r="598">
      <c r="C598" s="637"/>
      <c r="D598" s="637"/>
      <c r="E598" s="119"/>
      <c r="F598" s="119"/>
      <c r="G598" s="119"/>
      <c r="H598" s="119"/>
      <c r="I598" s="119"/>
      <c r="J598" s="119"/>
      <c r="K598" s="639"/>
      <c r="L598" s="119"/>
      <c r="M598" s="119"/>
      <c r="N598" s="119"/>
      <c r="O598" s="640"/>
      <c r="P598" s="119"/>
    </row>
    <row r="599">
      <c r="C599" s="637"/>
      <c r="D599" s="637"/>
      <c r="E599" s="119"/>
      <c r="F599" s="119"/>
      <c r="G599" s="119"/>
      <c r="H599" s="119"/>
      <c r="I599" s="119"/>
      <c r="J599" s="119"/>
      <c r="K599" s="639"/>
      <c r="L599" s="119"/>
      <c r="M599" s="119"/>
      <c r="N599" s="119"/>
      <c r="O599" s="640"/>
      <c r="P599" s="119"/>
    </row>
    <row r="600">
      <c r="C600" s="637"/>
      <c r="D600" s="637"/>
      <c r="E600" s="119"/>
      <c r="F600" s="119"/>
      <c r="G600" s="119"/>
      <c r="H600" s="119"/>
      <c r="I600" s="119"/>
      <c r="J600" s="119"/>
      <c r="K600" s="639"/>
      <c r="L600" s="119"/>
      <c r="M600" s="119"/>
      <c r="N600" s="119"/>
      <c r="O600" s="640"/>
      <c r="P600" s="119"/>
    </row>
    <row r="601">
      <c r="C601" s="637"/>
      <c r="D601" s="637"/>
      <c r="E601" s="119"/>
      <c r="F601" s="119"/>
      <c r="G601" s="119"/>
      <c r="H601" s="119"/>
      <c r="I601" s="119"/>
      <c r="J601" s="119"/>
      <c r="K601" s="639"/>
      <c r="L601" s="119"/>
      <c r="M601" s="119"/>
      <c r="N601" s="119"/>
      <c r="O601" s="640"/>
      <c r="P601" s="119"/>
    </row>
    <row r="602">
      <c r="C602" s="637"/>
      <c r="D602" s="637"/>
      <c r="E602" s="119"/>
      <c r="F602" s="119"/>
      <c r="G602" s="119"/>
      <c r="H602" s="119"/>
      <c r="I602" s="119"/>
      <c r="J602" s="119"/>
      <c r="K602" s="639"/>
      <c r="L602" s="119"/>
      <c r="M602" s="119"/>
      <c r="N602" s="119"/>
      <c r="O602" s="640"/>
      <c r="P602" s="119"/>
    </row>
    <row r="603">
      <c r="C603" s="637"/>
      <c r="D603" s="637"/>
      <c r="E603" s="119"/>
      <c r="F603" s="119"/>
      <c r="G603" s="119"/>
      <c r="H603" s="119"/>
      <c r="I603" s="119"/>
      <c r="J603" s="119"/>
      <c r="K603" s="639"/>
      <c r="L603" s="119"/>
      <c r="M603" s="119"/>
      <c r="N603" s="119"/>
      <c r="O603" s="640"/>
      <c r="P603" s="119"/>
    </row>
    <row r="604">
      <c r="C604" s="637"/>
      <c r="D604" s="637"/>
      <c r="E604" s="119"/>
      <c r="F604" s="119"/>
      <c r="G604" s="119"/>
      <c r="H604" s="119"/>
      <c r="I604" s="119"/>
      <c r="J604" s="119"/>
      <c r="K604" s="639"/>
      <c r="L604" s="119"/>
      <c r="M604" s="119"/>
      <c r="N604" s="119"/>
      <c r="O604" s="640"/>
      <c r="P604" s="119"/>
    </row>
    <row r="605">
      <c r="C605" s="637"/>
      <c r="D605" s="637"/>
      <c r="E605" s="119"/>
      <c r="F605" s="119"/>
      <c r="G605" s="119"/>
      <c r="H605" s="119"/>
      <c r="I605" s="119"/>
      <c r="J605" s="119"/>
      <c r="K605" s="639"/>
      <c r="L605" s="119"/>
      <c r="M605" s="119"/>
      <c r="N605" s="119"/>
      <c r="O605" s="640"/>
      <c r="P605" s="119"/>
    </row>
    <row r="606">
      <c r="C606" s="637"/>
      <c r="D606" s="637"/>
      <c r="E606" s="119"/>
      <c r="F606" s="119"/>
      <c r="G606" s="119"/>
      <c r="H606" s="119"/>
      <c r="I606" s="119"/>
      <c r="J606" s="119"/>
      <c r="K606" s="639"/>
      <c r="L606" s="119"/>
      <c r="M606" s="119"/>
      <c r="N606" s="119"/>
      <c r="O606" s="640"/>
      <c r="P606" s="119"/>
    </row>
    <row r="607">
      <c r="C607" s="637"/>
      <c r="D607" s="637"/>
      <c r="E607" s="119"/>
      <c r="F607" s="119"/>
      <c r="G607" s="119"/>
      <c r="H607" s="119"/>
      <c r="I607" s="119"/>
      <c r="J607" s="119"/>
      <c r="K607" s="639"/>
      <c r="L607" s="119"/>
      <c r="M607" s="119"/>
      <c r="N607" s="119"/>
      <c r="O607" s="640"/>
      <c r="P607" s="119"/>
    </row>
    <row r="608">
      <c r="C608" s="637"/>
      <c r="D608" s="637"/>
      <c r="E608" s="119"/>
      <c r="F608" s="119"/>
      <c r="G608" s="119"/>
      <c r="H608" s="119"/>
      <c r="I608" s="119"/>
      <c r="J608" s="119"/>
      <c r="K608" s="639"/>
      <c r="L608" s="119"/>
      <c r="M608" s="119"/>
      <c r="N608" s="119"/>
      <c r="O608" s="640"/>
      <c r="P608" s="119"/>
    </row>
    <row r="609">
      <c r="C609" s="637"/>
      <c r="D609" s="637"/>
      <c r="E609" s="119"/>
      <c r="F609" s="119"/>
      <c r="G609" s="119"/>
      <c r="H609" s="119"/>
      <c r="I609" s="119"/>
      <c r="J609" s="119"/>
      <c r="K609" s="639"/>
      <c r="L609" s="119"/>
      <c r="M609" s="119"/>
      <c r="N609" s="119"/>
      <c r="O609" s="640"/>
      <c r="P609" s="119"/>
    </row>
    <row r="610">
      <c r="C610" s="637"/>
      <c r="D610" s="637"/>
      <c r="E610" s="119"/>
      <c r="F610" s="119"/>
      <c r="G610" s="119"/>
      <c r="H610" s="119"/>
      <c r="I610" s="119"/>
      <c r="J610" s="119"/>
      <c r="K610" s="639"/>
      <c r="L610" s="119"/>
      <c r="M610" s="119"/>
      <c r="N610" s="119"/>
      <c r="O610" s="640"/>
      <c r="P610" s="119"/>
    </row>
    <row r="611">
      <c r="C611" s="637"/>
      <c r="D611" s="637"/>
      <c r="E611" s="119"/>
      <c r="F611" s="119"/>
      <c r="G611" s="119"/>
      <c r="H611" s="119"/>
      <c r="I611" s="119"/>
      <c r="J611" s="119"/>
      <c r="K611" s="639"/>
      <c r="L611" s="119"/>
      <c r="M611" s="119"/>
      <c r="N611" s="119"/>
      <c r="O611" s="640"/>
      <c r="P611" s="119"/>
    </row>
    <row r="612">
      <c r="C612" s="637"/>
      <c r="D612" s="637"/>
      <c r="E612" s="119"/>
      <c r="F612" s="119"/>
      <c r="G612" s="119"/>
      <c r="H612" s="119"/>
      <c r="I612" s="119"/>
      <c r="J612" s="119"/>
      <c r="K612" s="639"/>
      <c r="L612" s="119"/>
      <c r="M612" s="119"/>
      <c r="N612" s="119"/>
      <c r="O612" s="640"/>
      <c r="P612" s="119"/>
    </row>
    <row r="613">
      <c r="C613" s="637"/>
      <c r="D613" s="637"/>
      <c r="E613" s="119"/>
      <c r="F613" s="119"/>
      <c r="G613" s="119"/>
      <c r="H613" s="119"/>
      <c r="I613" s="119"/>
      <c r="J613" s="119"/>
      <c r="K613" s="639"/>
      <c r="L613" s="119"/>
      <c r="M613" s="119"/>
      <c r="N613" s="119"/>
      <c r="O613" s="640"/>
      <c r="P613" s="119"/>
    </row>
    <row r="614">
      <c r="C614" s="637"/>
      <c r="D614" s="637"/>
      <c r="E614" s="119"/>
      <c r="F614" s="119"/>
      <c r="G614" s="119"/>
      <c r="H614" s="119"/>
      <c r="I614" s="119"/>
      <c r="J614" s="119"/>
      <c r="K614" s="639"/>
      <c r="L614" s="119"/>
      <c r="M614" s="119"/>
      <c r="N614" s="119"/>
      <c r="O614" s="640"/>
      <c r="P614" s="119"/>
    </row>
    <row r="615">
      <c r="C615" s="637"/>
      <c r="D615" s="637"/>
      <c r="E615" s="119"/>
      <c r="F615" s="119"/>
      <c r="G615" s="119"/>
      <c r="H615" s="119"/>
      <c r="I615" s="119"/>
      <c r="J615" s="119"/>
      <c r="K615" s="639"/>
      <c r="L615" s="119"/>
      <c r="M615" s="119"/>
      <c r="N615" s="119"/>
      <c r="O615" s="640"/>
      <c r="P615" s="119"/>
    </row>
    <row r="616">
      <c r="C616" s="637"/>
      <c r="D616" s="637"/>
      <c r="E616" s="119"/>
      <c r="F616" s="119"/>
      <c r="G616" s="119"/>
      <c r="H616" s="119"/>
      <c r="I616" s="119"/>
      <c r="J616" s="119"/>
      <c r="K616" s="639"/>
      <c r="L616" s="119"/>
      <c r="M616" s="119"/>
      <c r="N616" s="119"/>
      <c r="O616" s="640"/>
      <c r="P616" s="119"/>
    </row>
    <row r="617">
      <c r="C617" s="637"/>
      <c r="D617" s="637"/>
      <c r="E617" s="119"/>
      <c r="F617" s="119"/>
      <c r="G617" s="119"/>
      <c r="H617" s="119"/>
      <c r="I617" s="119"/>
      <c r="J617" s="119"/>
      <c r="K617" s="639"/>
      <c r="L617" s="119"/>
      <c r="M617" s="119"/>
      <c r="N617" s="119"/>
      <c r="O617" s="640"/>
      <c r="P617" s="119"/>
    </row>
    <row r="618">
      <c r="C618" s="637"/>
      <c r="D618" s="637"/>
      <c r="E618" s="119"/>
      <c r="F618" s="119"/>
      <c r="G618" s="119"/>
      <c r="H618" s="119"/>
      <c r="I618" s="119"/>
      <c r="J618" s="119"/>
      <c r="K618" s="639"/>
      <c r="L618" s="119"/>
      <c r="M618" s="119"/>
      <c r="N618" s="119"/>
      <c r="O618" s="640"/>
      <c r="P618" s="119"/>
    </row>
    <row r="619">
      <c r="C619" s="637"/>
      <c r="D619" s="637"/>
      <c r="E619" s="119"/>
      <c r="F619" s="119"/>
      <c r="G619" s="119"/>
      <c r="H619" s="119"/>
      <c r="I619" s="119"/>
      <c r="J619" s="119"/>
      <c r="K619" s="639"/>
      <c r="L619" s="119"/>
      <c r="M619" s="119"/>
      <c r="N619" s="119"/>
      <c r="O619" s="640"/>
      <c r="P619" s="119"/>
    </row>
    <row r="620">
      <c r="C620" s="637"/>
      <c r="D620" s="637"/>
      <c r="E620" s="119"/>
      <c r="F620" s="119"/>
      <c r="G620" s="119"/>
      <c r="H620" s="119"/>
      <c r="I620" s="119"/>
      <c r="J620" s="119"/>
      <c r="K620" s="639"/>
      <c r="L620" s="119"/>
      <c r="M620" s="119"/>
      <c r="N620" s="119"/>
      <c r="O620" s="640"/>
      <c r="P620" s="119"/>
    </row>
    <row r="621">
      <c r="C621" s="637"/>
      <c r="D621" s="637"/>
      <c r="E621" s="119"/>
      <c r="F621" s="119"/>
      <c r="G621" s="119"/>
      <c r="H621" s="119"/>
      <c r="I621" s="119"/>
      <c r="J621" s="119"/>
      <c r="K621" s="639"/>
      <c r="L621" s="119"/>
      <c r="M621" s="119"/>
      <c r="N621" s="119"/>
      <c r="O621" s="640"/>
      <c r="P621" s="119"/>
    </row>
    <row r="622">
      <c r="C622" s="637"/>
      <c r="D622" s="637"/>
      <c r="E622" s="119"/>
      <c r="F622" s="119"/>
      <c r="G622" s="119"/>
      <c r="H622" s="119"/>
      <c r="I622" s="119"/>
      <c r="J622" s="119"/>
      <c r="K622" s="639"/>
      <c r="L622" s="119"/>
      <c r="M622" s="119"/>
      <c r="N622" s="119"/>
      <c r="O622" s="640"/>
      <c r="P622" s="119"/>
    </row>
    <row r="623">
      <c r="C623" s="637"/>
      <c r="D623" s="637"/>
      <c r="E623" s="119"/>
      <c r="F623" s="119"/>
      <c r="G623" s="119"/>
      <c r="H623" s="119"/>
      <c r="I623" s="119"/>
      <c r="J623" s="119"/>
      <c r="K623" s="639"/>
      <c r="L623" s="119"/>
      <c r="M623" s="119"/>
      <c r="N623" s="119"/>
      <c r="O623" s="640"/>
      <c r="P623" s="119"/>
    </row>
    <row r="624">
      <c r="C624" s="637"/>
      <c r="D624" s="637"/>
      <c r="E624" s="119"/>
      <c r="F624" s="119"/>
      <c r="G624" s="119"/>
      <c r="H624" s="119"/>
      <c r="I624" s="119"/>
      <c r="J624" s="119"/>
      <c r="K624" s="639"/>
      <c r="L624" s="119"/>
      <c r="M624" s="119"/>
      <c r="N624" s="119"/>
      <c r="O624" s="640"/>
      <c r="P624" s="119"/>
    </row>
    <row r="625">
      <c r="C625" s="637"/>
      <c r="D625" s="637"/>
      <c r="E625" s="119"/>
      <c r="F625" s="119"/>
      <c r="G625" s="119"/>
      <c r="H625" s="119"/>
      <c r="I625" s="119"/>
      <c r="J625" s="119"/>
      <c r="K625" s="639"/>
      <c r="L625" s="119"/>
      <c r="M625" s="119"/>
      <c r="N625" s="119"/>
      <c r="O625" s="640"/>
      <c r="P625" s="119"/>
    </row>
    <row r="626">
      <c r="C626" s="637"/>
      <c r="D626" s="637"/>
      <c r="E626" s="119"/>
      <c r="F626" s="119"/>
      <c r="G626" s="119"/>
      <c r="H626" s="119"/>
      <c r="I626" s="119"/>
      <c r="J626" s="119"/>
      <c r="K626" s="639"/>
      <c r="L626" s="119"/>
      <c r="M626" s="119"/>
      <c r="N626" s="119"/>
      <c r="O626" s="640"/>
      <c r="P626" s="119"/>
    </row>
    <row r="627">
      <c r="C627" s="637"/>
      <c r="D627" s="637"/>
      <c r="E627" s="119"/>
      <c r="F627" s="119"/>
      <c r="G627" s="119"/>
      <c r="H627" s="119"/>
      <c r="I627" s="119"/>
      <c r="J627" s="119"/>
      <c r="K627" s="639"/>
      <c r="L627" s="119"/>
      <c r="M627" s="119"/>
      <c r="N627" s="119"/>
      <c r="O627" s="640"/>
      <c r="P627" s="119"/>
    </row>
    <row r="628">
      <c r="C628" s="637"/>
      <c r="D628" s="637"/>
      <c r="E628" s="119"/>
      <c r="F628" s="119"/>
      <c r="G628" s="119"/>
      <c r="H628" s="119"/>
      <c r="I628" s="119"/>
      <c r="J628" s="119"/>
      <c r="K628" s="639"/>
      <c r="L628" s="119"/>
      <c r="M628" s="119"/>
      <c r="N628" s="119"/>
      <c r="O628" s="640"/>
      <c r="P628" s="119"/>
    </row>
    <row r="629">
      <c r="C629" s="637"/>
      <c r="D629" s="637"/>
      <c r="E629" s="119"/>
      <c r="F629" s="119"/>
      <c r="G629" s="119"/>
      <c r="H629" s="119"/>
      <c r="I629" s="119"/>
      <c r="J629" s="119"/>
      <c r="K629" s="639"/>
      <c r="L629" s="119"/>
      <c r="M629" s="119"/>
      <c r="N629" s="119"/>
      <c r="O629" s="640"/>
      <c r="P629" s="119"/>
    </row>
    <row r="630">
      <c r="C630" s="637"/>
      <c r="D630" s="637"/>
      <c r="E630" s="119"/>
      <c r="F630" s="119"/>
      <c r="G630" s="119"/>
      <c r="H630" s="119"/>
      <c r="I630" s="119"/>
      <c r="J630" s="119"/>
      <c r="K630" s="639"/>
      <c r="L630" s="119"/>
      <c r="M630" s="119"/>
      <c r="N630" s="119"/>
      <c r="O630" s="640"/>
      <c r="P630" s="119"/>
    </row>
    <row r="631">
      <c r="C631" s="637"/>
      <c r="D631" s="637"/>
      <c r="E631" s="119"/>
      <c r="F631" s="119"/>
      <c r="G631" s="119"/>
      <c r="H631" s="119"/>
      <c r="I631" s="119"/>
      <c r="J631" s="119"/>
      <c r="K631" s="639"/>
      <c r="L631" s="119"/>
      <c r="M631" s="119"/>
      <c r="N631" s="119"/>
      <c r="O631" s="640"/>
      <c r="P631" s="119"/>
    </row>
    <row r="632">
      <c r="C632" s="637"/>
      <c r="D632" s="637"/>
      <c r="E632" s="119"/>
      <c r="F632" s="119"/>
      <c r="G632" s="119"/>
      <c r="H632" s="119"/>
      <c r="I632" s="119"/>
      <c r="J632" s="119"/>
      <c r="K632" s="639"/>
      <c r="L632" s="119"/>
      <c r="M632" s="119"/>
      <c r="N632" s="119"/>
      <c r="O632" s="640"/>
      <c r="P632" s="119"/>
    </row>
    <row r="633">
      <c r="C633" s="637"/>
      <c r="D633" s="637"/>
      <c r="E633" s="119"/>
      <c r="F633" s="119"/>
      <c r="G633" s="119"/>
      <c r="H633" s="119"/>
      <c r="I633" s="119"/>
      <c r="J633" s="119"/>
      <c r="K633" s="639"/>
      <c r="L633" s="119"/>
      <c r="M633" s="119"/>
      <c r="N633" s="119"/>
      <c r="O633" s="640"/>
      <c r="P633" s="119"/>
    </row>
    <row r="634">
      <c r="C634" s="637"/>
      <c r="D634" s="637"/>
      <c r="E634" s="119"/>
      <c r="F634" s="119"/>
      <c r="G634" s="119"/>
      <c r="H634" s="119"/>
      <c r="I634" s="119"/>
      <c r="J634" s="119"/>
      <c r="K634" s="639"/>
      <c r="L634" s="119"/>
      <c r="M634" s="119"/>
      <c r="N634" s="119"/>
      <c r="O634" s="640"/>
      <c r="P634" s="119"/>
    </row>
    <row r="635">
      <c r="C635" s="637"/>
      <c r="D635" s="637"/>
      <c r="E635" s="119"/>
      <c r="F635" s="119"/>
      <c r="G635" s="119"/>
      <c r="H635" s="119"/>
      <c r="I635" s="119"/>
      <c r="J635" s="119"/>
      <c r="K635" s="639"/>
      <c r="L635" s="119"/>
      <c r="M635" s="119"/>
      <c r="N635" s="119"/>
      <c r="O635" s="640"/>
      <c r="P635" s="119"/>
    </row>
    <row r="636">
      <c r="C636" s="637"/>
      <c r="D636" s="637"/>
      <c r="E636" s="119"/>
      <c r="F636" s="119"/>
      <c r="G636" s="119"/>
      <c r="H636" s="119"/>
      <c r="I636" s="119"/>
      <c r="J636" s="119"/>
      <c r="K636" s="639"/>
      <c r="L636" s="119"/>
      <c r="M636" s="119"/>
      <c r="N636" s="119"/>
      <c r="O636" s="640"/>
      <c r="P636" s="119"/>
    </row>
    <row r="637">
      <c r="C637" s="637"/>
      <c r="D637" s="637"/>
      <c r="E637" s="119"/>
      <c r="F637" s="119"/>
      <c r="G637" s="119"/>
      <c r="H637" s="119"/>
      <c r="I637" s="119"/>
      <c r="J637" s="119"/>
      <c r="K637" s="639"/>
      <c r="L637" s="119"/>
      <c r="M637" s="119"/>
      <c r="N637" s="119"/>
      <c r="O637" s="640"/>
      <c r="P637" s="119"/>
    </row>
    <row r="638">
      <c r="C638" s="637"/>
      <c r="D638" s="637"/>
      <c r="E638" s="119"/>
      <c r="F638" s="119"/>
      <c r="G638" s="119"/>
      <c r="H638" s="119"/>
      <c r="I638" s="119"/>
      <c r="J638" s="119"/>
      <c r="K638" s="639"/>
      <c r="L638" s="119"/>
      <c r="M638" s="119"/>
      <c r="N638" s="119"/>
      <c r="O638" s="640"/>
      <c r="P638" s="119"/>
    </row>
    <row r="639">
      <c r="C639" s="637"/>
      <c r="D639" s="637"/>
      <c r="E639" s="119"/>
      <c r="F639" s="119"/>
      <c r="G639" s="119"/>
      <c r="H639" s="119"/>
      <c r="I639" s="119"/>
      <c r="J639" s="119"/>
      <c r="K639" s="639"/>
      <c r="L639" s="119"/>
      <c r="M639" s="119"/>
      <c r="N639" s="119"/>
      <c r="O639" s="640"/>
      <c r="P639" s="119"/>
    </row>
    <row r="640">
      <c r="C640" s="637"/>
      <c r="D640" s="637"/>
      <c r="E640" s="119"/>
      <c r="F640" s="119"/>
      <c r="G640" s="119"/>
      <c r="H640" s="119"/>
      <c r="I640" s="119"/>
      <c r="J640" s="119"/>
      <c r="K640" s="639"/>
      <c r="L640" s="119"/>
      <c r="M640" s="119"/>
      <c r="N640" s="119"/>
      <c r="O640" s="640"/>
      <c r="P640" s="119"/>
    </row>
    <row r="641">
      <c r="C641" s="637"/>
      <c r="D641" s="637"/>
      <c r="E641" s="119"/>
      <c r="F641" s="119"/>
      <c r="G641" s="119"/>
      <c r="H641" s="119"/>
      <c r="I641" s="119"/>
      <c r="J641" s="119"/>
      <c r="K641" s="639"/>
      <c r="L641" s="119"/>
      <c r="M641" s="119"/>
      <c r="N641" s="119"/>
      <c r="O641" s="640"/>
      <c r="P641" s="119"/>
    </row>
    <row r="642">
      <c r="C642" s="637"/>
      <c r="D642" s="637"/>
      <c r="E642" s="119"/>
      <c r="F642" s="119"/>
      <c r="G642" s="119"/>
      <c r="H642" s="119"/>
      <c r="I642" s="119"/>
      <c r="J642" s="119"/>
      <c r="K642" s="639"/>
      <c r="L642" s="119"/>
      <c r="M642" s="119"/>
      <c r="N642" s="119"/>
      <c r="O642" s="640"/>
      <c r="P642" s="119"/>
    </row>
    <row r="643">
      <c r="C643" s="637"/>
      <c r="D643" s="637"/>
      <c r="E643" s="119"/>
      <c r="F643" s="119"/>
      <c r="G643" s="119"/>
      <c r="H643" s="119"/>
      <c r="I643" s="119"/>
      <c r="J643" s="119"/>
      <c r="K643" s="639"/>
      <c r="L643" s="119"/>
      <c r="M643" s="119"/>
      <c r="N643" s="119"/>
      <c r="O643" s="640"/>
      <c r="P643" s="119"/>
    </row>
    <row r="644">
      <c r="C644" s="637"/>
      <c r="D644" s="637"/>
      <c r="E644" s="119"/>
      <c r="F644" s="119"/>
      <c r="G644" s="119"/>
      <c r="H644" s="119"/>
      <c r="I644" s="119"/>
      <c r="J644" s="119"/>
      <c r="K644" s="639"/>
      <c r="L644" s="119"/>
      <c r="M644" s="119"/>
      <c r="N644" s="119"/>
      <c r="O644" s="640"/>
      <c r="P644" s="119"/>
    </row>
    <row r="645">
      <c r="C645" s="637"/>
      <c r="D645" s="637"/>
      <c r="E645" s="119"/>
      <c r="F645" s="119"/>
      <c r="G645" s="119"/>
      <c r="H645" s="119"/>
      <c r="I645" s="119"/>
      <c r="J645" s="119"/>
      <c r="K645" s="639"/>
      <c r="L645" s="119"/>
      <c r="M645" s="119"/>
      <c r="N645" s="119"/>
      <c r="O645" s="640"/>
      <c r="P645" s="119"/>
    </row>
    <row r="646">
      <c r="C646" s="637"/>
      <c r="D646" s="637"/>
      <c r="E646" s="119"/>
      <c r="F646" s="119"/>
      <c r="G646" s="119"/>
      <c r="H646" s="119"/>
      <c r="I646" s="119"/>
      <c r="J646" s="119"/>
      <c r="K646" s="639"/>
      <c r="L646" s="119"/>
      <c r="M646" s="119"/>
      <c r="N646" s="119"/>
      <c r="O646" s="640"/>
      <c r="P646" s="119"/>
    </row>
    <row r="647">
      <c r="C647" s="637"/>
      <c r="D647" s="637"/>
      <c r="E647" s="119"/>
      <c r="F647" s="119"/>
      <c r="G647" s="119"/>
      <c r="H647" s="119"/>
      <c r="I647" s="119"/>
      <c r="J647" s="119"/>
      <c r="K647" s="639"/>
      <c r="L647" s="119"/>
      <c r="M647" s="119"/>
      <c r="N647" s="119"/>
      <c r="O647" s="640"/>
      <c r="P647" s="119"/>
    </row>
    <row r="648">
      <c r="C648" s="637"/>
      <c r="D648" s="637"/>
      <c r="E648" s="119"/>
      <c r="F648" s="119"/>
      <c r="G648" s="119"/>
      <c r="H648" s="119"/>
      <c r="I648" s="119"/>
      <c r="J648" s="119"/>
      <c r="K648" s="639"/>
      <c r="L648" s="119"/>
      <c r="M648" s="119"/>
      <c r="N648" s="119"/>
      <c r="O648" s="640"/>
      <c r="P648" s="119"/>
    </row>
    <row r="649">
      <c r="C649" s="637"/>
      <c r="D649" s="637"/>
      <c r="E649" s="119"/>
      <c r="F649" s="119"/>
      <c r="G649" s="119"/>
      <c r="H649" s="119"/>
      <c r="I649" s="119"/>
      <c r="J649" s="119"/>
      <c r="K649" s="639"/>
      <c r="L649" s="119"/>
      <c r="M649" s="119"/>
      <c r="N649" s="119"/>
      <c r="O649" s="640"/>
      <c r="P649" s="119"/>
    </row>
    <row r="650">
      <c r="C650" s="637"/>
      <c r="D650" s="637"/>
      <c r="E650" s="119"/>
      <c r="F650" s="119"/>
      <c r="G650" s="119"/>
      <c r="H650" s="119"/>
      <c r="I650" s="119"/>
      <c r="J650" s="119"/>
      <c r="K650" s="639"/>
      <c r="L650" s="119"/>
      <c r="M650" s="119"/>
      <c r="N650" s="119"/>
      <c r="O650" s="640"/>
      <c r="P650" s="119"/>
    </row>
    <row r="651">
      <c r="C651" s="637"/>
      <c r="D651" s="637"/>
      <c r="E651" s="119"/>
      <c r="F651" s="119"/>
      <c r="G651" s="119"/>
      <c r="H651" s="119"/>
      <c r="I651" s="119"/>
      <c r="J651" s="119"/>
      <c r="K651" s="639"/>
      <c r="L651" s="119"/>
      <c r="M651" s="119"/>
      <c r="N651" s="119"/>
      <c r="O651" s="640"/>
      <c r="P651" s="119"/>
    </row>
    <row r="652">
      <c r="C652" s="637"/>
      <c r="D652" s="637"/>
      <c r="E652" s="119"/>
      <c r="F652" s="119"/>
      <c r="G652" s="119"/>
      <c r="H652" s="119"/>
      <c r="I652" s="119"/>
      <c r="J652" s="119"/>
      <c r="K652" s="639"/>
      <c r="L652" s="119"/>
      <c r="M652" s="119"/>
      <c r="N652" s="119"/>
      <c r="O652" s="640"/>
      <c r="P652" s="119"/>
    </row>
    <row r="653">
      <c r="C653" s="637"/>
      <c r="D653" s="637"/>
      <c r="E653" s="119"/>
      <c r="F653" s="119"/>
      <c r="G653" s="119"/>
      <c r="H653" s="119"/>
      <c r="I653" s="119"/>
      <c r="J653" s="119"/>
      <c r="K653" s="639"/>
      <c r="L653" s="119"/>
      <c r="M653" s="119"/>
      <c r="N653" s="119"/>
      <c r="O653" s="640"/>
      <c r="P653" s="119"/>
    </row>
    <row r="654">
      <c r="C654" s="637"/>
      <c r="D654" s="637"/>
      <c r="E654" s="119"/>
      <c r="F654" s="119"/>
      <c r="G654" s="119"/>
      <c r="H654" s="119"/>
      <c r="I654" s="119"/>
      <c r="J654" s="119"/>
      <c r="K654" s="639"/>
      <c r="L654" s="119"/>
      <c r="M654" s="119"/>
      <c r="N654" s="119"/>
      <c r="O654" s="640"/>
      <c r="P654" s="119"/>
    </row>
    <row r="655">
      <c r="C655" s="637"/>
      <c r="D655" s="637"/>
      <c r="E655" s="119"/>
      <c r="F655" s="119"/>
      <c r="G655" s="119"/>
      <c r="H655" s="119"/>
      <c r="I655" s="119"/>
      <c r="J655" s="119"/>
      <c r="K655" s="639"/>
      <c r="L655" s="119"/>
      <c r="M655" s="119"/>
      <c r="N655" s="119"/>
      <c r="O655" s="640"/>
      <c r="P655" s="119"/>
    </row>
    <row r="656">
      <c r="C656" s="637"/>
      <c r="D656" s="637"/>
      <c r="E656" s="119"/>
      <c r="F656" s="119"/>
      <c r="G656" s="119"/>
      <c r="H656" s="119"/>
      <c r="I656" s="119"/>
      <c r="J656" s="119"/>
      <c r="K656" s="639"/>
      <c r="L656" s="119"/>
      <c r="M656" s="119"/>
      <c r="N656" s="119"/>
      <c r="O656" s="640"/>
      <c r="P656" s="119"/>
    </row>
    <row r="657">
      <c r="C657" s="637"/>
      <c r="D657" s="637"/>
      <c r="E657" s="119"/>
      <c r="F657" s="119"/>
      <c r="G657" s="119"/>
      <c r="H657" s="119"/>
      <c r="I657" s="119"/>
      <c r="J657" s="119"/>
      <c r="K657" s="639"/>
      <c r="L657" s="119"/>
      <c r="M657" s="119"/>
      <c r="N657" s="119"/>
      <c r="O657" s="640"/>
      <c r="P657" s="119"/>
    </row>
    <row r="658">
      <c r="C658" s="637"/>
      <c r="D658" s="637"/>
      <c r="E658" s="119"/>
      <c r="F658" s="119"/>
      <c r="G658" s="119"/>
      <c r="H658" s="119"/>
      <c r="I658" s="119"/>
      <c r="J658" s="119"/>
      <c r="K658" s="639"/>
      <c r="L658" s="119"/>
      <c r="M658" s="119"/>
      <c r="N658" s="119"/>
      <c r="O658" s="640"/>
      <c r="P658" s="119"/>
    </row>
    <row r="659">
      <c r="C659" s="637"/>
      <c r="D659" s="637"/>
      <c r="E659" s="119"/>
      <c r="F659" s="119"/>
      <c r="G659" s="119"/>
      <c r="H659" s="119"/>
      <c r="I659" s="119"/>
      <c r="J659" s="119"/>
      <c r="K659" s="639"/>
      <c r="L659" s="119"/>
      <c r="M659" s="119"/>
      <c r="N659" s="119"/>
      <c r="O659" s="640"/>
      <c r="P659" s="119"/>
    </row>
    <row r="660">
      <c r="C660" s="637"/>
      <c r="D660" s="637"/>
      <c r="E660" s="119"/>
      <c r="F660" s="119"/>
      <c r="G660" s="119"/>
      <c r="H660" s="119"/>
      <c r="I660" s="119"/>
      <c r="J660" s="119"/>
      <c r="K660" s="639"/>
      <c r="L660" s="119"/>
      <c r="M660" s="119"/>
      <c r="N660" s="119"/>
      <c r="O660" s="640"/>
      <c r="P660" s="119"/>
    </row>
    <row r="661">
      <c r="C661" s="637"/>
      <c r="D661" s="637"/>
      <c r="E661" s="119"/>
      <c r="F661" s="119"/>
      <c r="G661" s="119"/>
      <c r="H661" s="119"/>
      <c r="I661" s="119"/>
      <c r="J661" s="119"/>
      <c r="K661" s="639"/>
      <c r="L661" s="119"/>
      <c r="M661" s="119"/>
      <c r="N661" s="119"/>
      <c r="O661" s="640"/>
      <c r="P661" s="119"/>
    </row>
    <row r="662">
      <c r="C662" s="637"/>
      <c r="D662" s="637"/>
      <c r="E662" s="119"/>
      <c r="F662" s="119"/>
      <c r="G662" s="119"/>
      <c r="H662" s="119"/>
      <c r="I662" s="119"/>
      <c r="J662" s="119"/>
      <c r="K662" s="639"/>
      <c r="L662" s="119"/>
      <c r="M662" s="119"/>
      <c r="N662" s="119"/>
      <c r="O662" s="640"/>
      <c r="P662" s="119"/>
    </row>
    <row r="663">
      <c r="C663" s="637"/>
      <c r="D663" s="637"/>
      <c r="E663" s="119"/>
      <c r="F663" s="119"/>
      <c r="G663" s="119"/>
      <c r="H663" s="119"/>
      <c r="I663" s="119"/>
      <c r="J663" s="119"/>
      <c r="K663" s="639"/>
      <c r="L663" s="119"/>
      <c r="M663" s="119"/>
      <c r="N663" s="119"/>
      <c r="O663" s="640"/>
      <c r="P663" s="119"/>
    </row>
    <row r="664">
      <c r="C664" s="637"/>
      <c r="D664" s="637"/>
      <c r="E664" s="119"/>
      <c r="F664" s="119"/>
      <c r="G664" s="119"/>
      <c r="H664" s="119"/>
      <c r="I664" s="119"/>
      <c r="J664" s="119"/>
      <c r="K664" s="639"/>
      <c r="L664" s="119"/>
      <c r="M664" s="119"/>
      <c r="N664" s="119"/>
      <c r="O664" s="640"/>
      <c r="P664" s="119"/>
    </row>
    <row r="665">
      <c r="C665" s="637"/>
      <c r="D665" s="637"/>
      <c r="E665" s="119"/>
      <c r="F665" s="119"/>
      <c r="G665" s="119"/>
      <c r="H665" s="119"/>
      <c r="I665" s="119"/>
      <c r="J665" s="119"/>
      <c r="K665" s="639"/>
      <c r="L665" s="119"/>
      <c r="M665" s="119"/>
      <c r="N665" s="119"/>
      <c r="O665" s="640"/>
      <c r="P665" s="119"/>
    </row>
    <row r="666">
      <c r="C666" s="637"/>
      <c r="D666" s="637"/>
      <c r="E666" s="119"/>
      <c r="F666" s="119"/>
      <c r="G666" s="119"/>
      <c r="H666" s="119"/>
      <c r="I666" s="119"/>
      <c r="J666" s="119"/>
      <c r="K666" s="639"/>
      <c r="L666" s="119"/>
      <c r="M666" s="119"/>
      <c r="N666" s="119"/>
      <c r="O666" s="640"/>
      <c r="P666" s="119"/>
    </row>
    <row r="667">
      <c r="C667" s="637"/>
      <c r="D667" s="637"/>
      <c r="E667" s="119"/>
      <c r="F667" s="119"/>
      <c r="G667" s="119"/>
      <c r="H667" s="119"/>
      <c r="I667" s="119"/>
      <c r="J667" s="119"/>
      <c r="K667" s="639"/>
      <c r="L667" s="119"/>
      <c r="M667" s="119"/>
      <c r="N667" s="119"/>
      <c r="O667" s="640"/>
      <c r="P667" s="119"/>
    </row>
    <row r="668">
      <c r="C668" s="637"/>
      <c r="D668" s="637"/>
      <c r="E668" s="119"/>
      <c r="F668" s="119"/>
      <c r="G668" s="119"/>
      <c r="H668" s="119"/>
      <c r="I668" s="119"/>
      <c r="J668" s="119"/>
      <c r="K668" s="639"/>
      <c r="L668" s="119"/>
      <c r="M668" s="119"/>
      <c r="N668" s="119"/>
      <c r="O668" s="640"/>
      <c r="P668" s="119"/>
    </row>
    <row r="669">
      <c r="C669" s="637"/>
      <c r="D669" s="637"/>
      <c r="E669" s="119"/>
      <c r="F669" s="119"/>
      <c r="G669" s="119"/>
      <c r="H669" s="119"/>
      <c r="I669" s="119"/>
      <c r="J669" s="119"/>
      <c r="K669" s="639"/>
      <c r="L669" s="119"/>
      <c r="M669" s="119"/>
      <c r="N669" s="119"/>
      <c r="O669" s="640"/>
      <c r="P669" s="119"/>
    </row>
    <row r="670">
      <c r="C670" s="637"/>
      <c r="D670" s="637"/>
      <c r="E670" s="119"/>
      <c r="F670" s="119"/>
      <c r="G670" s="119"/>
      <c r="H670" s="119"/>
      <c r="I670" s="119"/>
      <c r="J670" s="119"/>
      <c r="K670" s="639"/>
      <c r="L670" s="119"/>
      <c r="M670" s="119"/>
      <c r="N670" s="119"/>
      <c r="O670" s="640"/>
      <c r="P670" s="119"/>
    </row>
    <row r="671">
      <c r="C671" s="637"/>
      <c r="D671" s="637"/>
      <c r="E671" s="119"/>
      <c r="F671" s="119"/>
      <c r="G671" s="119"/>
      <c r="H671" s="119"/>
      <c r="I671" s="119"/>
      <c r="J671" s="119"/>
      <c r="K671" s="639"/>
      <c r="L671" s="119"/>
      <c r="M671" s="119"/>
      <c r="N671" s="119"/>
      <c r="O671" s="640"/>
      <c r="P671" s="119"/>
    </row>
    <row r="672">
      <c r="C672" s="637"/>
      <c r="D672" s="637"/>
      <c r="E672" s="119"/>
      <c r="F672" s="119"/>
      <c r="G672" s="119"/>
      <c r="H672" s="119"/>
      <c r="I672" s="119"/>
      <c r="J672" s="119"/>
      <c r="K672" s="639"/>
      <c r="L672" s="119"/>
      <c r="M672" s="119"/>
      <c r="N672" s="119"/>
      <c r="O672" s="640"/>
      <c r="P672" s="119"/>
    </row>
    <row r="673">
      <c r="C673" s="637"/>
      <c r="D673" s="637"/>
      <c r="E673" s="119"/>
      <c r="F673" s="119"/>
      <c r="G673" s="119"/>
      <c r="H673" s="119"/>
      <c r="I673" s="119"/>
      <c r="J673" s="119"/>
      <c r="K673" s="639"/>
      <c r="L673" s="119"/>
      <c r="M673" s="119"/>
      <c r="N673" s="119"/>
      <c r="O673" s="640"/>
      <c r="P673" s="119"/>
    </row>
    <row r="674">
      <c r="C674" s="637"/>
      <c r="D674" s="637"/>
      <c r="E674" s="119"/>
      <c r="F674" s="119"/>
      <c r="G674" s="119"/>
      <c r="H674" s="119"/>
      <c r="I674" s="119"/>
      <c r="J674" s="119"/>
      <c r="K674" s="639"/>
      <c r="L674" s="119"/>
      <c r="M674" s="119"/>
      <c r="N674" s="119"/>
      <c r="O674" s="640"/>
      <c r="P674" s="119"/>
    </row>
    <row r="675">
      <c r="C675" s="637"/>
      <c r="D675" s="637"/>
      <c r="E675" s="119"/>
      <c r="F675" s="119"/>
      <c r="G675" s="119"/>
      <c r="H675" s="119"/>
      <c r="I675" s="119"/>
      <c r="J675" s="119"/>
      <c r="K675" s="639"/>
      <c r="L675" s="119"/>
      <c r="M675" s="119"/>
      <c r="N675" s="119"/>
      <c r="O675" s="640"/>
      <c r="P675" s="119"/>
    </row>
    <row r="676">
      <c r="C676" s="637"/>
      <c r="D676" s="637"/>
      <c r="E676" s="119"/>
      <c r="F676" s="119"/>
      <c r="G676" s="119"/>
      <c r="H676" s="119"/>
      <c r="I676" s="119"/>
      <c r="J676" s="119"/>
      <c r="K676" s="639"/>
      <c r="L676" s="119"/>
      <c r="M676" s="119"/>
      <c r="N676" s="119"/>
      <c r="O676" s="640"/>
      <c r="P676" s="119"/>
    </row>
    <row r="677">
      <c r="C677" s="637"/>
      <c r="D677" s="637"/>
      <c r="E677" s="119"/>
      <c r="F677" s="119"/>
      <c r="G677" s="119"/>
      <c r="H677" s="119"/>
      <c r="I677" s="119"/>
      <c r="J677" s="119"/>
      <c r="K677" s="639"/>
      <c r="L677" s="119"/>
      <c r="M677" s="119"/>
      <c r="N677" s="119"/>
      <c r="O677" s="640"/>
      <c r="P677" s="119"/>
    </row>
    <row r="678">
      <c r="C678" s="637"/>
      <c r="D678" s="637"/>
      <c r="E678" s="119"/>
      <c r="F678" s="119"/>
      <c r="G678" s="119"/>
      <c r="H678" s="119"/>
      <c r="I678" s="119"/>
      <c r="J678" s="119"/>
      <c r="K678" s="639"/>
      <c r="L678" s="119"/>
      <c r="M678" s="119"/>
      <c r="N678" s="119"/>
      <c r="O678" s="640"/>
      <c r="P678" s="119"/>
    </row>
    <row r="679">
      <c r="C679" s="637"/>
      <c r="D679" s="637"/>
      <c r="E679" s="119"/>
      <c r="F679" s="119"/>
      <c r="G679" s="119"/>
      <c r="H679" s="119"/>
      <c r="I679" s="119"/>
      <c r="J679" s="119"/>
      <c r="K679" s="639"/>
      <c r="L679" s="119"/>
      <c r="M679" s="119"/>
      <c r="N679" s="119"/>
      <c r="O679" s="640"/>
      <c r="P679" s="119"/>
    </row>
    <row r="680">
      <c r="C680" s="637"/>
      <c r="D680" s="637"/>
      <c r="E680" s="119"/>
      <c r="F680" s="119"/>
      <c r="G680" s="119"/>
      <c r="H680" s="119"/>
      <c r="I680" s="119"/>
      <c r="J680" s="119"/>
      <c r="K680" s="639"/>
      <c r="L680" s="119"/>
      <c r="M680" s="119"/>
      <c r="N680" s="119"/>
      <c r="O680" s="640"/>
      <c r="P680" s="119"/>
    </row>
    <row r="681">
      <c r="C681" s="637"/>
      <c r="D681" s="637"/>
      <c r="E681" s="119"/>
      <c r="F681" s="119"/>
      <c r="G681" s="119"/>
      <c r="H681" s="119"/>
      <c r="I681" s="119"/>
      <c r="J681" s="119"/>
      <c r="K681" s="639"/>
      <c r="L681" s="119"/>
      <c r="M681" s="119"/>
      <c r="N681" s="119"/>
      <c r="O681" s="640"/>
      <c r="P681" s="119"/>
    </row>
    <row r="682">
      <c r="C682" s="637"/>
      <c r="D682" s="637"/>
      <c r="E682" s="119"/>
      <c r="F682" s="119"/>
      <c r="G682" s="119"/>
      <c r="H682" s="119"/>
      <c r="I682" s="119"/>
      <c r="J682" s="119"/>
      <c r="K682" s="639"/>
      <c r="L682" s="119"/>
      <c r="M682" s="119"/>
      <c r="N682" s="119"/>
      <c r="O682" s="640"/>
      <c r="P682" s="119"/>
    </row>
    <row r="683">
      <c r="C683" s="637"/>
      <c r="D683" s="637"/>
      <c r="E683" s="119"/>
      <c r="F683" s="119"/>
      <c r="G683" s="119"/>
      <c r="H683" s="119"/>
      <c r="I683" s="119"/>
      <c r="J683" s="119"/>
      <c r="K683" s="639"/>
      <c r="L683" s="119"/>
      <c r="M683" s="119"/>
      <c r="N683" s="119"/>
      <c r="O683" s="640"/>
      <c r="P683" s="119"/>
    </row>
    <row r="684">
      <c r="C684" s="637"/>
      <c r="D684" s="637"/>
      <c r="E684" s="119"/>
      <c r="F684" s="119"/>
      <c r="G684" s="119"/>
      <c r="H684" s="119"/>
      <c r="I684" s="119"/>
      <c r="J684" s="119"/>
      <c r="K684" s="639"/>
      <c r="L684" s="119"/>
      <c r="M684" s="119"/>
      <c r="N684" s="119"/>
      <c r="O684" s="640"/>
      <c r="P684" s="119"/>
    </row>
    <row r="685">
      <c r="C685" s="637"/>
      <c r="D685" s="637"/>
      <c r="E685" s="119"/>
      <c r="F685" s="119"/>
      <c r="G685" s="119"/>
      <c r="H685" s="119"/>
      <c r="I685" s="119"/>
      <c r="J685" s="119"/>
      <c r="K685" s="639"/>
      <c r="L685" s="119"/>
      <c r="M685" s="119"/>
      <c r="N685" s="119"/>
      <c r="O685" s="640"/>
      <c r="P685" s="119"/>
    </row>
    <row r="686">
      <c r="C686" s="637"/>
      <c r="D686" s="637"/>
      <c r="E686" s="119"/>
      <c r="F686" s="119"/>
      <c r="G686" s="119"/>
      <c r="H686" s="119"/>
      <c r="I686" s="119"/>
      <c r="J686" s="119"/>
      <c r="K686" s="639"/>
      <c r="L686" s="119"/>
      <c r="M686" s="119"/>
      <c r="N686" s="119"/>
      <c r="O686" s="640"/>
      <c r="P686" s="119"/>
    </row>
    <row r="687">
      <c r="C687" s="637"/>
      <c r="D687" s="637"/>
      <c r="E687" s="119"/>
      <c r="F687" s="119"/>
      <c r="G687" s="119"/>
      <c r="H687" s="119"/>
      <c r="I687" s="119"/>
      <c r="J687" s="119"/>
      <c r="K687" s="639"/>
      <c r="L687" s="119"/>
      <c r="M687" s="119"/>
      <c r="N687" s="119"/>
      <c r="O687" s="640"/>
      <c r="P687" s="119"/>
    </row>
    <row r="688">
      <c r="C688" s="637"/>
      <c r="D688" s="637"/>
      <c r="E688" s="119"/>
      <c r="F688" s="119"/>
      <c r="G688" s="119"/>
      <c r="H688" s="119"/>
      <c r="I688" s="119"/>
      <c r="J688" s="119"/>
      <c r="K688" s="639"/>
      <c r="L688" s="119"/>
      <c r="M688" s="119"/>
      <c r="N688" s="119"/>
      <c r="O688" s="640"/>
      <c r="P688" s="119"/>
    </row>
    <row r="689">
      <c r="C689" s="637"/>
      <c r="D689" s="637"/>
      <c r="E689" s="119"/>
      <c r="F689" s="119"/>
      <c r="G689" s="119"/>
      <c r="H689" s="119"/>
      <c r="I689" s="119"/>
      <c r="J689" s="119"/>
      <c r="K689" s="639"/>
      <c r="L689" s="119"/>
      <c r="M689" s="119"/>
      <c r="N689" s="119"/>
      <c r="O689" s="640"/>
      <c r="P689" s="119"/>
    </row>
    <row r="690">
      <c r="C690" s="637"/>
      <c r="D690" s="637"/>
      <c r="E690" s="119"/>
      <c r="F690" s="119"/>
      <c r="G690" s="119"/>
      <c r="H690" s="119"/>
      <c r="I690" s="119"/>
      <c r="J690" s="119"/>
      <c r="K690" s="639"/>
      <c r="L690" s="119"/>
      <c r="M690" s="119"/>
      <c r="N690" s="119"/>
      <c r="O690" s="640"/>
      <c r="P690" s="119"/>
    </row>
    <row r="691">
      <c r="C691" s="637"/>
      <c r="D691" s="637"/>
      <c r="E691" s="119"/>
      <c r="F691" s="119"/>
      <c r="G691" s="119"/>
      <c r="H691" s="119"/>
      <c r="I691" s="119"/>
      <c r="J691" s="119"/>
      <c r="K691" s="639"/>
      <c r="L691" s="119"/>
      <c r="M691" s="119"/>
      <c r="N691" s="119"/>
      <c r="O691" s="640"/>
      <c r="P691" s="119"/>
    </row>
    <row r="692">
      <c r="C692" s="637"/>
      <c r="D692" s="637"/>
      <c r="E692" s="119"/>
      <c r="F692" s="119"/>
      <c r="G692" s="119"/>
      <c r="H692" s="119"/>
      <c r="I692" s="119"/>
      <c r="J692" s="119"/>
      <c r="K692" s="639"/>
      <c r="L692" s="119"/>
      <c r="M692" s="119"/>
      <c r="N692" s="119"/>
      <c r="O692" s="640"/>
      <c r="P692" s="119"/>
    </row>
    <row r="693">
      <c r="C693" s="637"/>
      <c r="D693" s="637"/>
      <c r="E693" s="119"/>
      <c r="F693" s="119"/>
      <c r="G693" s="119"/>
      <c r="H693" s="119"/>
      <c r="I693" s="119"/>
      <c r="J693" s="119"/>
      <c r="K693" s="639"/>
      <c r="L693" s="119"/>
      <c r="M693" s="119"/>
      <c r="N693" s="119"/>
      <c r="O693" s="640"/>
      <c r="P693" s="119"/>
    </row>
    <row r="694">
      <c r="C694" s="637"/>
      <c r="D694" s="637"/>
      <c r="E694" s="119"/>
      <c r="F694" s="119"/>
      <c r="G694" s="119"/>
      <c r="H694" s="119"/>
      <c r="I694" s="119"/>
      <c r="J694" s="119"/>
      <c r="K694" s="639"/>
      <c r="L694" s="119"/>
      <c r="M694" s="119"/>
      <c r="N694" s="119"/>
      <c r="O694" s="640"/>
      <c r="P694" s="119"/>
    </row>
    <row r="695">
      <c r="C695" s="637"/>
      <c r="D695" s="637"/>
      <c r="E695" s="119"/>
      <c r="F695" s="119"/>
      <c r="G695" s="119"/>
      <c r="H695" s="119"/>
      <c r="I695" s="119"/>
      <c r="J695" s="119"/>
      <c r="K695" s="639"/>
      <c r="L695" s="119"/>
      <c r="M695" s="119"/>
      <c r="N695" s="119"/>
      <c r="O695" s="640"/>
      <c r="P695" s="119"/>
    </row>
    <row r="696">
      <c r="C696" s="637"/>
      <c r="D696" s="637"/>
      <c r="E696" s="119"/>
      <c r="F696" s="119"/>
      <c r="G696" s="119"/>
      <c r="H696" s="119"/>
      <c r="I696" s="119"/>
      <c r="J696" s="119"/>
      <c r="K696" s="639"/>
      <c r="L696" s="119"/>
      <c r="M696" s="119"/>
      <c r="N696" s="119"/>
      <c r="O696" s="640"/>
      <c r="P696" s="119"/>
    </row>
    <row r="697">
      <c r="C697" s="637"/>
      <c r="D697" s="637"/>
      <c r="E697" s="119"/>
      <c r="F697" s="119"/>
      <c r="G697" s="119"/>
      <c r="H697" s="119"/>
      <c r="I697" s="119"/>
      <c r="J697" s="119"/>
      <c r="K697" s="639"/>
      <c r="L697" s="119"/>
      <c r="M697" s="119"/>
      <c r="N697" s="119"/>
      <c r="O697" s="640"/>
      <c r="P697" s="119"/>
    </row>
    <row r="698">
      <c r="C698" s="637"/>
      <c r="D698" s="637"/>
      <c r="E698" s="119"/>
      <c r="F698" s="119"/>
      <c r="G698" s="119"/>
      <c r="H698" s="119"/>
      <c r="I698" s="119"/>
      <c r="J698" s="119"/>
      <c r="K698" s="639"/>
      <c r="L698" s="119"/>
      <c r="M698" s="119"/>
      <c r="N698" s="119"/>
      <c r="O698" s="640"/>
      <c r="P698" s="119"/>
    </row>
    <row r="699">
      <c r="C699" s="637"/>
      <c r="D699" s="637"/>
      <c r="E699" s="119"/>
      <c r="F699" s="119"/>
      <c r="G699" s="119"/>
      <c r="H699" s="119"/>
      <c r="I699" s="119"/>
      <c r="J699" s="119"/>
      <c r="K699" s="639"/>
      <c r="L699" s="119"/>
      <c r="M699" s="119"/>
      <c r="N699" s="119"/>
      <c r="O699" s="640"/>
      <c r="P699" s="119"/>
    </row>
    <row r="700">
      <c r="C700" s="637"/>
      <c r="D700" s="637"/>
      <c r="E700" s="119"/>
      <c r="F700" s="119"/>
      <c r="G700" s="119"/>
      <c r="H700" s="119"/>
      <c r="I700" s="119"/>
      <c r="J700" s="119"/>
      <c r="K700" s="639"/>
      <c r="L700" s="119"/>
      <c r="M700" s="119"/>
      <c r="N700" s="119"/>
      <c r="O700" s="640"/>
      <c r="P700" s="119"/>
    </row>
    <row r="701">
      <c r="C701" s="637"/>
      <c r="D701" s="637"/>
      <c r="E701" s="119"/>
      <c r="F701" s="119"/>
      <c r="G701" s="119"/>
      <c r="H701" s="119"/>
      <c r="I701" s="119"/>
      <c r="J701" s="119"/>
      <c r="K701" s="639"/>
      <c r="L701" s="119"/>
      <c r="M701" s="119"/>
      <c r="N701" s="119"/>
      <c r="O701" s="640"/>
      <c r="P701" s="119"/>
    </row>
    <row r="702">
      <c r="C702" s="637"/>
      <c r="D702" s="637"/>
      <c r="E702" s="119"/>
      <c r="F702" s="119"/>
      <c r="G702" s="119"/>
      <c r="H702" s="119"/>
      <c r="I702" s="119"/>
      <c r="J702" s="119"/>
      <c r="K702" s="639"/>
      <c r="L702" s="119"/>
      <c r="M702" s="119"/>
      <c r="N702" s="119"/>
      <c r="O702" s="640"/>
      <c r="P702" s="119"/>
    </row>
    <row r="703">
      <c r="C703" s="637"/>
      <c r="D703" s="637"/>
      <c r="E703" s="119"/>
      <c r="F703" s="119"/>
      <c r="G703" s="119"/>
      <c r="H703" s="119"/>
      <c r="I703" s="119"/>
      <c r="J703" s="119"/>
      <c r="K703" s="639"/>
      <c r="L703" s="119"/>
      <c r="M703" s="119"/>
      <c r="N703" s="119"/>
      <c r="O703" s="640"/>
      <c r="P703" s="119"/>
    </row>
    <row r="704">
      <c r="C704" s="637"/>
      <c r="D704" s="637"/>
      <c r="E704" s="119"/>
      <c r="F704" s="119"/>
      <c r="G704" s="119"/>
      <c r="H704" s="119"/>
      <c r="I704" s="119"/>
      <c r="J704" s="119"/>
      <c r="K704" s="639"/>
      <c r="L704" s="119"/>
      <c r="M704" s="119"/>
      <c r="N704" s="119"/>
      <c r="O704" s="640"/>
      <c r="P704" s="119"/>
    </row>
    <row r="705">
      <c r="C705" s="637"/>
      <c r="D705" s="637"/>
      <c r="E705" s="119"/>
      <c r="F705" s="119"/>
      <c r="G705" s="119"/>
      <c r="H705" s="119"/>
      <c r="I705" s="119"/>
      <c r="J705" s="119"/>
      <c r="K705" s="639"/>
      <c r="L705" s="119"/>
      <c r="M705" s="119"/>
      <c r="N705" s="119"/>
      <c r="O705" s="640"/>
      <c r="P705" s="119"/>
    </row>
    <row r="706">
      <c r="C706" s="637"/>
      <c r="D706" s="637"/>
      <c r="E706" s="119"/>
      <c r="F706" s="119"/>
      <c r="G706" s="119"/>
      <c r="H706" s="119"/>
      <c r="I706" s="119"/>
      <c r="J706" s="119"/>
      <c r="K706" s="639"/>
      <c r="L706" s="119"/>
      <c r="M706" s="119"/>
      <c r="N706" s="119"/>
      <c r="O706" s="640"/>
      <c r="P706" s="119"/>
    </row>
    <row r="707">
      <c r="C707" s="637"/>
      <c r="D707" s="637"/>
      <c r="E707" s="119"/>
      <c r="F707" s="119"/>
      <c r="G707" s="119"/>
      <c r="H707" s="119"/>
      <c r="I707" s="119"/>
      <c r="J707" s="119"/>
      <c r="K707" s="639"/>
      <c r="L707" s="119"/>
      <c r="M707" s="119"/>
      <c r="N707" s="119"/>
      <c r="O707" s="640"/>
      <c r="P707" s="119"/>
    </row>
    <row r="708">
      <c r="C708" s="637"/>
      <c r="D708" s="637"/>
      <c r="E708" s="119"/>
      <c r="F708" s="119"/>
      <c r="G708" s="119"/>
      <c r="H708" s="119"/>
      <c r="I708" s="119"/>
      <c r="J708" s="119"/>
      <c r="K708" s="639"/>
      <c r="L708" s="119"/>
      <c r="M708" s="119"/>
      <c r="N708" s="119"/>
      <c r="O708" s="640"/>
      <c r="P708" s="119"/>
    </row>
    <row r="709">
      <c r="C709" s="637"/>
      <c r="D709" s="637"/>
      <c r="E709" s="119"/>
      <c r="F709" s="119"/>
      <c r="G709" s="119"/>
      <c r="H709" s="119"/>
      <c r="I709" s="119"/>
      <c r="J709" s="119"/>
      <c r="K709" s="639"/>
      <c r="L709" s="119"/>
      <c r="M709" s="119"/>
      <c r="N709" s="119"/>
      <c r="O709" s="640"/>
      <c r="P709" s="119"/>
    </row>
    <row r="710">
      <c r="C710" s="637"/>
      <c r="D710" s="637"/>
      <c r="E710" s="119"/>
      <c r="F710" s="119"/>
      <c r="G710" s="119"/>
      <c r="H710" s="119"/>
      <c r="I710" s="119"/>
      <c r="J710" s="119"/>
      <c r="K710" s="639"/>
      <c r="L710" s="119"/>
      <c r="M710" s="119"/>
      <c r="N710" s="119"/>
      <c r="O710" s="640"/>
      <c r="P710" s="119"/>
    </row>
    <row r="711">
      <c r="C711" s="637"/>
      <c r="D711" s="637"/>
      <c r="E711" s="119"/>
      <c r="F711" s="119"/>
      <c r="G711" s="119"/>
      <c r="H711" s="119"/>
      <c r="I711" s="119"/>
      <c r="J711" s="119"/>
      <c r="K711" s="639"/>
      <c r="L711" s="119"/>
      <c r="M711" s="119"/>
      <c r="N711" s="119"/>
      <c r="O711" s="640"/>
      <c r="P711" s="119"/>
    </row>
    <row r="712">
      <c r="C712" s="637"/>
      <c r="D712" s="637"/>
      <c r="E712" s="119"/>
      <c r="F712" s="119"/>
      <c r="G712" s="119"/>
      <c r="H712" s="119"/>
      <c r="I712" s="119"/>
      <c r="J712" s="119"/>
      <c r="K712" s="639"/>
      <c r="L712" s="119"/>
      <c r="M712" s="119"/>
      <c r="N712" s="119"/>
      <c r="O712" s="640"/>
      <c r="P712" s="119"/>
    </row>
    <row r="713">
      <c r="C713" s="637"/>
      <c r="D713" s="637"/>
      <c r="E713" s="119"/>
      <c r="F713" s="119"/>
      <c r="G713" s="119"/>
      <c r="H713" s="119"/>
      <c r="I713" s="119"/>
      <c r="J713" s="119"/>
      <c r="K713" s="639"/>
      <c r="L713" s="119"/>
      <c r="M713" s="119"/>
      <c r="N713" s="119"/>
      <c r="O713" s="640"/>
      <c r="P713" s="119"/>
    </row>
    <row r="714">
      <c r="C714" s="637"/>
      <c r="D714" s="637"/>
      <c r="E714" s="119"/>
      <c r="F714" s="119"/>
      <c r="G714" s="119"/>
      <c r="H714" s="119"/>
      <c r="I714" s="119"/>
      <c r="J714" s="119"/>
      <c r="K714" s="639"/>
      <c r="L714" s="119"/>
      <c r="M714" s="119"/>
      <c r="N714" s="119"/>
      <c r="O714" s="640"/>
      <c r="P714" s="119"/>
    </row>
    <row r="715">
      <c r="C715" s="637"/>
      <c r="D715" s="637"/>
      <c r="E715" s="119"/>
      <c r="F715" s="119"/>
      <c r="G715" s="119"/>
      <c r="H715" s="119"/>
      <c r="I715" s="119"/>
      <c r="J715" s="119"/>
      <c r="K715" s="639"/>
      <c r="L715" s="119"/>
      <c r="M715" s="119"/>
      <c r="N715" s="119"/>
      <c r="O715" s="640"/>
      <c r="P715" s="119"/>
    </row>
    <row r="716">
      <c r="C716" s="637"/>
      <c r="D716" s="637"/>
      <c r="E716" s="119"/>
      <c r="F716" s="119"/>
      <c r="G716" s="119"/>
      <c r="H716" s="119"/>
      <c r="I716" s="119"/>
      <c r="J716" s="119"/>
      <c r="K716" s="639"/>
      <c r="L716" s="119"/>
      <c r="M716" s="119"/>
      <c r="N716" s="119"/>
      <c r="O716" s="640"/>
      <c r="P716" s="119"/>
    </row>
    <row r="717">
      <c r="C717" s="637"/>
      <c r="D717" s="637"/>
      <c r="E717" s="119"/>
      <c r="F717" s="119"/>
      <c r="G717" s="119"/>
      <c r="H717" s="119"/>
      <c r="I717" s="119"/>
      <c r="J717" s="119"/>
      <c r="K717" s="639"/>
      <c r="L717" s="119"/>
      <c r="M717" s="119"/>
      <c r="N717" s="119"/>
      <c r="O717" s="640"/>
      <c r="P717" s="119"/>
    </row>
    <row r="718">
      <c r="C718" s="637"/>
      <c r="D718" s="637"/>
      <c r="E718" s="119"/>
      <c r="F718" s="119"/>
      <c r="G718" s="119"/>
      <c r="H718" s="119"/>
      <c r="I718" s="119"/>
      <c r="J718" s="119"/>
      <c r="K718" s="639"/>
      <c r="L718" s="119"/>
      <c r="M718" s="119"/>
      <c r="N718" s="119"/>
      <c r="O718" s="640"/>
      <c r="P718" s="119"/>
    </row>
    <row r="719">
      <c r="C719" s="637"/>
      <c r="D719" s="637"/>
      <c r="E719" s="119"/>
      <c r="F719" s="119"/>
      <c r="G719" s="119"/>
      <c r="H719" s="119"/>
      <c r="I719" s="119"/>
      <c r="J719" s="119"/>
      <c r="K719" s="639"/>
      <c r="L719" s="119"/>
      <c r="M719" s="119"/>
      <c r="N719" s="119"/>
      <c r="O719" s="640"/>
      <c r="P719" s="119"/>
    </row>
    <row r="720">
      <c r="C720" s="637"/>
      <c r="D720" s="637"/>
      <c r="E720" s="119"/>
      <c r="F720" s="119"/>
      <c r="G720" s="119"/>
      <c r="H720" s="119"/>
      <c r="I720" s="119"/>
      <c r="J720" s="119"/>
      <c r="K720" s="639"/>
      <c r="L720" s="119"/>
      <c r="M720" s="119"/>
      <c r="N720" s="119"/>
      <c r="O720" s="640"/>
      <c r="P720" s="119"/>
    </row>
    <row r="721">
      <c r="C721" s="637"/>
      <c r="D721" s="637"/>
      <c r="E721" s="119"/>
      <c r="F721" s="119"/>
      <c r="G721" s="119"/>
      <c r="H721" s="119"/>
      <c r="I721" s="119"/>
      <c r="J721" s="119"/>
      <c r="K721" s="639"/>
      <c r="L721" s="119"/>
      <c r="M721" s="119"/>
      <c r="N721" s="119"/>
      <c r="O721" s="640"/>
      <c r="P721" s="119"/>
    </row>
    <row r="722">
      <c r="C722" s="637"/>
      <c r="D722" s="637"/>
      <c r="E722" s="119"/>
      <c r="F722" s="119"/>
      <c r="G722" s="119"/>
      <c r="H722" s="119"/>
      <c r="I722" s="119"/>
      <c r="J722" s="119"/>
      <c r="K722" s="639"/>
      <c r="L722" s="119"/>
      <c r="M722" s="119"/>
      <c r="N722" s="119"/>
      <c r="O722" s="640"/>
      <c r="P722" s="119"/>
    </row>
    <row r="723">
      <c r="C723" s="637"/>
      <c r="D723" s="637"/>
      <c r="E723" s="119"/>
      <c r="F723" s="119"/>
      <c r="G723" s="119"/>
      <c r="H723" s="119"/>
      <c r="I723" s="119"/>
      <c r="J723" s="119"/>
      <c r="K723" s="639"/>
      <c r="L723" s="119"/>
      <c r="M723" s="119"/>
      <c r="N723" s="119"/>
      <c r="O723" s="640"/>
      <c r="P723" s="119"/>
    </row>
    <row r="724">
      <c r="C724" s="637"/>
      <c r="D724" s="637"/>
      <c r="E724" s="119"/>
      <c r="F724" s="119"/>
      <c r="G724" s="119"/>
      <c r="H724" s="119"/>
      <c r="I724" s="119"/>
      <c r="J724" s="119"/>
      <c r="K724" s="639"/>
      <c r="L724" s="119"/>
      <c r="M724" s="119"/>
      <c r="N724" s="119"/>
      <c r="O724" s="640"/>
      <c r="P724" s="119"/>
    </row>
    <row r="725">
      <c r="C725" s="637"/>
      <c r="D725" s="637"/>
      <c r="E725" s="119"/>
      <c r="F725" s="119"/>
      <c r="G725" s="119"/>
      <c r="H725" s="119"/>
      <c r="I725" s="119"/>
      <c r="J725" s="119"/>
      <c r="K725" s="639"/>
      <c r="L725" s="119"/>
      <c r="M725" s="119"/>
      <c r="N725" s="119"/>
      <c r="O725" s="640"/>
      <c r="P725" s="119"/>
    </row>
    <row r="726">
      <c r="C726" s="637"/>
      <c r="D726" s="637"/>
      <c r="E726" s="119"/>
      <c r="F726" s="119"/>
      <c r="G726" s="119"/>
      <c r="H726" s="119"/>
      <c r="I726" s="119"/>
      <c r="J726" s="119"/>
      <c r="K726" s="639"/>
      <c r="L726" s="119"/>
      <c r="M726" s="119"/>
      <c r="N726" s="119"/>
      <c r="O726" s="640"/>
      <c r="P726" s="119"/>
    </row>
    <row r="727">
      <c r="C727" s="637"/>
      <c r="D727" s="637"/>
      <c r="E727" s="119"/>
      <c r="F727" s="119"/>
      <c r="G727" s="119"/>
      <c r="H727" s="119"/>
      <c r="I727" s="119"/>
      <c r="J727" s="119"/>
      <c r="K727" s="639"/>
      <c r="L727" s="119"/>
      <c r="M727" s="119"/>
      <c r="N727" s="119"/>
      <c r="O727" s="640"/>
      <c r="P727" s="119"/>
    </row>
    <row r="728">
      <c r="C728" s="637"/>
      <c r="D728" s="637"/>
      <c r="E728" s="119"/>
      <c r="F728" s="119"/>
      <c r="G728" s="119"/>
      <c r="H728" s="119"/>
      <c r="I728" s="119"/>
      <c r="J728" s="119"/>
      <c r="K728" s="639"/>
      <c r="L728" s="119"/>
      <c r="M728" s="119"/>
      <c r="N728" s="119"/>
      <c r="O728" s="640"/>
      <c r="P728" s="119"/>
    </row>
    <row r="729">
      <c r="C729" s="637"/>
      <c r="D729" s="637"/>
      <c r="E729" s="119"/>
      <c r="F729" s="119"/>
      <c r="G729" s="119"/>
      <c r="H729" s="119"/>
      <c r="I729" s="119"/>
      <c r="J729" s="119"/>
      <c r="K729" s="639"/>
      <c r="L729" s="119"/>
      <c r="M729" s="119"/>
      <c r="N729" s="119"/>
      <c r="O729" s="640"/>
      <c r="P729" s="119"/>
    </row>
    <row r="730">
      <c r="C730" s="637"/>
      <c r="D730" s="637"/>
      <c r="E730" s="119"/>
      <c r="F730" s="119"/>
      <c r="G730" s="119"/>
      <c r="H730" s="119"/>
      <c r="I730" s="119"/>
      <c r="J730" s="119"/>
      <c r="K730" s="639"/>
      <c r="L730" s="119"/>
      <c r="M730" s="119"/>
      <c r="N730" s="119"/>
      <c r="O730" s="640"/>
      <c r="P730" s="119"/>
    </row>
    <row r="731">
      <c r="C731" s="637"/>
      <c r="D731" s="637"/>
      <c r="E731" s="119"/>
      <c r="F731" s="119"/>
      <c r="G731" s="119"/>
      <c r="H731" s="119"/>
      <c r="I731" s="119"/>
      <c r="J731" s="119"/>
      <c r="K731" s="639"/>
      <c r="L731" s="119"/>
      <c r="M731" s="119"/>
      <c r="N731" s="119"/>
      <c r="O731" s="640"/>
      <c r="P731" s="119"/>
    </row>
    <row r="732">
      <c r="C732" s="637"/>
      <c r="D732" s="637"/>
      <c r="E732" s="119"/>
      <c r="F732" s="119"/>
      <c r="G732" s="119"/>
      <c r="H732" s="119"/>
      <c r="I732" s="119"/>
      <c r="J732" s="119"/>
      <c r="K732" s="639"/>
      <c r="L732" s="119"/>
      <c r="M732" s="119"/>
      <c r="N732" s="119"/>
      <c r="O732" s="640"/>
      <c r="P732" s="119"/>
    </row>
    <row r="733">
      <c r="C733" s="637"/>
      <c r="D733" s="637"/>
      <c r="E733" s="119"/>
      <c r="F733" s="119"/>
      <c r="G733" s="119"/>
      <c r="H733" s="119"/>
      <c r="I733" s="119"/>
      <c r="J733" s="119"/>
      <c r="K733" s="639"/>
      <c r="L733" s="119"/>
      <c r="M733" s="119"/>
      <c r="N733" s="119"/>
      <c r="O733" s="640"/>
      <c r="P733" s="119"/>
    </row>
    <row r="734">
      <c r="C734" s="637"/>
      <c r="D734" s="637"/>
      <c r="E734" s="119"/>
      <c r="F734" s="119"/>
      <c r="G734" s="119"/>
      <c r="H734" s="119"/>
      <c r="I734" s="119"/>
      <c r="J734" s="119"/>
      <c r="K734" s="639"/>
      <c r="L734" s="119"/>
      <c r="M734" s="119"/>
      <c r="N734" s="119"/>
      <c r="O734" s="640"/>
      <c r="P734" s="119"/>
    </row>
    <row r="735">
      <c r="C735" s="637"/>
      <c r="D735" s="637"/>
      <c r="E735" s="119"/>
      <c r="F735" s="119"/>
      <c r="G735" s="119"/>
      <c r="H735" s="119"/>
      <c r="I735" s="119"/>
      <c r="J735" s="119"/>
      <c r="K735" s="639"/>
      <c r="L735" s="119"/>
      <c r="M735" s="119"/>
      <c r="N735" s="119"/>
      <c r="O735" s="640"/>
      <c r="P735" s="119"/>
    </row>
    <row r="736">
      <c r="C736" s="637"/>
      <c r="D736" s="637"/>
      <c r="E736" s="119"/>
      <c r="F736" s="119"/>
      <c r="G736" s="119"/>
      <c r="H736" s="119"/>
      <c r="I736" s="119"/>
      <c r="J736" s="119"/>
      <c r="K736" s="639"/>
      <c r="L736" s="119"/>
      <c r="M736" s="119"/>
      <c r="N736" s="119"/>
      <c r="O736" s="640"/>
      <c r="P736" s="119"/>
    </row>
    <row r="737">
      <c r="C737" s="637"/>
      <c r="D737" s="637"/>
      <c r="E737" s="119"/>
      <c r="F737" s="119"/>
      <c r="G737" s="119"/>
      <c r="H737" s="119"/>
      <c r="I737" s="119"/>
      <c r="J737" s="119"/>
      <c r="K737" s="639"/>
      <c r="L737" s="119"/>
      <c r="M737" s="119"/>
      <c r="N737" s="119"/>
      <c r="O737" s="640"/>
      <c r="P737" s="119"/>
    </row>
    <row r="738">
      <c r="C738" s="637"/>
      <c r="D738" s="637"/>
      <c r="E738" s="119"/>
      <c r="F738" s="119"/>
      <c r="G738" s="119"/>
      <c r="H738" s="119"/>
      <c r="I738" s="119"/>
      <c r="J738" s="119"/>
      <c r="K738" s="639"/>
      <c r="L738" s="119"/>
      <c r="M738" s="119"/>
      <c r="N738" s="119"/>
      <c r="O738" s="640"/>
      <c r="P738" s="119"/>
    </row>
    <row r="739">
      <c r="C739" s="637"/>
      <c r="D739" s="637"/>
      <c r="E739" s="119"/>
      <c r="F739" s="119"/>
      <c r="G739" s="119"/>
      <c r="H739" s="119"/>
      <c r="I739" s="119"/>
      <c r="J739" s="119"/>
      <c r="K739" s="639"/>
      <c r="L739" s="119"/>
      <c r="M739" s="119"/>
      <c r="N739" s="119"/>
      <c r="O739" s="640"/>
      <c r="P739" s="119"/>
    </row>
    <row r="740">
      <c r="C740" s="637"/>
      <c r="D740" s="637"/>
      <c r="E740" s="119"/>
      <c r="F740" s="119"/>
      <c r="G740" s="119"/>
      <c r="H740" s="119"/>
      <c r="I740" s="119"/>
      <c r="J740" s="119"/>
      <c r="K740" s="639"/>
      <c r="L740" s="119"/>
      <c r="M740" s="119"/>
      <c r="N740" s="119"/>
      <c r="O740" s="640"/>
      <c r="P740" s="119"/>
    </row>
    <row r="741">
      <c r="C741" s="637"/>
      <c r="D741" s="637"/>
      <c r="E741" s="119"/>
      <c r="F741" s="119"/>
      <c r="G741" s="119"/>
      <c r="H741" s="119"/>
      <c r="I741" s="119"/>
      <c r="J741" s="119"/>
      <c r="K741" s="639"/>
      <c r="L741" s="119"/>
      <c r="M741" s="119"/>
      <c r="N741" s="119"/>
      <c r="O741" s="640"/>
      <c r="P741" s="119"/>
    </row>
    <row r="742">
      <c r="C742" s="637"/>
      <c r="D742" s="637"/>
      <c r="E742" s="119"/>
      <c r="F742" s="119"/>
      <c r="G742" s="119"/>
      <c r="H742" s="119"/>
      <c r="I742" s="119"/>
      <c r="J742" s="119"/>
      <c r="K742" s="639"/>
      <c r="L742" s="119"/>
      <c r="M742" s="119"/>
      <c r="N742" s="119"/>
      <c r="O742" s="640"/>
      <c r="P742" s="119"/>
    </row>
    <row r="743">
      <c r="C743" s="637"/>
      <c r="D743" s="637"/>
      <c r="E743" s="119"/>
      <c r="F743" s="119"/>
      <c r="G743" s="119"/>
      <c r="H743" s="119"/>
      <c r="I743" s="119"/>
      <c r="J743" s="119"/>
      <c r="K743" s="639"/>
      <c r="L743" s="119"/>
      <c r="M743" s="119"/>
      <c r="N743" s="119"/>
      <c r="O743" s="640"/>
      <c r="P743" s="119"/>
    </row>
    <row r="744">
      <c r="C744" s="637"/>
      <c r="D744" s="637"/>
      <c r="E744" s="119"/>
      <c r="F744" s="119"/>
      <c r="G744" s="119"/>
      <c r="H744" s="119"/>
      <c r="I744" s="119"/>
      <c r="J744" s="119"/>
      <c r="K744" s="639"/>
      <c r="L744" s="119"/>
      <c r="M744" s="119"/>
      <c r="N744" s="119"/>
      <c r="O744" s="640"/>
      <c r="P744" s="119"/>
    </row>
    <row r="745">
      <c r="C745" s="637"/>
      <c r="D745" s="637"/>
      <c r="E745" s="119"/>
      <c r="F745" s="119"/>
      <c r="G745" s="119"/>
      <c r="H745" s="119"/>
      <c r="I745" s="119"/>
      <c r="J745" s="119"/>
      <c r="K745" s="639"/>
      <c r="L745" s="119"/>
      <c r="M745" s="119"/>
      <c r="N745" s="119"/>
      <c r="O745" s="640"/>
      <c r="P745" s="119"/>
    </row>
    <row r="746">
      <c r="C746" s="637"/>
      <c r="D746" s="637"/>
      <c r="E746" s="119"/>
      <c r="F746" s="119"/>
      <c r="G746" s="119"/>
      <c r="H746" s="119"/>
      <c r="I746" s="119"/>
      <c r="J746" s="119"/>
      <c r="K746" s="639"/>
      <c r="L746" s="119"/>
      <c r="M746" s="119"/>
      <c r="N746" s="119"/>
      <c r="O746" s="640"/>
      <c r="P746" s="119"/>
    </row>
    <row r="747">
      <c r="C747" s="637"/>
      <c r="D747" s="637"/>
      <c r="E747" s="119"/>
      <c r="F747" s="119"/>
      <c r="G747" s="119"/>
      <c r="H747" s="119"/>
      <c r="I747" s="119"/>
      <c r="J747" s="119"/>
      <c r="K747" s="639"/>
      <c r="L747" s="119"/>
      <c r="M747" s="119"/>
      <c r="N747" s="119"/>
      <c r="O747" s="640"/>
      <c r="P747" s="119"/>
    </row>
    <row r="748">
      <c r="C748" s="637"/>
      <c r="D748" s="637"/>
      <c r="E748" s="119"/>
      <c r="F748" s="119"/>
      <c r="G748" s="119"/>
      <c r="H748" s="119"/>
      <c r="I748" s="119"/>
      <c r="J748" s="119"/>
      <c r="K748" s="639"/>
      <c r="L748" s="119"/>
      <c r="M748" s="119"/>
      <c r="N748" s="119"/>
      <c r="O748" s="640"/>
      <c r="P748" s="119"/>
    </row>
    <row r="749">
      <c r="C749" s="637"/>
      <c r="D749" s="637"/>
      <c r="E749" s="119"/>
      <c r="F749" s="119"/>
      <c r="G749" s="119"/>
      <c r="H749" s="119"/>
      <c r="I749" s="119"/>
      <c r="J749" s="119"/>
      <c r="K749" s="639"/>
      <c r="L749" s="119"/>
      <c r="M749" s="119"/>
      <c r="N749" s="119"/>
      <c r="O749" s="640"/>
      <c r="P749" s="119"/>
    </row>
    <row r="750">
      <c r="C750" s="637"/>
      <c r="D750" s="637"/>
      <c r="E750" s="119"/>
      <c r="F750" s="119"/>
      <c r="G750" s="119"/>
      <c r="H750" s="119"/>
      <c r="I750" s="119"/>
      <c r="J750" s="119"/>
      <c r="K750" s="639"/>
      <c r="L750" s="119"/>
      <c r="M750" s="119"/>
      <c r="N750" s="119"/>
      <c r="O750" s="640"/>
      <c r="P750" s="119"/>
    </row>
    <row r="751">
      <c r="C751" s="637"/>
      <c r="D751" s="637"/>
      <c r="E751" s="119"/>
      <c r="F751" s="119"/>
      <c r="G751" s="119"/>
      <c r="H751" s="119"/>
      <c r="I751" s="119"/>
      <c r="J751" s="119"/>
      <c r="K751" s="639"/>
      <c r="L751" s="119"/>
      <c r="M751" s="119"/>
      <c r="N751" s="119"/>
      <c r="O751" s="640"/>
      <c r="P751" s="119"/>
    </row>
    <row r="752">
      <c r="C752" s="637"/>
      <c r="D752" s="637"/>
      <c r="E752" s="119"/>
      <c r="F752" s="119"/>
      <c r="G752" s="119"/>
      <c r="H752" s="119"/>
      <c r="I752" s="119"/>
      <c r="J752" s="119"/>
      <c r="K752" s="639"/>
      <c r="L752" s="119"/>
      <c r="M752" s="119"/>
      <c r="N752" s="119"/>
      <c r="O752" s="640"/>
      <c r="P752" s="119"/>
    </row>
    <row r="753">
      <c r="C753" s="637"/>
      <c r="D753" s="637"/>
      <c r="E753" s="119"/>
      <c r="F753" s="119"/>
      <c r="G753" s="119"/>
      <c r="H753" s="119"/>
      <c r="I753" s="119"/>
      <c r="J753" s="119"/>
      <c r="K753" s="639"/>
      <c r="L753" s="119"/>
      <c r="M753" s="119"/>
      <c r="N753" s="119"/>
      <c r="O753" s="640"/>
      <c r="P753" s="119"/>
    </row>
    <row r="754">
      <c r="C754" s="637"/>
      <c r="D754" s="637"/>
      <c r="E754" s="119"/>
      <c r="F754" s="119"/>
      <c r="G754" s="119"/>
      <c r="H754" s="119"/>
      <c r="I754" s="119"/>
      <c r="J754" s="119"/>
      <c r="K754" s="639"/>
      <c r="L754" s="119"/>
      <c r="M754" s="119"/>
      <c r="N754" s="119"/>
      <c r="O754" s="640"/>
      <c r="P754" s="119"/>
    </row>
    <row r="755">
      <c r="C755" s="637"/>
      <c r="D755" s="637"/>
      <c r="E755" s="119"/>
      <c r="F755" s="119"/>
      <c r="G755" s="119"/>
      <c r="H755" s="119"/>
      <c r="I755" s="119"/>
      <c r="J755" s="119"/>
      <c r="K755" s="639"/>
      <c r="L755" s="119"/>
      <c r="M755" s="119"/>
      <c r="N755" s="119"/>
      <c r="O755" s="640"/>
      <c r="P755" s="119"/>
    </row>
    <row r="756">
      <c r="C756" s="637"/>
      <c r="D756" s="637"/>
      <c r="E756" s="119"/>
      <c r="F756" s="119"/>
      <c r="G756" s="119"/>
      <c r="H756" s="119"/>
      <c r="I756" s="119"/>
      <c r="J756" s="119"/>
      <c r="K756" s="639"/>
      <c r="L756" s="119"/>
      <c r="M756" s="119"/>
      <c r="N756" s="119"/>
      <c r="O756" s="640"/>
      <c r="P756" s="119"/>
    </row>
    <row r="757">
      <c r="C757" s="637"/>
      <c r="D757" s="637"/>
      <c r="E757" s="119"/>
      <c r="F757" s="119"/>
      <c r="G757" s="119"/>
      <c r="H757" s="119"/>
      <c r="I757" s="119"/>
      <c r="J757" s="119"/>
      <c r="K757" s="639"/>
      <c r="L757" s="119"/>
      <c r="M757" s="119"/>
      <c r="N757" s="119"/>
      <c r="O757" s="640"/>
      <c r="P757" s="119"/>
    </row>
    <row r="758">
      <c r="C758" s="637"/>
      <c r="D758" s="637"/>
      <c r="E758" s="119"/>
      <c r="F758" s="119"/>
      <c r="G758" s="119"/>
      <c r="H758" s="119"/>
      <c r="I758" s="119"/>
      <c r="J758" s="119"/>
      <c r="K758" s="639"/>
      <c r="L758" s="119"/>
      <c r="M758" s="119"/>
      <c r="N758" s="119"/>
      <c r="O758" s="640"/>
      <c r="P758" s="119"/>
    </row>
    <row r="759">
      <c r="C759" s="637"/>
      <c r="D759" s="637"/>
      <c r="E759" s="119"/>
      <c r="F759" s="119"/>
      <c r="G759" s="119"/>
      <c r="H759" s="119"/>
      <c r="I759" s="119"/>
      <c r="J759" s="119"/>
      <c r="K759" s="639"/>
      <c r="L759" s="119"/>
      <c r="M759" s="119"/>
      <c r="N759" s="119"/>
      <c r="O759" s="640"/>
      <c r="P759" s="119"/>
    </row>
    <row r="760">
      <c r="C760" s="637"/>
      <c r="D760" s="637"/>
      <c r="E760" s="119"/>
      <c r="F760" s="119"/>
      <c r="G760" s="119"/>
      <c r="H760" s="119"/>
      <c r="I760" s="119"/>
      <c r="J760" s="119"/>
      <c r="K760" s="639"/>
      <c r="L760" s="119"/>
      <c r="M760" s="119"/>
      <c r="N760" s="119"/>
      <c r="O760" s="640"/>
      <c r="P760" s="119"/>
    </row>
    <row r="761">
      <c r="C761" s="637"/>
      <c r="D761" s="637"/>
      <c r="E761" s="119"/>
      <c r="F761" s="119"/>
      <c r="G761" s="119"/>
      <c r="H761" s="119"/>
      <c r="I761" s="119"/>
      <c r="J761" s="119"/>
      <c r="K761" s="639"/>
      <c r="L761" s="119"/>
      <c r="M761" s="119"/>
      <c r="N761" s="119"/>
      <c r="O761" s="640"/>
      <c r="P761" s="119"/>
    </row>
    <row r="762">
      <c r="C762" s="637"/>
      <c r="D762" s="637"/>
      <c r="E762" s="119"/>
      <c r="F762" s="119"/>
      <c r="G762" s="119"/>
      <c r="H762" s="119"/>
      <c r="I762" s="119"/>
      <c r="J762" s="119"/>
      <c r="K762" s="639"/>
      <c r="L762" s="119"/>
      <c r="M762" s="119"/>
      <c r="N762" s="119"/>
      <c r="O762" s="640"/>
      <c r="P762" s="119"/>
    </row>
    <row r="763">
      <c r="C763" s="637"/>
      <c r="D763" s="637"/>
      <c r="E763" s="119"/>
      <c r="F763" s="119"/>
      <c r="G763" s="119"/>
      <c r="H763" s="119"/>
      <c r="I763" s="119"/>
      <c r="J763" s="119"/>
      <c r="K763" s="639"/>
      <c r="L763" s="119"/>
      <c r="M763" s="119"/>
      <c r="N763" s="119"/>
      <c r="O763" s="640"/>
      <c r="P763" s="119"/>
    </row>
    <row r="764">
      <c r="C764" s="637"/>
      <c r="D764" s="637"/>
      <c r="E764" s="119"/>
      <c r="F764" s="119"/>
      <c r="G764" s="119"/>
      <c r="H764" s="119"/>
      <c r="I764" s="119"/>
      <c r="J764" s="119"/>
      <c r="K764" s="639"/>
      <c r="L764" s="119"/>
      <c r="M764" s="119"/>
      <c r="N764" s="119"/>
      <c r="O764" s="640"/>
      <c r="P764" s="119"/>
    </row>
    <row r="765">
      <c r="C765" s="637"/>
      <c r="D765" s="637"/>
      <c r="E765" s="119"/>
      <c r="F765" s="119"/>
      <c r="G765" s="119"/>
      <c r="H765" s="119"/>
      <c r="I765" s="119"/>
      <c r="J765" s="119"/>
      <c r="K765" s="639"/>
      <c r="L765" s="119"/>
      <c r="M765" s="119"/>
      <c r="N765" s="119"/>
      <c r="O765" s="640"/>
      <c r="P765" s="119"/>
    </row>
    <row r="766">
      <c r="C766" s="637"/>
      <c r="D766" s="637"/>
      <c r="E766" s="119"/>
      <c r="F766" s="119"/>
      <c r="G766" s="119"/>
      <c r="H766" s="119"/>
      <c r="I766" s="119"/>
      <c r="J766" s="119"/>
      <c r="K766" s="639"/>
      <c r="L766" s="119"/>
      <c r="M766" s="119"/>
      <c r="N766" s="119"/>
      <c r="O766" s="640"/>
      <c r="P766" s="119"/>
    </row>
    <row r="767">
      <c r="C767" s="637"/>
      <c r="D767" s="637"/>
      <c r="E767" s="119"/>
      <c r="F767" s="119"/>
      <c r="G767" s="119"/>
      <c r="H767" s="119"/>
      <c r="I767" s="119"/>
      <c r="J767" s="119"/>
      <c r="K767" s="639"/>
      <c r="L767" s="119"/>
      <c r="M767" s="119"/>
      <c r="N767" s="119"/>
      <c r="O767" s="640"/>
      <c r="P767" s="119"/>
    </row>
    <row r="768">
      <c r="C768" s="637"/>
      <c r="D768" s="637"/>
      <c r="E768" s="119"/>
      <c r="F768" s="119"/>
      <c r="G768" s="119"/>
      <c r="H768" s="119"/>
      <c r="I768" s="119"/>
      <c r="J768" s="119"/>
      <c r="K768" s="639"/>
      <c r="L768" s="119"/>
      <c r="M768" s="119"/>
      <c r="N768" s="119"/>
      <c r="O768" s="640"/>
      <c r="P768" s="119"/>
    </row>
    <row r="769">
      <c r="C769" s="637"/>
      <c r="D769" s="637"/>
      <c r="E769" s="119"/>
      <c r="F769" s="119"/>
      <c r="G769" s="119"/>
      <c r="H769" s="119"/>
      <c r="I769" s="119"/>
      <c r="J769" s="119"/>
      <c r="K769" s="639"/>
      <c r="L769" s="119"/>
      <c r="M769" s="119"/>
      <c r="N769" s="119"/>
      <c r="O769" s="640"/>
      <c r="P769" s="119"/>
    </row>
    <row r="770">
      <c r="C770" s="637"/>
      <c r="D770" s="637"/>
      <c r="E770" s="119"/>
      <c r="F770" s="119"/>
      <c r="G770" s="119"/>
      <c r="H770" s="119"/>
      <c r="I770" s="119"/>
      <c r="J770" s="119"/>
      <c r="K770" s="639"/>
      <c r="L770" s="119"/>
      <c r="M770" s="119"/>
      <c r="N770" s="119"/>
      <c r="O770" s="640"/>
      <c r="P770" s="119"/>
    </row>
    <row r="771">
      <c r="C771" s="637"/>
      <c r="D771" s="637"/>
      <c r="E771" s="119"/>
      <c r="F771" s="119"/>
      <c r="G771" s="119"/>
      <c r="H771" s="119"/>
      <c r="I771" s="119"/>
      <c r="J771" s="119"/>
      <c r="K771" s="639"/>
      <c r="L771" s="119"/>
      <c r="M771" s="119"/>
      <c r="N771" s="119"/>
      <c r="O771" s="640"/>
      <c r="P771" s="119"/>
    </row>
    <row r="772">
      <c r="C772" s="637"/>
      <c r="D772" s="637"/>
      <c r="E772" s="119"/>
      <c r="F772" s="119"/>
      <c r="G772" s="119"/>
      <c r="H772" s="119"/>
      <c r="I772" s="119"/>
      <c r="J772" s="119"/>
      <c r="K772" s="639"/>
      <c r="L772" s="119"/>
      <c r="M772" s="119"/>
      <c r="N772" s="119"/>
      <c r="O772" s="640"/>
      <c r="P772" s="119"/>
    </row>
    <row r="773">
      <c r="C773" s="637"/>
      <c r="D773" s="637"/>
      <c r="E773" s="119"/>
      <c r="F773" s="119"/>
      <c r="G773" s="119"/>
      <c r="H773" s="119"/>
      <c r="I773" s="119"/>
      <c r="J773" s="119"/>
      <c r="K773" s="639"/>
      <c r="L773" s="119"/>
      <c r="M773" s="119"/>
      <c r="N773" s="119"/>
      <c r="O773" s="640"/>
      <c r="P773" s="119"/>
    </row>
    <row r="774">
      <c r="C774" s="637"/>
      <c r="D774" s="637"/>
      <c r="E774" s="119"/>
      <c r="F774" s="119"/>
      <c r="G774" s="119"/>
      <c r="H774" s="119"/>
      <c r="I774" s="119"/>
      <c r="J774" s="119"/>
      <c r="K774" s="639"/>
      <c r="L774" s="119"/>
      <c r="M774" s="119"/>
      <c r="N774" s="119"/>
      <c r="O774" s="640"/>
      <c r="P774" s="119"/>
    </row>
    <row r="775">
      <c r="C775" s="637"/>
      <c r="D775" s="637"/>
      <c r="E775" s="119"/>
      <c r="F775" s="119"/>
      <c r="G775" s="119"/>
      <c r="H775" s="119"/>
      <c r="I775" s="119"/>
      <c r="J775" s="119"/>
      <c r="K775" s="639"/>
      <c r="L775" s="119"/>
      <c r="M775" s="119"/>
      <c r="N775" s="119"/>
      <c r="O775" s="640"/>
      <c r="P775" s="119"/>
    </row>
    <row r="776">
      <c r="C776" s="637"/>
      <c r="D776" s="637"/>
      <c r="E776" s="119"/>
      <c r="F776" s="119"/>
      <c r="G776" s="119"/>
      <c r="H776" s="119"/>
      <c r="I776" s="119"/>
      <c r="J776" s="119"/>
      <c r="K776" s="639"/>
      <c r="L776" s="119"/>
      <c r="M776" s="119"/>
      <c r="N776" s="119"/>
      <c r="O776" s="640"/>
      <c r="P776" s="119"/>
    </row>
    <row r="777">
      <c r="C777" s="637"/>
      <c r="D777" s="637"/>
      <c r="E777" s="119"/>
      <c r="F777" s="119"/>
      <c r="G777" s="119"/>
      <c r="H777" s="119"/>
      <c r="I777" s="119"/>
      <c r="J777" s="119"/>
      <c r="K777" s="639"/>
      <c r="L777" s="119"/>
      <c r="M777" s="119"/>
      <c r="N777" s="119"/>
      <c r="O777" s="640"/>
      <c r="P777" s="119"/>
    </row>
    <row r="778">
      <c r="C778" s="637"/>
      <c r="D778" s="637"/>
      <c r="E778" s="119"/>
      <c r="F778" s="119"/>
      <c r="G778" s="119"/>
      <c r="H778" s="119"/>
      <c r="I778" s="119"/>
      <c r="J778" s="119"/>
      <c r="K778" s="639"/>
      <c r="L778" s="119"/>
      <c r="M778" s="119"/>
      <c r="N778" s="119"/>
      <c r="O778" s="640"/>
      <c r="P778" s="119"/>
    </row>
    <row r="779">
      <c r="C779" s="637"/>
      <c r="D779" s="637"/>
      <c r="E779" s="119"/>
      <c r="F779" s="119"/>
      <c r="G779" s="119"/>
      <c r="H779" s="119"/>
      <c r="I779" s="119"/>
      <c r="J779" s="119"/>
      <c r="K779" s="639"/>
      <c r="L779" s="119"/>
      <c r="M779" s="119"/>
      <c r="N779" s="119"/>
      <c r="O779" s="640"/>
      <c r="P779" s="119"/>
    </row>
    <row r="780">
      <c r="C780" s="637"/>
      <c r="D780" s="637"/>
      <c r="E780" s="119"/>
      <c r="F780" s="119"/>
      <c r="G780" s="119"/>
      <c r="H780" s="119"/>
      <c r="I780" s="119"/>
      <c r="J780" s="119"/>
      <c r="K780" s="639"/>
      <c r="L780" s="119"/>
      <c r="M780" s="119"/>
      <c r="N780" s="119"/>
      <c r="O780" s="640"/>
      <c r="P780" s="119"/>
    </row>
    <row r="781">
      <c r="C781" s="637"/>
      <c r="D781" s="637"/>
      <c r="E781" s="119"/>
      <c r="F781" s="119"/>
      <c r="G781" s="119"/>
      <c r="H781" s="119"/>
      <c r="I781" s="119"/>
      <c r="J781" s="119"/>
      <c r="K781" s="639"/>
      <c r="L781" s="119"/>
      <c r="M781" s="119"/>
      <c r="N781" s="119"/>
      <c r="O781" s="640"/>
      <c r="P781" s="119"/>
    </row>
    <row r="782">
      <c r="C782" s="637"/>
      <c r="D782" s="637"/>
      <c r="E782" s="119"/>
      <c r="F782" s="119"/>
      <c r="G782" s="119"/>
      <c r="H782" s="119"/>
      <c r="I782" s="119"/>
      <c r="J782" s="119"/>
      <c r="K782" s="639"/>
      <c r="L782" s="119"/>
      <c r="M782" s="119"/>
      <c r="N782" s="119"/>
      <c r="O782" s="640"/>
      <c r="P782" s="119"/>
    </row>
    <row r="783">
      <c r="C783" s="637"/>
      <c r="D783" s="637"/>
      <c r="E783" s="119"/>
      <c r="F783" s="119"/>
      <c r="G783" s="119"/>
      <c r="H783" s="119"/>
      <c r="I783" s="119"/>
      <c r="J783" s="119"/>
      <c r="K783" s="639"/>
      <c r="L783" s="119"/>
      <c r="M783" s="119"/>
      <c r="N783" s="119"/>
      <c r="O783" s="640"/>
      <c r="P783" s="119"/>
    </row>
    <row r="784">
      <c r="C784" s="637"/>
      <c r="D784" s="637"/>
      <c r="E784" s="119"/>
      <c r="F784" s="119"/>
      <c r="G784" s="119"/>
      <c r="H784" s="119"/>
      <c r="I784" s="119"/>
      <c r="J784" s="119"/>
      <c r="K784" s="639"/>
      <c r="L784" s="119"/>
      <c r="M784" s="119"/>
      <c r="N784" s="119"/>
      <c r="O784" s="640"/>
      <c r="P784" s="119"/>
    </row>
    <row r="785">
      <c r="C785" s="637"/>
      <c r="D785" s="637"/>
      <c r="E785" s="119"/>
      <c r="F785" s="119"/>
      <c r="G785" s="119"/>
      <c r="H785" s="119"/>
      <c r="I785" s="119"/>
      <c r="J785" s="119"/>
      <c r="K785" s="639"/>
      <c r="L785" s="119"/>
      <c r="M785" s="119"/>
      <c r="N785" s="119"/>
      <c r="O785" s="640"/>
      <c r="P785" s="119"/>
    </row>
    <row r="786">
      <c r="C786" s="637"/>
      <c r="D786" s="637"/>
      <c r="E786" s="119"/>
      <c r="F786" s="119"/>
      <c r="G786" s="119"/>
      <c r="H786" s="119"/>
      <c r="I786" s="119"/>
      <c r="J786" s="119"/>
      <c r="K786" s="639"/>
      <c r="L786" s="119"/>
      <c r="M786" s="119"/>
      <c r="N786" s="119"/>
      <c r="O786" s="640"/>
      <c r="P786" s="119"/>
    </row>
    <row r="787">
      <c r="C787" s="637"/>
      <c r="D787" s="637"/>
      <c r="E787" s="119"/>
      <c r="F787" s="119"/>
      <c r="G787" s="119"/>
      <c r="H787" s="119"/>
      <c r="I787" s="119"/>
      <c r="J787" s="119"/>
      <c r="K787" s="639"/>
      <c r="L787" s="119"/>
      <c r="M787" s="119"/>
      <c r="N787" s="119"/>
      <c r="O787" s="640"/>
      <c r="P787" s="119"/>
    </row>
    <row r="788">
      <c r="C788" s="637"/>
      <c r="D788" s="637"/>
      <c r="E788" s="119"/>
      <c r="F788" s="119"/>
      <c r="G788" s="119"/>
      <c r="H788" s="119"/>
      <c r="I788" s="119"/>
      <c r="J788" s="119"/>
      <c r="K788" s="639"/>
      <c r="L788" s="119"/>
      <c r="M788" s="119"/>
      <c r="N788" s="119"/>
      <c r="O788" s="640"/>
      <c r="P788" s="119"/>
    </row>
    <row r="789">
      <c r="C789" s="637"/>
      <c r="D789" s="637"/>
      <c r="E789" s="119"/>
      <c r="F789" s="119"/>
      <c r="G789" s="119"/>
      <c r="H789" s="119"/>
      <c r="I789" s="119"/>
      <c r="J789" s="119"/>
      <c r="K789" s="639"/>
      <c r="L789" s="119"/>
      <c r="M789" s="119"/>
      <c r="N789" s="119"/>
      <c r="O789" s="640"/>
      <c r="P789" s="119"/>
    </row>
    <row r="790">
      <c r="C790" s="637"/>
      <c r="D790" s="637"/>
      <c r="E790" s="119"/>
      <c r="F790" s="119"/>
      <c r="G790" s="119"/>
      <c r="H790" s="119"/>
      <c r="I790" s="119"/>
      <c r="J790" s="119"/>
      <c r="K790" s="639"/>
      <c r="L790" s="119"/>
      <c r="M790" s="119"/>
      <c r="N790" s="119"/>
      <c r="O790" s="640"/>
      <c r="P790" s="119"/>
    </row>
    <row r="791">
      <c r="C791" s="637"/>
      <c r="D791" s="637"/>
      <c r="E791" s="119"/>
      <c r="F791" s="119"/>
      <c r="G791" s="119"/>
      <c r="H791" s="119"/>
      <c r="I791" s="119"/>
      <c r="J791" s="119"/>
      <c r="K791" s="639"/>
      <c r="L791" s="119"/>
      <c r="M791" s="119"/>
      <c r="N791" s="119"/>
      <c r="O791" s="640"/>
      <c r="P791" s="119"/>
    </row>
    <row r="792">
      <c r="C792" s="637"/>
      <c r="D792" s="637"/>
      <c r="E792" s="119"/>
      <c r="F792" s="119"/>
      <c r="G792" s="119"/>
      <c r="H792" s="119"/>
      <c r="I792" s="119"/>
      <c r="J792" s="119"/>
      <c r="K792" s="639"/>
      <c r="L792" s="119"/>
      <c r="M792" s="119"/>
      <c r="N792" s="119"/>
      <c r="O792" s="640"/>
      <c r="P792" s="119"/>
    </row>
    <row r="793">
      <c r="C793" s="637"/>
      <c r="D793" s="637"/>
      <c r="E793" s="119"/>
      <c r="F793" s="119"/>
      <c r="G793" s="119"/>
      <c r="H793" s="119"/>
      <c r="I793" s="119"/>
      <c r="J793" s="119"/>
      <c r="K793" s="639"/>
      <c r="L793" s="119"/>
      <c r="M793" s="119"/>
      <c r="N793" s="119"/>
      <c r="O793" s="640"/>
      <c r="P793" s="119"/>
    </row>
    <row r="794">
      <c r="C794" s="637"/>
      <c r="D794" s="637"/>
      <c r="E794" s="119"/>
      <c r="F794" s="119"/>
      <c r="G794" s="119"/>
      <c r="H794" s="119"/>
      <c r="I794" s="119"/>
      <c r="J794" s="119"/>
      <c r="K794" s="639"/>
      <c r="L794" s="119"/>
      <c r="M794" s="119"/>
      <c r="N794" s="119"/>
      <c r="O794" s="640"/>
      <c r="P794" s="119"/>
    </row>
    <row r="795">
      <c r="C795" s="637"/>
      <c r="D795" s="637"/>
      <c r="E795" s="119"/>
      <c r="F795" s="119"/>
      <c r="G795" s="119"/>
      <c r="H795" s="119"/>
      <c r="I795" s="119"/>
      <c r="J795" s="119"/>
      <c r="K795" s="639"/>
      <c r="L795" s="119"/>
      <c r="M795" s="119"/>
      <c r="N795" s="119"/>
      <c r="O795" s="640"/>
      <c r="P795" s="119"/>
    </row>
    <row r="796">
      <c r="C796" s="637"/>
      <c r="D796" s="637"/>
      <c r="E796" s="119"/>
      <c r="F796" s="119"/>
      <c r="G796" s="119"/>
      <c r="H796" s="119"/>
      <c r="I796" s="119"/>
      <c r="J796" s="119"/>
      <c r="K796" s="639"/>
      <c r="L796" s="119"/>
      <c r="M796" s="119"/>
      <c r="N796" s="119"/>
      <c r="O796" s="640"/>
      <c r="P796" s="119"/>
    </row>
    <row r="797">
      <c r="C797" s="637"/>
      <c r="D797" s="637"/>
      <c r="E797" s="119"/>
      <c r="F797" s="119"/>
      <c r="G797" s="119"/>
      <c r="H797" s="119"/>
      <c r="I797" s="119"/>
      <c r="J797" s="119"/>
      <c r="K797" s="639"/>
      <c r="L797" s="119"/>
      <c r="M797" s="119"/>
      <c r="N797" s="119"/>
      <c r="O797" s="640"/>
      <c r="P797" s="119"/>
    </row>
    <row r="798">
      <c r="C798" s="637"/>
      <c r="D798" s="637"/>
      <c r="E798" s="119"/>
      <c r="F798" s="119"/>
      <c r="G798" s="119"/>
      <c r="H798" s="119"/>
      <c r="I798" s="119"/>
      <c r="J798" s="119"/>
      <c r="K798" s="639"/>
      <c r="L798" s="119"/>
      <c r="M798" s="119"/>
      <c r="N798" s="119"/>
      <c r="O798" s="640"/>
      <c r="P798" s="119"/>
    </row>
    <row r="799">
      <c r="C799" s="637"/>
      <c r="D799" s="637"/>
      <c r="E799" s="119"/>
      <c r="F799" s="119"/>
      <c r="G799" s="119"/>
      <c r="H799" s="119"/>
      <c r="I799" s="119"/>
      <c r="J799" s="119"/>
      <c r="K799" s="639"/>
      <c r="L799" s="119"/>
      <c r="M799" s="119"/>
      <c r="N799" s="119"/>
      <c r="O799" s="640"/>
      <c r="P799" s="119"/>
    </row>
    <row r="800">
      <c r="C800" s="637"/>
      <c r="D800" s="637"/>
      <c r="E800" s="119"/>
      <c r="F800" s="119"/>
      <c r="G800" s="119"/>
      <c r="H800" s="119"/>
      <c r="I800" s="119"/>
      <c r="J800" s="119"/>
      <c r="K800" s="639"/>
      <c r="L800" s="119"/>
      <c r="M800" s="119"/>
      <c r="N800" s="119"/>
      <c r="O800" s="640"/>
      <c r="P800" s="119"/>
    </row>
    <row r="801">
      <c r="C801" s="637"/>
      <c r="D801" s="637"/>
      <c r="E801" s="119"/>
      <c r="F801" s="119"/>
      <c r="G801" s="119"/>
      <c r="H801" s="119"/>
      <c r="I801" s="119"/>
      <c r="J801" s="119"/>
      <c r="K801" s="639"/>
      <c r="L801" s="119"/>
      <c r="M801" s="119"/>
      <c r="N801" s="119"/>
      <c r="O801" s="640"/>
      <c r="P801" s="119"/>
    </row>
    <row r="802">
      <c r="C802" s="637"/>
      <c r="D802" s="637"/>
      <c r="E802" s="119"/>
      <c r="F802" s="119"/>
      <c r="G802" s="119"/>
      <c r="H802" s="119"/>
      <c r="I802" s="119"/>
      <c r="J802" s="119"/>
      <c r="K802" s="639"/>
      <c r="L802" s="119"/>
      <c r="M802" s="119"/>
      <c r="N802" s="119"/>
      <c r="O802" s="640"/>
      <c r="P802" s="119"/>
    </row>
    <row r="803">
      <c r="C803" s="637"/>
      <c r="D803" s="637"/>
      <c r="E803" s="119"/>
      <c r="F803" s="119"/>
      <c r="G803" s="119"/>
      <c r="H803" s="119"/>
      <c r="I803" s="119"/>
      <c r="J803" s="119"/>
      <c r="K803" s="639"/>
      <c r="L803" s="119"/>
      <c r="M803" s="119"/>
      <c r="N803" s="119"/>
      <c r="O803" s="640"/>
      <c r="P803" s="119"/>
    </row>
    <row r="804">
      <c r="C804" s="637"/>
      <c r="D804" s="637"/>
      <c r="E804" s="119"/>
      <c r="F804" s="119"/>
      <c r="G804" s="119"/>
      <c r="H804" s="119"/>
      <c r="I804" s="119"/>
      <c r="J804" s="119"/>
      <c r="K804" s="639"/>
      <c r="L804" s="119"/>
      <c r="M804" s="119"/>
      <c r="N804" s="119"/>
      <c r="O804" s="640"/>
      <c r="P804" s="119"/>
    </row>
    <row r="805">
      <c r="C805" s="637"/>
      <c r="D805" s="637"/>
      <c r="E805" s="119"/>
      <c r="F805" s="119"/>
      <c r="G805" s="119"/>
      <c r="H805" s="119"/>
      <c r="I805" s="119"/>
      <c r="J805" s="119"/>
      <c r="K805" s="639"/>
      <c r="L805" s="119"/>
      <c r="M805" s="119"/>
      <c r="N805" s="119"/>
      <c r="O805" s="640"/>
      <c r="P805" s="119"/>
    </row>
    <row r="806">
      <c r="C806" s="637"/>
      <c r="D806" s="637"/>
      <c r="E806" s="119"/>
      <c r="F806" s="119"/>
      <c r="G806" s="119"/>
      <c r="H806" s="119"/>
      <c r="I806" s="119"/>
      <c r="J806" s="119"/>
      <c r="K806" s="639"/>
      <c r="L806" s="119"/>
      <c r="M806" s="119"/>
      <c r="N806" s="119"/>
      <c r="O806" s="640"/>
      <c r="P806" s="119"/>
    </row>
    <row r="807">
      <c r="C807" s="637"/>
      <c r="D807" s="637"/>
      <c r="E807" s="119"/>
      <c r="F807" s="119"/>
      <c r="G807" s="119"/>
      <c r="H807" s="119"/>
      <c r="I807" s="119"/>
      <c r="J807" s="119"/>
      <c r="K807" s="639"/>
      <c r="L807" s="119"/>
      <c r="M807" s="119"/>
      <c r="N807" s="119"/>
      <c r="O807" s="640"/>
      <c r="P807" s="119"/>
    </row>
    <row r="808">
      <c r="C808" s="637"/>
      <c r="D808" s="637"/>
      <c r="E808" s="119"/>
      <c r="F808" s="119"/>
      <c r="G808" s="119"/>
      <c r="H808" s="119"/>
      <c r="I808" s="119"/>
      <c r="J808" s="119"/>
      <c r="K808" s="639"/>
      <c r="L808" s="119"/>
      <c r="M808" s="119"/>
      <c r="N808" s="119"/>
      <c r="O808" s="640"/>
      <c r="P808" s="119"/>
    </row>
    <row r="809">
      <c r="C809" s="637"/>
      <c r="D809" s="637"/>
      <c r="E809" s="119"/>
      <c r="F809" s="119"/>
      <c r="G809" s="119"/>
      <c r="H809" s="119"/>
      <c r="I809" s="119"/>
      <c r="J809" s="119"/>
      <c r="K809" s="639"/>
      <c r="L809" s="119"/>
      <c r="M809" s="119"/>
      <c r="N809" s="119"/>
      <c r="O809" s="640"/>
      <c r="P809" s="119"/>
    </row>
    <row r="810">
      <c r="C810" s="637"/>
      <c r="D810" s="637"/>
      <c r="E810" s="119"/>
      <c r="F810" s="119"/>
      <c r="G810" s="119"/>
      <c r="H810" s="119"/>
      <c r="I810" s="119"/>
      <c r="J810" s="119"/>
      <c r="K810" s="639"/>
      <c r="L810" s="119"/>
      <c r="M810" s="119"/>
      <c r="N810" s="119"/>
      <c r="O810" s="640"/>
      <c r="P810" s="119"/>
    </row>
    <row r="811">
      <c r="C811" s="637"/>
      <c r="D811" s="637"/>
      <c r="E811" s="119"/>
      <c r="F811" s="119"/>
      <c r="G811" s="119"/>
      <c r="H811" s="119"/>
      <c r="I811" s="119"/>
      <c r="J811" s="119"/>
      <c r="K811" s="639"/>
      <c r="L811" s="119"/>
      <c r="M811" s="119"/>
      <c r="N811" s="119"/>
      <c r="O811" s="640"/>
      <c r="P811" s="119"/>
    </row>
    <row r="812">
      <c r="C812" s="637"/>
      <c r="D812" s="637"/>
      <c r="E812" s="119"/>
      <c r="F812" s="119"/>
      <c r="G812" s="119"/>
      <c r="H812" s="119"/>
      <c r="I812" s="119"/>
      <c r="J812" s="119"/>
      <c r="K812" s="639"/>
      <c r="L812" s="119"/>
      <c r="M812" s="119"/>
      <c r="N812" s="119"/>
      <c r="O812" s="640"/>
      <c r="P812" s="119"/>
    </row>
    <row r="813">
      <c r="C813" s="637"/>
      <c r="D813" s="637"/>
      <c r="E813" s="119"/>
      <c r="F813" s="119"/>
      <c r="G813" s="119"/>
      <c r="H813" s="119"/>
      <c r="I813" s="119"/>
      <c r="J813" s="119"/>
      <c r="K813" s="639"/>
      <c r="L813" s="119"/>
      <c r="M813" s="119"/>
      <c r="N813" s="119"/>
      <c r="O813" s="640"/>
      <c r="P813" s="119"/>
    </row>
    <row r="814">
      <c r="C814" s="637"/>
      <c r="D814" s="637"/>
      <c r="E814" s="119"/>
      <c r="F814" s="119"/>
      <c r="G814" s="119"/>
      <c r="H814" s="119"/>
      <c r="I814" s="119"/>
      <c r="J814" s="119"/>
      <c r="K814" s="639"/>
      <c r="L814" s="119"/>
      <c r="M814" s="119"/>
      <c r="N814" s="119"/>
      <c r="O814" s="640"/>
      <c r="P814" s="119"/>
    </row>
    <row r="815">
      <c r="C815" s="637"/>
      <c r="D815" s="637"/>
      <c r="E815" s="119"/>
      <c r="F815" s="119"/>
      <c r="G815" s="119"/>
      <c r="H815" s="119"/>
      <c r="I815" s="119"/>
      <c r="J815" s="119"/>
      <c r="K815" s="639"/>
      <c r="L815" s="119"/>
      <c r="M815" s="119"/>
      <c r="N815" s="119"/>
      <c r="O815" s="640"/>
      <c r="P815" s="119"/>
    </row>
    <row r="816">
      <c r="C816" s="637"/>
      <c r="D816" s="637"/>
      <c r="E816" s="119"/>
      <c r="F816" s="119"/>
      <c r="G816" s="119"/>
      <c r="H816" s="119"/>
      <c r="I816" s="119"/>
      <c r="J816" s="119"/>
      <c r="K816" s="639"/>
      <c r="L816" s="119"/>
      <c r="M816" s="119"/>
      <c r="N816" s="119"/>
      <c r="O816" s="640"/>
      <c r="P816" s="119"/>
    </row>
    <row r="817">
      <c r="C817" s="637"/>
      <c r="D817" s="637"/>
      <c r="E817" s="119"/>
      <c r="F817" s="119"/>
      <c r="G817" s="119"/>
      <c r="H817" s="119"/>
      <c r="I817" s="119"/>
      <c r="J817" s="119"/>
      <c r="K817" s="639"/>
      <c r="L817" s="119"/>
      <c r="M817" s="119"/>
      <c r="N817" s="119"/>
      <c r="O817" s="640"/>
      <c r="P817" s="119"/>
    </row>
    <row r="818">
      <c r="C818" s="637"/>
      <c r="D818" s="637"/>
      <c r="E818" s="119"/>
      <c r="F818" s="119"/>
      <c r="G818" s="119"/>
      <c r="H818" s="119"/>
      <c r="I818" s="119"/>
      <c r="J818" s="119"/>
      <c r="K818" s="639"/>
      <c r="L818" s="119"/>
      <c r="M818" s="119"/>
      <c r="N818" s="119"/>
      <c r="O818" s="640"/>
      <c r="P818" s="119"/>
    </row>
    <row r="819">
      <c r="C819" s="637"/>
      <c r="D819" s="637"/>
      <c r="E819" s="119"/>
      <c r="F819" s="119"/>
      <c r="G819" s="119"/>
      <c r="H819" s="119"/>
      <c r="I819" s="119"/>
      <c r="J819" s="119"/>
      <c r="K819" s="639"/>
      <c r="L819" s="119"/>
      <c r="M819" s="119"/>
      <c r="N819" s="119"/>
      <c r="O819" s="640"/>
      <c r="P819" s="119"/>
    </row>
    <row r="820">
      <c r="C820" s="637"/>
      <c r="D820" s="637"/>
      <c r="E820" s="119"/>
      <c r="F820" s="119"/>
      <c r="G820" s="119"/>
      <c r="H820" s="119"/>
      <c r="I820" s="119"/>
      <c r="J820" s="119"/>
      <c r="K820" s="639"/>
      <c r="L820" s="119"/>
      <c r="M820" s="119"/>
      <c r="N820" s="119"/>
      <c r="O820" s="640"/>
      <c r="P820" s="119"/>
    </row>
    <row r="821">
      <c r="C821" s="637"/>
      <c r="D821" s="637"/>
      <c r="E821" s="119"/>
      <c r="F821" s="119"/>
      <c r="G821" s="119"/>
      <c r="H821" s="119"/>
      <c r="I821" s="119"/>
      <c r="J821" s="119"/>
      <c r="K821" s="639"/>
      <c r="L821" s="119"/>
      <c r="M821" s="119"/>
      <c r="N821" s="119"/>
      <c r="O821" s="640"/>
      <c r="P821" s="119"/>
    </row>
    <row r="822">
      <c r="C822" s="637"/>
      <c r="D822" s="637"/>
      <c r="E822" s="119"/>
      <c r="F822" s="119"/>
      <c r="G822" s="119"/>
      <c r="H822" s="119"/>
      <c r="I822" s="119"/>
      <c r="J822" s="119"/>
      <c r="K822" s="639"/>
      <c r="L822" s="119"/>
      <c r="M822" s="119"/>
      <c r="N822" s="119"/>
      <c r="O822" s="640"/>
      <c r="P822" s="119"/>
    </row>
    <row r="823">
      <c r="C823" s="637"/>
      <c r="D823" s="637"/>
      <c r="E823" s="119"/>
      <c r="F823" s="119"/>
      <c r="G823" s="119"/>
      <c r="H823" s="119"/>
      <c r="I823" s="119"/>
      <c r="J823" s="119"/>
      <c r="K823" s="639"/>
      <c r="L823" s="119"/>
      <c r="M823" s="119"/>
      <c r="N823" s="119"/>
      <c r="O823" s="640"/>
      <c r="P823" s="119"/>
    </row>
    <row r="824">
      <c r="C824" s="637"/>
      <c r="D824" s="637"/>
      <c r="E824" s="119"/>
      <c r="F824" s="119"/>
      <c r="G824" s="119"/>
      <c r="H824" s="119"/>
      <c r="I824" s="119"/>
      <c r="J824" s="119"/>
      <c r="K824" s="639"/>
      <c r="L824" s="119"/>
      <c r="M824" s="119"/>
      <c r="N824" s="119"/>
      <c r="O824" s="640"/>
      <c r="P824" s="119"/>
    </row>
    <row r="825">
      <c r="C825" s="637"/>
      <c r="D825" s="637"/>
      <c r="E825" s="119"/>
      <c r="F825" s="119"/>
      <c r="G825" s="119"/>
      <c r="H825" s="119"/>
      <c r="I825" s="119"/>
      <c r="J825" s="119"/>
      <c r="K825" s="639"/>
      <c r="L825" s="119"/>
      <c r="M825" s="119"/>
      <c r="N825" s="119"/>
      <c r="O825" s="640"/>
      <c r="P825" s="119"/>
    </row>
    <row r="826">
      <c r="C826" s="637"/>
      <c r="D826" s="637"/>
      <c r="E826" s="119"/>
      <c r="F826" s="119"/>
      <c r="G826" s="119"/>
      <c r="H826" s="119"/>
      <c r="I826" s="119"/>
      <c r="J826" s="119"/>
      <c r="K826" s="639"/>
      <c r="L826" s="119"/>
      <c r="M826" s="119"/>
      <c r="N826" s="119"/>
      <c r="O826" s="640"/>
      <c r="P826" s="119"/>
    </row>
    <row r="827">
      <c r="C827" s="637"/>
      <c r="D827" s="637"/>
      <c r="E827" s="119"/>
      <c r="F827" s="119"/>
      <c r="G827" s="119"/>
      <c r="H827" s="119"/>
      <c r="I827" s="119"/>
      <c r="J827" s="119"/>
      <c r="K827" s="639"/>
      <c r="L827" s="119"/>
      <c r="M827" s="119"/>
      <c r="N827" s="119"/>
      <c r="O827" s="640"/>
      <c r="P827" s="119"/>
    </row>
    <row r="828">
      <c r="C828" s="637"/>
      <c r="D828" s="637"/>
      <c r="E828" s="119"/>
      <c r="F828" s="119"/>
      <c r="G828" s="119"/>
      <c r="H828" s="119"/>
      <c r="I828" s="119"/>
      <c r="J828" s="119"/>
      <c r="K828" s="639"/>
      <c r="L828" s="119"/>
      <c r="M828" s="119"/>
      <c r="N828" s="119"/>
      <c r="O828" s="640"/>
      <c r="P828" s="119"/>
    </row>
    <row r="829">
      <c r="C829" s="637"/>
      <c r="D829" s="637"/>
      <c r="E829" s="119"/>
      <c r="F829" s="119"/>
      <c r="G829" s="119"/>
      <c r="H829" s="119"/>
      <c r="I829" s="119"/>
      <c r="J829" s="119"/>
      <c r="K829" s="639"/>
      <c r="L829" s="119"/>
      <c r="M829" s="119"/>
      <c r="N829" s="119"/>
      <c r="O829" s="640"/>
      <c r="P829" s="119"/>
    </row>
    <row r="830">
      <c r="C830" s="637"/>
      <c r="D830" s="637"/>
      <c r="E830" s="119"/>
      <c r="F830" s="119"/>
      <c r="G830" s="119"/>
      <c r="H830" s="119"/>
      <c r="I830" s="119"/>
      <c r="J830" s="119"/>
      <c r="K830" s="639"/>
      <c r="L830" s="119"/>
      <c r="M830" s="119"/>
      <c r="N830" s="119"/>
      <c r="O830" s="640"/>
      <c r="P830" s="119"/>
    </row>
    <row r="831">
      <c r="C831" s="637"/>
      <c r="D831" s="637"/>
      <c r="E831" s="119"/>
      <c r="F831" s="119"/>
      <c r="G831" s="119"/>
      <c r="H831" s="119"/>
      <c r="I831" s="119"/>
      <c r="J831" s="119"/>
      <c r="K831" s="639"/>
      <c r="L831" s="119"/>
      <c r="M831" s="119"/>
      <c r="N831" s="119"/>
      <c r="O831" s="640"/>
      <c r="P831" s="119"/>
    </row>
    <row r="832">
      <c r="C832" s="637"/>
      <c r="D832" s="637"/>
      <c r="E832" s="119"/>
      <c r="F832" s="119"/>
      <c r="G832" s="119"/>
      <c r="H832" s="119"/>
      <c r="I832" s="119"/>
      <c r="J832" s="119"/>
      <c r="K832" s="639"/>
      <c r="L832" s="119"/>
      <c r="M832" s="119"/>
      <c r="N832" s="119"/>
      <c r="O832" s="640"/>
      <c r="P832" s="119"/>
    </row>
    <row r="833">
      <c r="C833" s="637"/>
      <c r="D833" s="637"/>
      <c r="E833" s="119"/>
      <c r="F833" s="119"/>
      <c r="G833" s="119"/>
      <c r="H833" s="119"/>
      <c r="I833" s="119"/>
      <c r="J833" s="119"/>
      <c r="K833" s="639"/>
      <c r="L833" s="119"/>
      <c r="M833" s="119"/>
      <c r="N833" s="119"/>
      <c r="O833" s="640"/>
      <c r="P833" s="119"/>
    </row>
    <row r="834">
      <c r="C834" s="637"/>
      <c r="D834" s="637"/>
      <c r="E834" s="119"/>
      <c r="F834" s="119"/>
      <c r="G834" s="119"/>
      <c r="H834" s="119"/>
      <c r="I834" s="119"/>
      <c r="J834" s="119"/>
      <c r="K834" s="639"/>
      <c r="L834" s="119"/>
      <c r="M834" s="119"/>
      <c r="N834" s="119"/>
      <c r="O834" s="640"/>
      <c r="P834" s="119"/>
    </row>
    <row r="835">
      <c r="C835" s="637"/>
      <c r="D835" s="637"/>
      <c r="E835" s="119"/>
      <c r="F835" s="119"/>
      <c r="G835" s="119"/>
      <c r="H835" s="119"/>
      <c r="I835" s="119"/>
      <c r="J835" s="119"/>
      <c r="K835" s="639"/>
      <c r="L835" s="119"/>
      <c r="M835" s="119"/>
      <c r="N835" s="119"/>
      <c r="O835" s="640"/>
      <c r="P835" s="119"/>
    </row>
    <row r="836">
      <c r="C836" s="637"/>
      <c r="D836" s="637"/>
      <c r="E836" s="119"/>
      <c r="F836" s="119"/>
      <c r="G836" s="119"/>
      <c r="H836" s="119"/>
      <c r="I836" s="119"/>
      <c r="J836" s="119"/>
      <c r="K836" s="639"/>
      <c r="L836" s="119"/>
      <c r="M836" s="119"/>
      <c r="N836" s="119"/>
      <c r="O836" s="640"/>
      <c r="P836" s="119"/>
    </row>
    <row r="837">
      <c r="C837" s="637"/>
      <c r="D837" s="637"/>
      <c r="E837" s="119"/>
      <c r="F837" s="119"/>
      <c r="G837" s="119"/>
      <c r="H837" s="119"/>
      <c r="I837" s="119"/>
      <c r="J837" s="119"/>
      <c r="K837" s="639"/>
      <c r="L837" s="119"/>
      <c r="M837" s="119"/>
      <c r="N837" s="119"/>
      <c r="O837" s="640"/>
      <c r="P837" s="119"/>
    </row>
    <row r="838">
      <c r="C838" s="637"/>
      <c r="D838" s="637"/>
      <c r="E838" s="119"/>
      <c r="F838" s="119"/>
      <c r="G838" s="119"/>
      <c r="H838" s="119"/>
      <c r="I838" s="119"/>
      <c r="J838" s="119"/>
      <c r="K838" s="639"/>
      <c r="L838" s="119"/>
      <c r="M838" s="119"/>
      <c r="N838" s="119"/>
      <c r="O838" s="640"/>
      <c r="P838" s="119"/>
    </row>
    <row r="839">
      <c r="C839" s="637"/>
      <c r="D839" s="637"/>
      <c r="E839" s="119"/>
      <c r="F839" s="119"/>
      <c r="G839" s="119"/>
      <c r="H839" s="119"/>
      <c r="I839" s="119"/>
      <c r="J839" s="119"/>
      <c r="K839" s="639"/>
      <c r="L839" s="119"/>
      <c r="M839" s="119"/>
      <c r="N839" s="119"/>
      <c r="O839" s="640"/>
      <c r="P839" s="119"/>
    </row>
    <row r="840">
      <c r="C840" s="637"/>
      <c r="D840" s="637"/>
      <c r="E840" s="119"/>
      <c r="F840" s="119"/>
      <c r="G840" s="119"/>
      <c r="H840" s="119"/>
      <c r="I840" s="119"/>
      <c r="J840" s="119"/>
      <c r="K840" s="639"/>
      <c r="L840" s="119"/>
      <c r="M840" s="119"/>
      <c r="N840" s="119"/>
      <c r="O840" s="640"/>
      <c r="P840" s="119"/>
    </row>
    <row r="841">
      <c r="C841" s="637"/>
      <c r="D841" s="637"/>
      <c r="E841" s="119"/>
      <c r="F841" s="119"/>
      <c r="G841" s="119"/>
      <c r="H841" s="119"/>
      <c r="I841" s="119"/>
      <c r="J841" s="119"/>
      <c r="K841" s="639"/>
      <c r="L841" s="119"/>
      <c r="M841" s="119"/>
      <c r="N841" s="119"/>
      <c r="O841" s="640"/>
      <c r="P841" s="119"/>
    </row>
    <row r="842">
      <c r="C842" s="637"/>
      <c r="D842" s="637"/>
      <c r="E842" s="119"/>
      <c r="F842" s="119"/>
      <c r="G842" s="119"/>
      <c r="H842" s="119"/>
      <c r="I842" s="119"/>
      <c r="J842" s="119"/>
      <c r="K842" s="639"/>
      <c r="L842" s="119"/>
      <c r="M842" s="119"/>
      <c r="N842" s="119"/>
      <c r="O842" s="640"/>
      <c r="P842" s="119"/>
    </row>
    <row r="843">
      <c r="C843" s="637"/>
      <c r="D843" s="637"/>
      <c r="E843" s="119"/>
      <c r="F843" s="119"/>
      <c r="G843" s="119"/>
      <c r="H843" s="119"/>
      <c r="I843" s="119"/>
      <c r="J843" s="119"/>
      <c r="K843" s="639"/>
      <c r="L843" s="119"/>
      <c r="M843" s="119"/>
      <c r="N843" s="119"/>
      <c r="O843" s="640"/>
      <c r="P843" s="119"/>
    </row>
    <row r="844">
      <c r="C844" s="637"/>
      <c r="D844" s="637"/>
      <c r="E844" s="119"/>
      <c r="F844" s="119"/>
      <c r="G844" s="119"/>
      <c r="H844" s="119"/>
      <c r="I844" s="119"/>
      <c r="J844" s="119"/>
      <c r="K844" s="639"/>
      <c r="L844" s="119"/>
      <c r="M844" s="119"/>
      <c r="N844" s="119"/>
      <c r="O844" s="640"/>
      <c r="P844" s="119"/>
    </row>
    <row r="845">
      <c r="C845" s="637"/>
      <c r="D845" s="637"/>
      <c r="E845" s="119"/>
      <c r="F845" s="119"/>
      <c r="G845" s="119"/>
      <c r="H845" s="119"/>
      <c r="I845" s="119"/>
      <c r="J845" s="119"/>
      <c r="K845" s="639"/>
      <c r="L845" s="119"/>
      <c r="M845" s="119"/>
      <c r="N845" s="119"/>
      <c r="O845" s="640"/>
      <c r="P845" s="119"/>
    </row>
    <row r="846">
      <c r="C846" s="637"/>
      <c r="D846" s="637"/>
      <c r="E846" s="119"/>
      <c r="F846" s="119"/>
      <c r="G846" s="119"/>
      <c r="H846" s="119"/>
      <c r="I846" s="119"/>
      <c r="J846" s="119"/>
      <c r="K846" s="639"/>
      <c r="L846" s="119"/>
      <c r="M846" s="119"/>
      <c r="N846" s="119"/>
      <c r="O846" s="640"/>
      <c r="P846" s="119"/>
    </row>
    <row r="847">
      <c r="C847" s="637"/>
      <c r="D847" s="637"/>
      <c r="E847" s="119"/>
      <c r="F847" s="119"/>
      <c r="G847" s="119"/>
      <c r="H847" s="119"/>
      <c r="I847" s="119"/>
      <c r="J847" s="119"/>
      <c r="K847" s="639"/>
      <c r="L847" s="119"/>
      <c r="M847" s="119"/>
      <c r="N847" s="119"/>
      <c r="O847" s="640"/>
      <c r="P847" s="119"/>
    </row>
    <row r="848">
      <c r="C848" s="637"/>
      <c r="D848" s="637"/>
      <c r="E848" s="119"/>
      <c r="F848" s="119"/>
      <c r="G848" s="119"/>
      <c r="H848" s="119"/>
      <c r="I848" s="119"/>
      <c r="J848" s="119"/>
      <c r="K848" s="639"/>
      <c r="L848" s="119"/>
      <c r="M848" s="119"/>
      <c r="N848" s="119"/>
      <c r="O848" s="640"/>
      <c r="P848" s="119"/>
    </row>
    <row r="849">
      <c r="C849" s="637"/>
      <c r="D849" s="637"/>
      <c r="E849" s="119"/>
      <c r="F849" s="119"/>
      <c r="G849" s="119"/>
      <c r="H849" s="119"/>
      <c r="I849" s="119"/>
      <c r="J849" s="119"/>
      <c r="K849" s="639"/>
      <c r="L849" s="119"/>
      <c r="M849" s="119"/>
      <c r="N849" s="119"/>
      <c r="O849" s="640"/>
      <c r="P849" s="119"/>
    </row>
    <row r="850">
      <c r="C850" s="637"/>
      <c r="D850" s="637"/>
      <c r="E850" s="119"/>
      <c r="F850" s="119"/>
      <c r="G850" s="119"/>
      <c r="H850" s="119"/>
      <c r="I850" s="119"/>
      <c r="J850" s="119"/>
      <c r="K850" s="639"/>
      <c r="L850" s="119"/>
      <c r="M850" s="119"/>
      <c r="N850" s="119"/>
      <c r="O850" s="640"/>
      <c r="P850" s="119"/>
    </row>
    <row r="851">
      <c r="C851" s="637"/>
      <c r="D851" s="637"/>
      <c r="E851" s="119"/>
      <c r="F851" s="119"/>
      <c r="G851" s="119"/>
      <c r="H851" s="119"/>
      <c r="I851" s="119"/>
      <c r="J851" s="119"/>
      <c r="K851" s="639"/>
      <c r="L851" s="119"/>
      <c r="M851" s="119"/>
      <c r="N851" s="119"/>
      <c r="O851" s="640"/>
      <c r="P851" s="119"/>
    </row>
    <row r="852">
      <c r="C852" s="637"/>
      <c r="D852" s="637"/>
      <c r="E852" s="119"/>
      <c r="F852" s="119"/>
      <c r="G852" s="119"/>
      <c r="H852" s="119"/>
      <c r="I852" s="119"/>
      <c r="J852" s="119"/>
      <c r="K852" s="639"/>
      <c r="L852" s="119"/>
      <c r="M852" s="119"/>
      <c r="N852" s="119"/>
      <c r="O852" s="640"/>
      <c r="P852" s="119"/>
    </row>
    <row r="853">
      <c r="C853" s="637"/>
      <c r="D853" s="637"/>
      <c r="E853" s="119"/>
      <c r="F853" s="119"/>
      <c r="G853" s="119"/>
      <c r="H853" s="119"/>
      <c r="I853" s="119"/>
      <c r="J853" s="119"/>
      <c r="K853" s="639"/>
      <c r="L853" s="119"/>
      <c r="M853" s="119"/>
      <c r="N853" s="119"/>
      <c r="O853" s="640"/>
      <c r="P853" s="119"/>
    </row>
    <row r="854">
      <c r="C854" s="637"/>
      <c r="D854" s="637"/>
      <c r="E854" s="119"/>
      <c r="F854" s="119"/>
      <c r="G854" s="119"/>
      <c r="H854" s="119"/>
      <c r="I854" s="119"/>
      <c r="J854" s="119"/>
      <c r="K854" s="639"/>
      <c r="L854" s="119"/>
      <c r="M854" s="119"/>
      <c r="N854" s="119"/>
      <c r="O854" s="640"/>
      <c r="P854" s="119"/>
    </row>
    <row r="855">
      <c r="C855" s="637"/>
      <c r="D855" s="637"/>
      <c r="E855" s="119"/>
      <c r="F855" s="119"/>
      <c r="G855" s="119"/>
      <c r="H855" s="119"/>
      <c r="I855" s="119"/>
      <c r="J855" s="119"/>
      <c r="K855" s="639"/>
      <c r="L855" s="119"/>
      <c r="M855" s="119"/>
      <c r="N855" s="119"/>
      <c r="O855" s="640"/>
      <c r="P855" s="119"/>
    </row>
    <row r="856">
      <c r="C856" s="637"/>
      <c r="D856" s="637"/>
      <c r="E856" s="119"/>
      <c r="F856" s="119"/>
      <c r="G856" s="119"/>
      <c r="H856" s="119"/>
      <c r="I856" s="119"/>
      <c r="J856" s="119"/>
      <c r="K856" s="639"/>
      <c r="L856" s="119"/>
      <c r="M856" s="119"/>
      <c r="N856" s="119"/>
      <c r="O856" s="640"/>
      <c r="P856" s="119"/>
    </row>
    <row r="857">
      <c r="C857" s="637"/>
      <c r="D857" s="637"/>
      <c r="E857" s="119"/>
      <c r="F857" s="119"/>
      <c r="G857" s="119"/>
      <c r="H857" s="119"/>
      <c r="I857" s="119"/>
      <c r="J857" s="119"/>
      <c r="K857" s="639"/>
      <c r="L857" s="119"/>
      <c r="M857" s="119"/>
      <c r="N857" s="119"/>
      <c r="O857" s="640"/>
      <c r="P857" s="119"/>
    </row>
    <row r="858">
      <c r="C858" s="637"/>
      <c r="D858" s="637"/>
      <c r="E858" s="119"/>
      <c r="F858" s="119"/>
      <c r="G858" s="119"/>
      <c r="H858" s="119"/>
      <c r="I858" s="119"/>
      <c r="J858" s="119"/>
      <c r="K858" s="639"/>
      <c r="L858" s="119"/>
      <c r="M858" s="119"/>
      <c r="N858" s="119"/>
      <c r="O858" s="640"/>
      <c r="P858" s="119"/>
    </row>
    <row r="859">
      <c r="C859" s="637"/>
      <c r="D859" s="637"/>
      <c r="E859" s="119"/>
      <c r="F859" s="119"/>
      <c r="G859" s="119"/>
      <c r="H859" s="119"/>
      <c r="I859" s="119"/>
      <c r="J859" s="119"/>
      <c r="K859" s="639"/>
      <c r="L859" s="119"/>
      <c r="M859" s="119"/>
      <c r="N859" s="119"/>
      <c r="O859" s="640"/>
      <c r="P859" s="119"/>
    </row>
    <row r="860">
      <c r="C860" s="637"/>
      <c r="D860" s="637"/>
      <c r="E860" s="119"/>
      <c r="F860" s="119"/>
      <c r="G860" s="119"/>
      <c r="H860" s="119"/>
      <c r="I860" s="119"/>
      <c r="J860" s="119"/>
      <c r="K860" s="639"/>
      <c r="L860" s="119"/>
      <c r="M860" s="119"/>
      <c r="N860" s="119"/>
      <c r="O860" s="640"/>
      <c r="P860" s="119"/>
    </row>
    <row r="861">
      <c r="C861" s="637"/>
      <c r="D861" s="637"/>
      <c r="E861" s="119"/>
      <c r="F861" s="119"/>
      <c r="G861" s="119"/>
      <c r="H861" s="119"/>
      <c r="I861" s="119"/>
      <c r="J861" s="119"/>
      <c r="K861" s="639"/>
      <c r="L861" s="119"/>
      <c r="M861" s="119"/>
      <c r="N861" s="119"/>
      <c r="O861" s="640"/>
      <c r="P861" s="119"/>
    </row>
    <row r="862">
      <c r="C862" s="637"/>
      <c r="D862" s="637"/>
      <c r="E862" s="119"/>
      <c r="F862" s="119"/>
      <c r="G862" s="119"/>
      <c r="H862" s="119"/>
      <c r="I862" s="119"/>
      <c r="J862" s="119"/>
      <c r="K862" s="639"/>
      <c r="L862" s="119"/>
      <c r="M862" s="119"/>
      <c r="N862" s="119"/>
      <c r="O862" s="640"/>
      <c r="P862" s="119"/>
    </row>
    <row r="863">
      <c r="C863" s="637"/>
      <c r="D863" s="637"/>
      <c r="E863" s="119"/>
      <c r="F863" s="119"/>
      <c r="G863" s="119"/>
      <c r="H863" s="119"/>
      <c r="I863" s="119"/>
      <c r="J863" s="119"/>
      <c r="K863" s="639"/>
      <c r="L863" s="119"/>
      <c r="M863" s="119"/>
      <c r="N863" s="119"/>
      <c r="O863" s="640"/>
      <c r="P863" s="119"/>
    </row>
    <row r="864">
      <c r="C864" s="637"/>
      <c r="D864" s="637"/>
      <c r="E864" s="119"/>
      <c r="F864" s="119"/>
      <c r="G864" s="119"/>
      <c r="H864" s="119"/>
      <c r="I864" s="119"/>
      <c r="J864" s="119"/>
      <c r="K864" s="639"/>
      <c r="L864" s="119"/>
      <c r="M864" s="119"/>
      <c r="N864" s="119"/>
      <c r="O864" s="640"/>
      <c r="P864" s="119"/>
    </row>
    <row r="865">
      <c r="C865" s="637"/>
      <c r="D865" s="637"/>
      <c r="E865" s="119"/>
      <c r="F865" s="119"/>
      <c r="G865" s="119"/>
      <c r="H865" s="119"/>
      <c r="I865" s="119"/>
      <c r="J865" s="119"/>
      <c r="K865" s="639"/>
      <c r="L865" s="119"/>
      <c r="M865" s="119"/>
      <c r="N865" s="119"/>
      <c r="O865" s="640"/>
      <c r="P865" s="119"/>
    </row>
    <row r="866">
      <c r="C866" s="637"/>
      <c r="D866" s="637"/>
      <c r="E866" s="119"/>
      <c r="F866" s="119"/>
      <c r="G866" s="119"/>
      <c r="H866" s="119"/>
      <c r="I866" s="119"/>
      <c r="J866" s="119"/>
      <c r="K866" s="639"/>
      <c r="L866" s="119"/>
      <c r="M866" s="119"/>
      <c r="N866" s="119"/>
      <c r="O866" s="640"/>
      <c r="P866" s="119"/>
    </row>
    <row r="867">
      <c r="C867" s="637"/>
      <c r="D867" s="637"/>
      <c r="E867" s="119"/>
      <c r="F867" s="119"/>
      <c r="G867" s="119"/>
      <c r="H867" s="119"/>
      <c r="I867" s="119"/>
      <c r="J867" s="119"/>
      <c r="K867" s="639"/>
      <c r="L867" s="119"/>
      <c r="M867" s="119"/>
      <c r="N867" s="119"/>
      <c r="O867" s="640"/>
      <c r="P867" s="119"/>
    </row>
    <row r="868">
      <c r="C868" s="637"/>
      <c r="D868" s="637"/>
      <c r="E868" s="119"/>
      <c r="F868" s="119"/>
      <c r="G868" s="119"/>
      <c r="H868" s="119"/>
      <c r="I868" s="119"/>
      <c r="J868" s="119"/>
      <c r="K868" s="639"/>
      <c r="L868" s="119"/>
      <c r="M868" s="119"/>
      <c r="N868" s="119"/>
      <c r="O868" s="640"/>
      <c r="P868" s="119"/>
    </row>
    <row r="869">
      <c r="C869" s="637"/>
      <c r="D869" s="637"/>
      <c r="E869" s="119"/>
      <c r="F869" s="119"/>
      <c r="G869" s="119"/>
      <c r="H869" s="119"/>
      <c r="I869" s="119"/>
      <c r="J869" s="119"/>
      <c r="K869" s="639"/>
      <c r="L869" s="119"/>
      <c r="M869" s="119"/>
      <c r="N869" s="119"/>
      <c r="O869" s="640"/>
      <c r="P869" s="119"/>
    </row>
    <row r="870">
      <c r="C870" s="637"/>
      <c r="D870" s="637"/>
      <c r="E870" s="119"/>
      <c r="F870" s="119"/>
      <c r="G870" s="119"/>
      <c r="H870" s="119"/>
      <c r="I870" s="119"/>
      <c r="J870" s="119"/>
      <c r="K870" s="639"/>
      <c r="L870" s="119"/>
      <c r="M870" s="119"/>
      <c r="N870" s="119"/>
      <c r="O870" s="640"/>
      <c r="P870" s="119"/>
    </row>
    <row r="871">
      <c r="C871" s="637"/>
      <c r="D871" s="637"/>
      <c r="E871" s="119"/>
      <c r="F871" s="119"/>
      <c r="G871" s="119"/>
      <c r="H871" s="119"/>
      <c r="I871" s="119"/>
      <c r="J871" s="119"/>
      <c r="K871" s="639"/>
      <c r="L871" s="119"/>
      <c r="M871" s="119"/>
      <c r="N871" s="119"/>
      <c r="O871" s="640"/>
      <c r="P871" s="119"/>
    </row>
    <row r="872">
      <c r="C872" s="637"/>
      <c r="D872" s="637"/>
      <c r="E872" s="119"/>
      <c r="F872" s="119"/>
      <c r="G872" s="119"/>
      <c r="H872" s="119"/>
      <c r="I872" s="119"/>
      <c r="J872" s="119"/>
      <c r="K872" s="639"/>
      <c r="L872" s="119"/>
      <c r="M872" s="119"/>
      <c r="N872" s="119"/>
      <c r="O872" s="640"/>
      <c r="P872" s="119"/>
    </row>
    <row r="873">
      <c r="C873" s="637"/>
      <c r="D873" s="637"/>
      <c r="E873" s="119"/>
      <c r="F873" s="119"/>
      <c r="G873" s="119"/>
      <c r="H873" s="119"/>
      <c r="I873" s="119"/>
      <c r="J873" s="119"/>
      <c r="K873" s="639"/>
      <c r="L873" s="119"/>
      <c r="M873" s="119"/>
      <c r="N873" s="119"/>
      <c r="O873" s="640"/>
      <c r="P873" s="119"/>
    </row>
    <row r="874">
      <c r="C874" s="637"/>
      <c r="D874" s="637"/>
      <c r="E874" s="119"/>
      <c r="F874" s="119"/>
      <c r="G874" s="119"/>
      <c r="H874" s="119"/>
      <c r="I874" s="119"/>
      <c r="J874" s="119"/>
      <c r="K874" s="639"/>
      <c r="L874" s="119"/>
      <c r="M874" s="119"/>
      <c r="N874" s="119"/>
      <c r="O874" s="640"/>
      <c r="P874" s="119"/>
    </row>
    <row r="875">
      <c r="C875" s="637"/>
      <c r="D875" s="637"/>
      <c r="E875" s="119"/>
      <c r="F875" s="119"/>
      <c r="G875" s="119"/>
      <c r="H875" s="119"/>
      <c r="I875" s="119"/>
      <c r="J875" s="119"/>
      <c r="K875" s="639"/>
      <c r="L875" s="119"/>
      <c r="M875" s="119"/>
      <c r="N875" s="119"/>
      <c r="O875" s="640"/>
      <c r="P875" s="119"/>
    </row>
    <row r="876">
      <c r="C876" s="637"/>
      <c r="D876" s="637"/>
      <c r="E876" s="119"/>
      <c r="F876" s="119"/>
      <c r="G876" s="119"/>
      <c r="H876" s="119"/>
      <c r="I876" s="119"/>
      <c r="J876" s="119"/>
      <c r="K876" s="639"/>
      <c r="L876" s="119"/>
      <c r="M876" s="119"/>
      <c r="N876" s="119"/>
      <c r="O876" s="640"/>
      <c r="P876" s="119"/>
    </row>
    <row r="877">
      <c r="C877" s="637"/>
      <c r="D877" s="637"/>
      <c r="E877" s="119"/>
      <c r="F877" s="119"/>
      <c r="G877" s="119"/>
      <c r="H877" s="119"/>
      <c r="I877" s="119"/>
      <c r="J877" s="119"/>
      <c r="K877" s="639"/>
      <c r="L877" s="119"/>
      <c r="M877" s="119"/>
      <c r="N877" s="119"/>
      <c r="O877" s="640"/>
      <c r="P877" s="119"/>
    </row>
    <row r="878">
      <c r="C878" s="637"/>
      <c r="D878" s="637"/>
      <c r="E878" s="119"/>
      <c r="F878" s="119"/>
      <c r="G878" s="119"/>
      <c r="H878" s="119"/>
      <c r="I878" s="119"/>
      <c r="J878" s="119"/>
      <c r="K878" s="639"/>
      <c r="L878" s="119"/>
      <c r="M878" s="119"/>
      <c r="N878" s="119"/>
      <c r="O878" s="640"/>
      <c r="P878" s="119"/>
    </row>
    <row r="879">
      <c r="C879" s="637"/>
      <c r="D879" s="637"/>
      <c r="E879" s="119"/>
      <c r="F879" s="119"/>
      <c r="G879" s="119"/>
      <c r="H879" s="119"/>
      <c r="I879" s="119"/>
      <c r="J879" s="119"/>
      <c r="K879" s="639"/>
      <c r="L879" s="119"/>
      <c r="M879" s="119"/>
      <c r="N879" s="119"/>
      <c r="O879" s="640"/>
      <c r="P879" s="119"/>
    </row>
    <row r="880">
      <c r="C880" s="637"/>
      <c r="D880" s="637"/>
      <c r="E880" s="119"/>
      <c r="F880" s="119"/>
      <c r="G880" s="119"/>
      <c r="H880" s="119"/>
      <c r="I880" s="119"/>
      <c r="J880" s="119"/>
      <c r="K880" s="639"/>
      <c r="L880" s="119"/>
      <c r="M880" s="119"/>
      <c r="N880" s="119"/>
      <c r="O880" s="640"/>
      <c r="P880" s="119"/>
    </row>
    <row r="881">
      <c r="C881" s="637"/>
      <c r="D881" s="637"/>
      <c r="E881" s="119"/>
      <c r="F881" s="119"/>
      <c r="G881" s="119"/>
      <c r="H881" s="119"/>
      <c r="I881" s="119"/>
      <c r="J881" s="119"/>
      <c r="K881" s="639"/>
      <c r="L881" s="119"/>
      <c r="M881" s="119"/>
      <c r="N881" s="119"/>
      <c r="O881" s="640"/>
      <c r="P881" s="119"/>
    </row>
    <row r="882">
      <c r="C882" s="637"/>
      <c r="D882" s="637"/>
      <c r="E882" s="119"/>
      <c r="F882" s="119"/>
      <c r="G882" s="119"/>
      <c r="H882" s="119"/>
      <c r="I882" s="119"/>
      <c r="J882" s="119"/>
      <c r="K882" s="639"/>
      <c r="L882" s="119"/>
      <c r="M882" s="119"/>
      <c r="N882" s="119"/>
      <c r="O882" s="640"/>
      <c r="P882" s="119"/>
    </row>
    <row r="883">
      <c r="C883" s="637"/>
      <c r="D883" s="637"/>
      <c r="E883" s="119"/>
      <c r="F883" s="119"/>
      <c r="G883" s="119"/>
      <c r="H883" s="119"/>
      <c r="I883" s="119"/>
      <c r="J883" s="119"/>
      <c r="K883" s="639"/>
      <c r="L883" s="119"/>
      <c r="M883" s="119"/>
      <c r="N883" s="119"/>
      <c r="O883" s="640"/>
      <c r="P883" s="119"/>
    </row>
    <row r="884">
      <c r="C884" s="637"/>
      <c r="D884" s="637"/>
      <c r="E884" s="119"/>
      <c r="F884" s="119"/>
      <c r="G884" s="119"/>
      <c r="H884" s="119"/>
      <c r="I884" s="119"/>
      <c r="J884" s="119"/>
      <c r="K884" s="639"/>
      <c r="L884" s="119"/>
      <c r="M884" s="119"/>
      <c r="N884" s="119"/>
      <c r="O884" s="640"/>
      <c r="P884" s="119"/>
    </row>
    <row r="885">
      <c r="C885" s="637"/>
      <c r="D885" s="637"/>
      <c r="E885" s="119"/>
      <c r="F885" s="119"/>
      <c r="G885" s="119"/>
      <c r="H885" s="119"/>
      <c r="I885" s="119"/>
      <c r="J885" s="119"/>
      <c r="K885" s="639"/>
      <c r="L885" s="119"/>
      <c r="M885" s="119"/>
      <c r="N885" s="119"/>
      <c r="O885" s="640"/>
      <c r="P885" s="119"/>
    </row>
    <row r="886">
      <c r="C886" s="637"/>
      <c r="D886" s="637"/>
      <c r="E886" s="119"/>
      <c r="F886" s="119"/>
      <c r="G886" s="119"/>
      <c r="H886" s="119"/>
      <c r="I886" s="119"/>
      <c r="J886" s="119"/>
      <c r="K886" s="639"/>
      <c r="L886" s="119"/>
      <c r="M886" s="119"/>
      <c r="N886" s="119"/>
      <c r="O886" s="640"/>
      <c r="P886" s="119"/>
    </row>
    <row r="887">
      <c r="C887" s="637"/>
      <c r="D887" s="637"/>
      <c r="E887" s="119"/>
      <c r="F887" s="119"/>
      <c r="G887" s="119"/>
      <c r="H887" s="119"/>
      <c r="I887" s="119"/>
      <c r="J887" s="119"/>
      <c r="K887" s="639"/>
      <c r="L887" s="119"/>
      <c r="M887" s="119"/>
      <c r="N887" s="119"/>
      <c r="O887" s="640"/>
      <c r="P887" s="119"/>
    </row>
    <row r="888">
      <c r="C888" s="637"/>
      <c r="D888" s="637"/>
      <c r="E888" s="119"/>
      <c r="F888" s="119"/>
      <c r="G888" s="119"/>
      <c r="H888" s="119"/>
      <c r="I888" s="119"/>
      <c r="J888" s="119"/>
      <c r="K888" s="639"/>
      <c r="L888" s="119"/>
      <c r="M888" s="119"/>
      <c r="N888" s="119"/>
      <c r="O888" s="640"/>
      <c r="P888" s="119"/>
    </row>
    <row r="889">
      <c r="C889" s="637"/>
      <c r="D889" s="637"/>
      <c r="E889" s="119"/>
      <c r="F889" s="119"/>
      <c r="G889" s="119"/>
      <c r="H889" s="119"/>
      <c r="I889" s="119"/>
      <c r="J889" s="119"/>
      <c r="K889" s="639"/>
      <c r="L889" s="119"/>
      <c r="M889" s="119"/>
      <c r="N889" s="119"/>
      <c r="O889" s="640"/>
      <c r="P889" s="119"/>
    </row>
    <row r="890">
      <c r="C890" s="637"/>
      <c r="D890" s="637"/>
      <c r="E890" s="119"/>
      <c r="F890" s="119"/>
      <c r="G890" s="119"/>
      <c r="H890" s="119"/>
      <c r="I890" s="119"/>
      <c r="J890" s="119"/>
      <c r="K890" s="639"/>
      <c r="L890" s="119"/>
      <c r="M890" s="119"/>
      <c r="N890" s="119"/>
      <c r="O890" s="640"/>
      <c r="P890" s="119"/>
    </row>
    <row r="891">
      <c r="C891" s="637"/>
      <c r="D891" s="637"/>
      <c r="E891" s="119"/>
      <c r="F891" s="119"/>
      <c r="G891" s="119"/>
      <c r="H891" s="119"/>
      <c r="I891" s="119"/>
      <c r="J891" s="119"/>
      <c r="K891" s="639"/>
      <c r="L891" s="119"/>
      <c r="M891" s="119"/>
      <c r="N891" s="119"/>
      <c r="O891" s="640"/>
      <c r="P891" s="119"/>
    </row>
    <row r="892">
      <c r="C892" s="637"/>
      <c r="D892" s="637"/>
      <c r="E892" s="119"/>
      <c r="F892" s="119"/>
      <c r="G892" s="119"/>
      <c r="H892" s="119"/>
      <c r="I892" s="119"/>
      <c r="J892" s="119"/>
      <c r="K892" s="639"/>
      <c r="L892" s="119"/>
      <c r="M892" s="119"/>
      <c r="N892" s="119"/>
      <c r="O892" s="640"/>
      <c r="P892" s="119"/>
    </row>
    <row r="893">
      <c r="C893" s="637"/>
      <c r="D893" s="637"/>
      <c r="E893" s="119"/>
      <c r="F893" s="119"/>
      <c r="G893" s="119"/>
      <c r="H893" s="119"/>
      <c r="I893" s="119"/>
      <c r="J893" s="119"/>
      <c r="K893" s="639"/>
      <c r="L893" s="119"/>
      <c r="M893" s="119"/>
      <c r="N893" s="119"/>
      <c r="O893" s="640"/>
      <c r="P893" s="119"/>
    </row>
    <row r="894">
      <c r="C894" s="637"/>
      <c r="D894" s="637"/>
      <c r="E894" s="119"/>
      <c r="F894" s="119"/>
      <c r="G894" s="119"/>
      <c r="H894" s="119"/>
      <c r="I894" s="119"/>
      <c r="J894" s="119"/>
      <c r="K894" s="639"/>
      <c r="L894" s="119"/>
      <c r="M894" s="119"/>
      <c r="N894" s="119"/>
      <c r="O894" s="640"/>
      <c r="P894" s="119"/>
    </row>
    <row r="895">
      <c r="C895" s="637"/>
      <c r="D895" s="637"/>
      <c r="E895" s="119"/>
      <c r="F895" s="119"/>
      <c r="G895" s="119"/>
      <c r="H895" s="119"/>
      <c r="I895" s="119"/>
      <c r="J895" s="119"/>
      <c r="K895" s="639"/>
      <c r="L895" s="119"/>
      <c r="M895" s="119"/>
      <c r="N895" s="119"/>
      <c r="O895" s="640"/>
      <c r="P895" s="119"/>
    </row>
    <row r="896">
      <c r="C896" s="637"/>
      <c r="D896" s="637"/>
      <c r="E896" s="119"/>
      <c r="F896" s="119"/>
      <c r="G896" s="119"/>
      <c r="H896" s="119"/>
      <c r="I896" s="119"/>
      <c r="J896" s="119"/>
      <c r="K896" s="639"/>
      <c r="L896" s="119"/>
      <c r="M896" s="119"/>
      <c r="N896" s="119"/>
      <c r="O896" s="640"/>
      <c r="P896" s="119"/>
    </row>
    <row r="897">
      <c r="C897" s="637"/>
      <c r="D897" s="637"/>
      <c r="E897" s="119"/>
      <c r="F897" s="119"/>
      <c r="G897" s="119"/>
      <c r="H897" s="119"/>
      <c r="I897" s="119"/>
      <c r="J897" s="119"/>
      <c r="K897" s="639"/>
      <c r="L897" s="119"/>
      <c r="M897" s="119"/>
      <c r="N897" s="119"/>
      <c r="O897" s="640"/>
      <c r="P897" s="119"/>
    </row>
    <row r="898">
      <c r="C898" s="637"/>
      <c r="D898" s="637"/>
      <c r="E898" s="119"/>
      <c r="F898" s="119"/>
      <c r="G898" s="119"/>
      <c r="H898" s="119"/>
      <c r="I898" s="119"/>
      <c r="J898" s="119"/>
      <c r="K898" s="639"/>
      <c r="L898" s="119"/>
      <c r="M898" s="119"/>
      <c r="N898" s="119"/>
      <c r="O898" s="640"/>
      <c r="P898" s="119"/>
    </row>
    <row r="899">
      <c r="C899" s="637"/>
      <c r="D899" s="637"/>
      <c r="E899" s="119"/>
      <c r="F899" s="119"/>
      <c r="G899" s="119"/>
      <c r="H899" s="119"/>
      <c r="I899" s="119"/>
      <c r="J899" s="119"/>
      <c r="K899" s="639"/>
      <c r="L899" s="119"/>
      <c r="M899" s="119"/>
      <c r="N899" s="119"/>
      <c r="O899" s="640"/>
      <c r="P899" s="119"/>
    </row>
    <row r="900">
      <c r="C900" s="637"/>
      <c r="D900" s="637"/>
      <c r="E900" s="119"/>
      <c r="F900" s="119"/>
      <c r="G900" s="119"/>
      <c r="H900" s="119"/>
      <c r="I900" s="119"/>
      <c r="J900" s="119"/>
      <c r="K900" s="639"/>
      <c r="L900" s="119"/>
      <c r="M900" s="119"/>
      <c r="N900" s="119"/>
      <c r="O900" s="640"/>
      <c r="P900" s="119"/>
    </row>
    <row r="901">
      <c r="C901" s="637"/>
      <c r="D901" s="637"/>
      <c r="E901" s="119"/>
      <c r="F901" s="119"/>
      <c r="G901" s="119"/>
      <c r="H901" s="119"/>
      <c r="I901" s="119"/>
      <c r="J901" s="119"/>
      <c r="K901" s="639"/>
      <c r="L901" s="119"/>
      <c r="M901" s="119"/>
      <c r="N901" s="119"/>
      <c r="O901" s="640"/>
      <c r="P901" s="119"/>
    </row>
    <row r="902">
      <c r="C902" s="637"/>
      <c r="D902" s="637"/>
      <c r="E902" s="119"/>
      <c r="F902" s="119"/>
      <c r="G902" s="119"/>
      <c r="H902" s="119"/>
      <c r="I902" s="119"/>
      <c r="J902" s="119"/>
      <c r="K902" s="639"/>
      <c r="L902" s="119"/>
      <c r="M902" s="119"/>
      <c r="N902" s="119"/>
      <c r="O902" s="640"/>
      <c r="P902" s="119"/>
    </row>
    <row r="903">
      <c r="C903" s="637"/>
      <c r="D903" s="637"/>
      <c r="E903" s="119"/>
      <c r="F903" s="119"/>
      <c r="G903" s="119"/>
      <c r="H903" s="119"/>
      <c r="I903" s="119"/>
      <c r="J903" s="119"/>
      <c r="K903" s="639"/>
      <c r="L903" s="119"/>
      <c r="M903" s="119"/>
      <c r="N903" s="119"/>
      <c r="O903" s="640"/>
      <c r="P903" s="119"/>
    </row>
    <row r="904">
      <c r="C904" s="637"/>
      <c r="D904" s="637"/>
      <c r="E904" s="119"/>
      <c r="F904" s="119"/>
      <c r="G904" s="119"/>
      <c r="H904" s="119"/>
      <c r="I904" s="119"/>
      <c r="J904" s="119"/>
      <c r="K904" s="639"/>
      <c r="L904" s="119"/>
      <c r="M904" s="119"/>
      <c r="N904" s="119"/>
      <c r="O904" s="640"/>
      <c r="P904" s="119"/>
    </row>
    <row r="905">
      <c r="C905" s="637"/>
      <c r="D905" s="637"/>
      <c r="E905" s="119"/>
      <c r="F905" s="119"/>
      <c r="G905" s="119"/>
      <c r="H905" s="119"/>
      <c r="I905" s="119"/>
      <c r="J905" s="119"/>
      <c r="K905" s="639"/>
      <c r="L905" s="119"/>
      <c r="M905" s="119"/>
      <c r="N905" s="119"/>
      <c r="O905" s="640"/>
      <c r="P905" s="119"/>
    </row>
    <row r="906">
      <c r="C906" s="637"/>
      <c r="D906" s="637"/>
      <c r="E906" s="119"/>
      <c r="F906" s="119"/>
      <c r="G906" s="119"/>
      <c r="H906" s="119"/>
      <c r="I906" s="119"/>
      <c r="J906" s="119"/>
      <c r="K906" s="639"/>
      <c r="L906" s="119"/>
      <c r="M906" s="119"/>
      <c r="N906" s="119"/>
      <c r="O906" s="640"/>
      <c r="P906" s="119"/>
    </row>
    <row r="907">
      <c r="C907" s="637"/>
      <c r="D907" s="637"/>
      <c r="E907" s="119"/>
      <c r="F907" s="119"/>
      <c r="G907" s="119"/>
      <c r="H907" s="119"/>
      <c r="I907" s="119"/>
      <c r="J907" s="119"/>
      <c r="K907" s="639"/>
      <c r="L907" s="119"/>
      <c r="M907" s="119"/>
      <c r="N907" s="119"/>
      <c r="O907" s="640"/>
      <c r="P907" s="119"/>
    </row>
    <row r="908">
      <c r="C908" s="637"/>
      <c r="D908" s="637"/>
      <c r="E908" s="119"/>
      <c r="F908" s="119"/>
      <c r="G908" s="119"/>
      <c r="H908" s="119"/>
      <c r="I908" s="119"/>
      <c r="J908" s="119"/>
      <c r="K908" s="639"/>
      <c r="L908" s="119"/>
      <c r="M908" s="119"/>
      <c r="N908" s="119"/>
      <c r="O908" s="640"/>
      <c r="P908" s="119"/>
    </row>
    <row r="909">
      <c r="C909" s="637"/>
      <c r="D909" s="637"/>
      <c r="E909" s="119"/>
      <c r="F909" s="119"/>
      <c r="G909" s="119"/>
      <c r="H909" s="119"/>
      <c r="I909" s="119"/>
      <c r="J909" s="119"/>
      <c r="K909" s="639"/>
      <c r="L909" s="119"/>
      <c r="M909" s="119"/>
      <c r="N909" s="119"/>
      <c r="O909" s="640"/>
      <c r="P909" s="119"/>
    </row>
    <row r="910">
      <c r="C910" s="637"/>
      <c r="D910" s="637"/>
      <c r="E910" s="119"/>
      <c r="F910" s="119"/>
      <c r="G910" s="119"/>
      <c r="H910" s="119"/>
      <c r="I910" s="119"/>
      <c r="J910" s="119"/>
      <c r="K910" s="639"/>
      <c r="L910" s="119"/>
      <c r="M910" s="119"/>
      <c r="N910" s="119"/>
      <c r="O910" s="640"/>
      <c r="P910" s="119"/>
    </row>
    <row r="911">
      <c r="C911" s="637"/>
      <c r="D911" s="637"/>
      <c r="E911" s="119"/>
      <c r="F911" s="119"/>
      <c r="G911" s="119"/>
      <c r="H911" s="119"/>
      <c r="I911" s="119"/>
      <c r="J911" s="119"/>
      <c r="K911" s="639"/>
      <c r="L911" s="119"/>
      <c r="M911" s="119"/>
      <c r="N911" s="119"/>
      <c r="O911" s="640"/>
      <c r="P911" s="119"/>
    </row>
    <row r="912">
      <c r="C912" s="637"/>
      <c r="D912" s="637"/>
      <c r="E912" s="119"/>
      <c r="F912" s="119"/>
      <c r="G912" s="119"/>
      <c r="H912" s="119"/>
      <c r="I912" s="119"/>
      <c r="J912" s="119"/>
      <c r="K912" s="639"/>
      <c r="L912" s="119"/>
      <c r="M912" s="119"/>
      <c r="N912" s="119"/>
      <c r="O912" s="640"/>
      <c r="P912" s="119"/>
    </row>
    <row r="913">
      <c r="C913" s="637"/>
      <c r="D913" s="637"/>
      <c r="E913" s="119"/>
      <c r="F913" s="119"/>
      <c r="G913" s="119"/>
      <c r="H913" s="119"/>
      <c r="I913" s="119"/>
      <c r="J913" s="119"/>
      <c r="K913" s="639"/>
      <c r="L913" s="119"/>
      <c r="M913" s="119"/>
      <c r="N913" s="119"/>
      <c r="O913" s="640"/>
      <c r="P913" s="119"/>
    </row>
    <row r="914">
      <c r="C914" s="637"/>
      <c r="D914" s="637"/>
      <c r="E914" s="119"/>
      <c r="F914" s="119"/>
      <c r="G914" s="119"/>
      <c r="H914" s="119"/>
      <c r="I914" s="119"/>
      <c r="J914" s="119"/>
      <c r="K914" s="639"/>
      <c r="L914" s="119"/>
      <c r="M914" s="119"/>
      <c r="N914" s="119"/>
      <c r="O914" s="640"/>
      <c r="P914" s="119"/>
    </row>
    <row r="915">
      <c r="C915" s="637"/>
      <c r="D915" s="637"/>
      <c r="E915" s="119"/>
      <c r="F915" s="119"/>
      <c r="G915" s="119"/>
      <c r="H915" s="119"/>
      <c r="I915" s="119"/>
      <c r="J915" s="119"/>
      <c r="K915" s="639"/>
      <c r="L915" s="119"/>
      <c r="M915" s="119"/>
      <c r="N915" s="119"/>
      <c r="O915" s="640"/>
      <c r="P915" s="119"/>
    </row>
    <row r="916">
      <c r="C916" s="637"/>
      <c r="D916" s="637"/>
      <c r="E916" s="119"/>
      <c r="F916" s="119"/>
      <c r="G916" s="119"/>
      <c r="H916" s="119"/>
      <c r="I916" s="119"/>
      <c r="J916" s="119"/>
      <c r="K916" s="639"/>
      <c r="L916" s="119"/>
      <c r="M916" s="119"/>
      <c r="N916" s="119"/>
      <c r="O916" s="640"/>
      <c r="P916" s="119"/>
    </row>
    <row r="917">
      <c r="C917" s="637"/>
      <c r="D917" s="637"/>
      <c r="E917" s="119"/>
      <c r="F917" s="119"/>
      <c r="G917" s="119"/>
      <c r="H917" s="119"/>
      <c r="I917" s="119"/>
      <c r="J917" s="119"/>
      <c r="K917" s="639"/>
      <c r="L917" s="119"/>
      <c r="M917" s="119"/>
      <c r="N917" s="119"/>
      <c r="O917" s="640"/>
      <c r="P917" s="119"/>
    </row>
    <row r="918">
      <c r="C918" s="637"/>
      <c r="D918" s="637"/>
      <c r="E918" s="119"/>
      <c r="F918" s="119"/>
      <c r="G918" s="119"/>
      <c r="H918" s="119"/>
      <c r="I918" s="119"/>
      <c r="J918" s="119"/>
      <c r="K918" s="639"/>
      <c r="L918" s="119"/>
      <c r="M918" s="119"/>
      <c r="N918" s="119"/>
      <c r="O918" s="640"/>
      <c r="P918" s="119"/>
    </row>
    <row r="919">
      <c r="C919" s="637"/>
      <c r="D919" s="637"/>
      <c r="E919" s="119"/>
      <c r="F919" s="119"/>
      <c r="G919" s="119"/>
      <c r="H919" s="119"/>
      <c r="I919" s="119"/>
      <c r="J919" s="119"/>
      <c r="K919" s="639"/>
      <c r="L919" s="119"/>
      <c r="M919" s="119"/>
      <c r="N919" s="119"/>
      <c r="O919" s="640"/>
      <c r="P919" s="119"/>
    </row>
    <row r="920">
      <c r="C920" s="637"/>
      <c r="D920" s="637"/>
      <c r="E920" s="119"/>
      <c r="F920" s="119"/>
      <c r="G920" s="119"/>
      <c r="H920" s="119"/>
      <c r="I920" s="119"/>
      <c r="J920" s="119"/>
      <c r="K920" s="639"/>
      <c r="L920" s="119"/>
      <c r="M920" s="119"/>
      <c r="N920" s="119"/>
      <c r="O920" s="640"/>
      <c r="P920" s="119"/>
    </row>
    <row r="921">
      <c r="C921" s="637"/>
      <c r="D921" s="637"/>
      <c r="E921" s="119"/>
      <c r="F921" s="119"/>
      <c r="G921" s="119"/>
      <c r="H921" s="119"/>
      <c r="I921" s="119"/>
      <c r="J921" s="119"/>
      <c r="K921" s="639"/>
      <c r="L921" s="119"/>
      <c r="M921" s="119"/>
      <c r="N921" s="119"/>
      <c r="O921" s="640"/>
      <c r="P921" s="119"/>
    </row>
    <row r="922">
      <c r="C922" s="637"/>
      <c r="D922" s="637"/>
      <c r="E922" s="119"/>
      <c r="F922" s="119"/>
      <c r="G922" s="119"/>
      <c r="H922" s="119"/>
      <c r="I922" s="119"/>
      <c r="J922" s="119"/>
      <c r="K922" s="639"/>
      <c r="L922" s="119"/>
      <c r="M922" s="119"/>
      <c r="N922" s="119"/>
      <c r="O922" s="640"/>
      <c r="P922" s="119"/>
    </row>
    <row r="923">
      <c r="C923" s="637"/>
      <c r="D923" s="637"/>
      <c r="E923" s="119"/>
      <c r="F923" s="119"/>
      <c r="G923" s="119"/>
      <c r="H923" s="119"/>
      <c r="I923" s="119"/>
      <c r="J923" s="119"/>
      <c r="K923" s="639"/>
      <c r="L923" s="119"/>
      <c r="M923" s="119"/>
      <c r="N923" s="119"/>
      <c r="O923" s="640"/>
      <c r="P923" s="119"/>
    </row>
    <row r="924">
      <c r="C924" s="637"/>
      <c r="D924" s="637"/>
      <c r="E924" s="119"/>
      <c r="F924" s="119"/>
      <c r="G924" s="119"/>
      <c r="H924" s="119"/>
      <c r="I924" s="119"/>
      <c r="J924" s="119"/>
      <c r="K924" s="639"/>
      <c r="L924" s="119"/>
      <c r="M924" s="119"/>
      <c r="N924" s="119"/>
      <c r="O924" s="640"/>
      <c r="P924" s="119"/>
    </row>
    <row r="925">
      <c r="C925" s="637"/>
      <c r="D925" s="637"/>
      <c r="E925" s="119"/>
      <c r="F925" s="119"/>
      <c r="G925" s="119"/>
      <c r="H925" s="119"/>
      <c r="I925" s="119"/>
      <c r="J925" s="119"/>
      <c r="K925" s="639"/>
      <c r="L925" s="119"/>
      <c r="M925" s="119"/>
      <c r="N925" s="119"/>
      <c r="O925" s="640"/>
      <c r="P925" s="119"/>
    </row>
    <row r="926">
      <c r="C926" s="637"/>
      <c r="D926" s="637"/>
      <c r="E926" s="119"/>
      <c r="F926" s="119"/>
      <c r="G926" s="119"/>
      <c r="H926" s="119"/>
      <c r="I926" s="119"/>
      <c r="J926" s="119"/>
      <c r="K926" s="639"/>
      <c r="L926" s="119"/>
      <c r="M926" s="119"/>
      <c r="N926" s="119"/>
      <c r="O926" s="640"/>
      <c r="P926" s="119"/>
    </row>
    <row r="927">
      <c r="C927" s="637"/>
      <c r="D927" s="637"/>
      <c r="E927" s="119"/>
      <c r="F927" s="119"/>
      <c r="G927" s="119"/>
      <c r="H927" s="119"/>
      <c r="I927" s="119"/>
      <c r="J927" s="119"/>
      <c r="K927" s="639"/>
      <c r="L927" s="119"/>
      <c r="M927" s="119"/>
      <c r="N927" s="119"/>
      <c r="O927" s="640"/>
      <c r="P927" s="119"/>
    </row>
    <row r="928">
      <c r="C928" s="637"/>
      <c r="D928" s="637"/>
      <c r="E928" s="119"/>
      <c r="F928" s="119"/>
      <c r="G928" s="119"/>
      <c r="H928" s="119"/>
      <c r="I928" s="119"/>
      <c r="J928" s="119"/>
      <c r="K928" s="639"/>
      <c r="L928" s="119"/>
      <c r="M928" s="119"/>
      <c r="N928" s="119"/>
      <c r="O928" s="640"/>
      <c r="P928" s="119"/>
    </row>
    <row r="929">
      <c r="C929" s="637"/>
      <c r="D929" s="637"/>
      <c r="E929" s="119"/>
      <c r="F929" s="119"/>
      <c r="G929" s="119"/>
      <c r="H929" s="119"/>
      <c r="I929" s="119"/>
      <c r="J929" s="119"/>
      <c r="K929" s="639"/>
      <c r="L929" s="119"/>
      <c r="M929" s="119"/>
      <c r="N929" s="119"/>
      <c r="O929" s="640"/>
      <c r="P929" s="119"/>
    </row>
    <row r="930">
      <c r="C930" s="637"/>
      <c r="D930" s="637"/>
      <c r="E930" s="119"/>
      <c r="F930" s="119"/>
      <c r="G930" s="119"/>
      <c r="H930" s="119"/>
      <c r="I930" s="119"/>
      <c r="J930" s="119"/>
      <c r="K930" s="639"/>
      <c r="L930" s="119"/>
      <c r="M930" s="119"/>
      <c r="N930" s="119"/>
      <c r="O930" s="640"/>
      <c r="P930" s="119"/>
    </row>
    <row r="931">
      <c r="C931" s="637"/>
      <c r="D931" s="637"/>
      <c r="E931" s="119"/>
      <c r="F931" s="119"/>
      <c r="G931" s="119"/>
      <c r="H931" s="119"/>
      <c r="I931" s="119"/>
      <c r="J931" s="119"/>
      <c r="K931" s="639"/>
      <c r="L931" s="119"/>
      <c r="M931" s="119"/>
      <c r="N931" s="119"/>
      <c r="O931" s="640"/>
      <c r="P931" s="119"/>
    </row>
    <row r="932">
      <c r="C932" s="637"/>
      <c r="D932" s="637"/>
      <c r="E932" s="119"/>
      <c r="F932" s="119"/>
      <c r="G932" s="119"/>
      <c r="H932" s="119"/>
      <c r="I932" s="119"/>
      <c r="J932" s="119"/>
      <c r="K932" s="639"/>
      <c r="L932" s="119"/>
      <c r="M932" s="119"/>
      <c r="N932" s="119"/>
      <c r="O932" s="640"/>
      <c r="P932" s="119"/>
    </row>
    <row r="933">
      <c r="C933" s="637"/>
      <c r="D933" s="637"/>
      <c r="E933" s="119"/>
      <c r="F933" s="119"/>
      <c r="G933" s="119"/>
      <c r="H933" s="119"/>
      <c r="I933" s="119"/>
      <c r="J933" s="119"/>
      <c r="K933" s="639"/>
      <c r="L933" s="119"/>
      <c r="M933" s="119"/>
      <c r="N933" s="119"/>
      <c r="O933" s="640"/>
      <c r="P933" s="119"/>
    </row>
    <row r="934">
      <c r="C934" s="637"/>
      <c r="D934" s="637"/>
      <c r="E934" s="119"/>
      <c r="F934" s="119"/>
      <c r="G934" s="119"/>
      <c r="H934" s="119"/>
      <c r="I934" s="119"/>
      <c r="J934" s="119"/>
      <c r="K934" s="639"/>
      <c r="L934" s="119"/>
      <c r="M934" s="119"/>
      <c r="N934" s="119"/>
      <c r="O934" s="640"/>
      <c r="P934" s="119"/>
    </row>
    <row r="935">
      <c r="C935" s="637"/>
      <c r="D935" s="637"/>
      <c r="E935" s="119"/>
      <c r="F935" s="119"/>
      <c r="G935" s="119"/>
      <c r="H935" s="119"/>
      <c r="I935" s="119"/>
      <c r="J935" s="119"/>
      <c r="K935" s="639"/>
      <c r="L935" s="119"/>
      <c r="M935" s="119"/>
      <c r="N935" s="119"/>
      <c r="O935" s="640"/>
      <c r="P935" s="119"/>
    </row>
    <row r="936">
      <c r="C936" s="637"/>
      <c r="D936" s="637"/>
      <c r="E936" s="119"/>
      <c r="F936" s="119"/>
      <c r="G936" s="119"/>
      <c r="H936" s="119"/>
      <c r="I936" s="119"/>
      <c r="J936" s="119"/>
      <c r="K936" s="639"/>
      <c r="L936" s="119"/>
      <c r="M936" s="119"/>
      <c r="N936" s="119"/>
      <c r="O936" s="640"/>
      <c r="P936" s="119"/>
    </row>
    <row r="937">
      <c r="C937" s="637"/>
      <c r="D937" s="637"/>
      <c r="E937" s="119"/>
      <c r="F937" s="119"/>
      <c r="G937" s="119"/>
      <c r="H937" s="119"/>
      <c r="I937" s="119"/>
      <c r="J937" s="119"/>
      <c r="K937" s="639"/>
      <c r="L937" s="119"/>
      <c r="M937" s="119"/>
      <c r="N937" s="119"/>
      <c r="O937" s="640"/>
      <c r="P937" s="119"/>
    </row>
    <row r="938">
      <c r="C938" s="637"/>
      <c r="D938" s="637"/>
      <c r="E938" s="119"/>
      <c r="F938" s="119"/>
      <c r="G938" s="119"/>
      <c r="H938" s="119"/>
      <c r="I938" s="119"/>
      <c r="J938" s="119"/>
      <c r="K938" s="639"/>
      <c r="L938" s="119"/>
      <c r="M938" s="119"/>
      <c r="N938" s="119"/>
      <c r="O938" s="640"/>
      <c r="P938" s="119"/>
    </row>
    <row r="939">
      <c r="C939" s="637"/>
      <c r="D939" s="637"/>
      <c r="E939" s="119"/>
      <c r="F939" s="119"/>
      <c r="G939" s="119"/>
      <c r="H939" s="119"/>
      <c r="I939" s="119"/>
      <c r="J939" s="119"/>
      <c r="K939" s="639"/>
      <c r="L939" s="119"/>
      <c r="M939" s="119"/>
      <c r="N939" s="119"/>
      <c r="O939" s="640"/>
      <c r="P939" s="119"/>
    </row>
    <row r="940">
      <c r="C940" s="637"/>
      <c r="D940" s="637"/>
      <c r="E940" s="119"/>
      <c r="F940" s="119"/>
      <c r="G940" s="119"/>
      <c r="H940" s="119"/>
      <c r="I940" s="119"/>
      <c r="J940" s="119"/>
      <c r="K940" s="639"/>
      <c r="L940" s="119"/>
      <c r="M940" s="119"/>
      <c r="N940" s="119"/>
      <c r="O940" s="640"/>
      <c r="P940" s="119"/>
    </row>
    <row r="941">
      <c r="C941" s="637"/>
      <c r="D941" s="637"/>
      <c r="E941" s="119"/>
      <c r="F941" s="119"/>
      <c r="G941" s="119"/>
      <c r="H941" s="119"/>
      <c r="I941" s="119"/>
      <c r="J941" s="119"/>
      <c r="K941" s="639"/>
      <c r="L941" s="119"/>
      <c r="M941" s="119"/>
      <c r="N941" s="119"/>
      <c r="O941" s="640"/>
      <c r="P941" s="119"/>
    </row>
    <row r="942">
      <c r="C942" s="637"/>
      <c r="D942" s="637"/>
      <c r="E942" s="119"/>
      <c r="F942" s="119"/>
      <c r="G942" s="119"/>
      <c r="H942" s="119"/>
      <c r="I942" s="119"/>
      <c r="J942" s="119"/>
      <c r="K942" s="639"/>
      <c r="L942" s="119"/>
      <c r="M942" s="119"/>
      <c r="N942" s="119"/>
      <c r="O942" s="640"/>
      <c r="P942" s="119"/>
    </row>
    <row r="943">
      <c r="C943" s="637"/>
      <c r="D943" s="637"/>
      <c r="E943" s="119"/>
      <c r="F943" s="119"/>
      <c r="G943" s="119"/>
      <c r="H943" s="119"/>
      <c r="I943" s="119"/>
      <c r="J943" s="119"/>
      <c r="K943" s="639"/>
      <c r="L943" s="119"/>
      <c r="M943" s="119"/>
      <c r="N943" s="119"/>
      <c r="O943" s="640"/>
      <c r="P943" s="119"/>
    </row>
    <row r="944">
      <c r="C944" s="637"/>
      <c r="D944" s="637"/>
      <c r="E944" s="119"/>
      <c r="F944" s="119"/>
      <c r="G944" s="119"/>
      <c r="H944" s="119"/>
      <c r="I944" s="119"/>
      <c r="J944" s="119"/>
      <c r="K944" s="639"/>
      <c r="L944" s="119"/>
      <c r="M944" s="119"/>
      <c r="N944" s="119"/>
      <c r="O944" s="640"/>
      <c r="P944" s="119"/>
    </row>
    <row r="945">
      <c r="C945" s="637"/>
      <c r="D945" s="637"/>
      <c r="E945" s="119"/>
      <c r="F945" s="119"/>
      <c r="G945" s="119"/>
      <c r="H945" s="119"/>
      <c r="I945" s="119"/>
      <c r="J945" s="119"/>
      <c r="K945" s="639"/>
      <c r="L945" s="119"/>
      <c r="M945" s="119"/>
      <c r="N945" s="119"/>
      <c r="O945" s="640"/>
      <c r="P945" s="119"/>
    </row>
    <row r="946">
      <c r="C946" s="637"/>
      <c r="D946" s="637"/>
      <c r="E946" s="119"/>
      <c r="F946" s="119"/>
      <c r="G946" s="119"/>
      <c r="H946" s="119"/>
      <c r="I946" s="119"/>
      <c r="J946" s="119"/>
      <c r="K946" s="639"/>
      <c r="L946" s="119"/>
      <c r="M946" s="119"/>
      <c r="N946" s="119"/>
      <c r="O946" s="640"/>
      <c r="P946" s="119"/>
    </row>
    <row r="947">
      <c r="C947" s="637"/>
      <c r="D947" s="637"/>
      <c r="E947" s="119"/>
      <c r="F947" s="119"/>
      <c r="G947" s="119"/>
      <c r="H947" s="119"/>
      <c r="I947" s="119"/>
      <c r="J947" s="119"/>
      <c r="K947" s="639"/>
      <c r="L947" s="119"/>
      <c r="M947" s="119"/>
      <c r="N947" s="119"/>
      <c r="O947" s="640"/>
      <c r="P947" s="119"/>
    </row>
    <row r="948">
      <c r="C948" s="637"/>
      <c r="D948" s="637"/>
      <c r="E948" s="119"/>
      <c r="F948" s="119"/>
      <c r="G948" s="119"/>
      <c r="H948" s="119"/>
      <c r="I948" s="119"/>
      <c r="J948" s="119"/>
      <c r="K948" s="639"/>
      <c r="L948" s="119"/>
      <c r="M948" s="119"/>
      <c r="N948" s="119"/>
      <c r="O948" s="640"/>
      <c r="P948" s="119"/>
    </row>
    <row r="949">
      <c r="C949" s="637"/>
      <c r="D949" s="637"/>
      <c r="E949" s="119"/>
      <c r="F949" s="119"/>
      <c r="G949" s="119"/>
      <c r="H949" s="119"/>
      <c r="I949" s="119"/>
      <c r="J949" s="119"/>
      <c r="K949" s="639"/>
      <c r="L949" s="119"/>
      <c r="M949" s="119"/>
      <c r="N949" s="119"/>
      <c r="O949" s="640"/>
      <c r="P949" s="119"/>
    </row>
    <row r="950">
      <c r="C950" s="637"/>
      <c r="D950" s="637"/>
      <c r="E950" s="119"/>
      <c r="F950" s="119"/>
      <c r="G950" s="119"/>
      <c r="H950" s="119"/>
      <c r="I950" s="119"/>
      <c r="J950" s="119"/>
      <c r="K950" s="639"/>
      <c r="L950" s="119"/>
      <c r="M950" s="119"/>
      <c r="N950" s="119"/>
      <c r="O950" s="640"/>
      <c r="P950" s="119"/>
    </row>
    <row r="951">
      <c r="C951" s="637"/>
      <c r="D951" s="637"/>
      <c r="E951" s="119"/>
      <c r="F951" s="119"/>
      <c r="G951" s="119"/>
      <c r="H951" s="119"/>
      <c r="I951" s="119"/>
      <c r="J951" s="119"/>
      <c r="K951" s="639"/>
      <c r="L951" s="119"/>
      <c r="M951" s="119"/>
      <c r="N951" s="119"/>
      <c r="O951" s="640"/>
      <c r="P951" s="119"/>
    </row>
    <row r="952">
      <c r="C952" s="637"/>
      <c r="D952" s="637"/>
      <c r="E952" s="119"/>
      <c r="F952" s="119"/>
      <c r="G952" s="119"/>
      <c r="H952" s="119"/>
      <c r="I952" s="119"/>
      <c r="J952" s="119"/>
      <c r="K952" s="639"/>
      <c r="L952" s="119"/>
      <c r="M952" s="119"/>
      <c r="N952" s="119"/>
      <c r="O952" s="640"/>
      <c r="P952" s="119"/>
    </row>
    <row r="953">
      <c r="C953" s="637"/>
      <c r="D953" s="637"/>
      <c r="E953" s="119"/>
      <c r="F953" s="119"/>
      <c r="G953" s="119"/>
      <c r="H953" s="119"/>
      <c r="I953" s="119"/>
      <c r="J953" s="119"/>
      <c r="K953" s="639"/>
      <c r="L953" s="119"/>
      <c r="M953" s="119"/>
      <c r="N953" s="119"/>
      <c r="O953" s="640"/>
      <c r="P953" s="119"/>
    </row>
    <row r="954">
      <c r="C954" s="637"/>
      <c r="D954" s="637"/>
      <c r="E954" s="119"/>
      <c r="F954" s="119"/>
      <c r="G954" s="119"/>
      <c r="H954" s="119"/>
      <c r="I954" s="119"/>
      <c r="J954" s="119"/>
      <c r="K954" s="639"/>
      <c r="L954" s="119"/>
      <c r="M954" s="119"/>
      <c r="N954" s="119"/>
      <c r="O954" s="640"/>
      <c r="P954" s="119"/>
    </row>
    <row r="955">
      <c r="C955" s="637"/>
      <c r="D955" s="637"/>
      <c r="E955" s="119"/>
      <c r="F955" s="119"/>
      <c r="G955" s="119"/>
      <c r="H955" s="119"/>
      <c r="I955" s="119"/>
      <c r="J955" s="119"/>
      <c r="K955" s="639"/>
      <c r="L955" s="119"/>
      <c r="M955" s="119"/>
      <c r="N955" s="119"/>
      <c r="O955" s="640"/>
      <c r="P955" s="119"/>
    </row>
    <row r="956">
      <c r="C956" s="637"/>
      <c r="D956" s="637"/>
      <c r="E956" s="119"/>
      <c r="F956" s="119"/>
      <c r="G956" s="119"/>
      <c r="H956" s="119"/>
      <c r="I956" s="119"/>
      <c r="J956" s="119"/>
      <c r="K956" s="639"/>
      <c r="L956" s="119"/>
      <c r="M956" s="119"/>
      <c r="N956" s="119"/>
      <c r="O956" s="640"/>
      <c r="P956" s="119"/>
    </row>
    <row r="957">
      <c r="C957" s="637"/>
      <c r="D957" s="637"/>
      <c r="E957" s="119"/>
      <c r="F957" s="119"/>
      <c r="G957" s="119"/>
      <c r="H957" s="119"/>
      <c r="I957" s="119"/>
      <c r="J957" s="119"/>
      <c r="K957" s="639"/>
      <c r="L957" s="119"/>
      <c r="M957" s="119"/>
      <c r="N957" s="119"/>
      <c r="O957" s="640"/>
      <c r="P957" s="119"/>
    </row>
    <row r="958">
      <c r="C958" s="637"/>
      <c r="D958" s="637"/>
      <c r="E958" s="119"/>
      <c r="F958" s="119"/>
      <c r="G958" s="119"/>
      <c r="H958" s="119"/>
      <c r="I958" s="119"/>
      <c r="J958" s="119"/>
      <c r="K958" s="639"/>
      <c r="L958" s="119"/>
      <c r="M958" s="119"/>
      <c r="N958" s="119"/>
      <c r="O958" s="640"/>
      <c r="P958" s="119"/>
    </row>
    <row r="959">
      <c r="C959" s="637"/>
      <c r="D959" s="637"/>
      <c r="E959" s="119"/>
      <c r="F959" s="119"/>
      <c r="G959" s="119"/>
      <c r="H959" s="119"/>
      <c r="I959" s="119"/>
      <c r="J959" s="119"/>
      <c r="K959" s="639"/>
      <c r="L959" s="119"/>
      <c r="M959" s="119"/>
      <c r="N959" s="119"/>
      <c r="O959" s="640"/>
      <c r="P959" s="119"/>
    </row>
    <row r="960">
      <c r="C960" s="637"/>
      <c r="D960" s="637"/>
      <c r="E960" s="119"/>
      <c r="F960" s="119"/>
      <c r="G960" s="119"/>
      <c r="H960" s="119"/>
      <c r="I960" s="119"/>
      <c r="J960" s="119"/>
      <c r="K960" s="639"/>
      <c r="L960" s="119"/>
      <c r="M960" s="119"/>
      <c r="N960" s="119"/>
      <c r="O960" s="640"/>
      <c r="P960" s="119"/>
    </row>
    <row r="961">
      <c r="C961" s="637"/>
      <c r="D961" s="637"/>
      <c r="E961" s="119"/>
      <c r="F961" s="119"/>
      <c r="G961" s="119"/>
      <c r="H961" s="119"/>
      <c r="I961" s="119"/>
      <c r="J961" s="119"/>
      <c r="K961" s="639"/>
      <c r="L961" s="119"/>
      <c r="M961" s="119"/>
      <c r="N961" s="119"/>
      <c r="O961" s="640"/>
      <c r="P961" s="119"/>
    </row>
    <row r="962">
      <c r="C962" s="637"/>
      <c r="D962" s="637"/>
      <c r="E962" s="119"/>
      <c r="F962" s="119"/>
      <c r="G962" s="119"/>
      <c r="H962" s="119"/>
      <c r="I962" s="119"/>
      <c r="J962" s="119"/>
      <c r="K962" s="639"/>
      <c r="L962" s="119"/>
      <c r="M962" s="119"/>
      <c r="N962" s="119"/>
      <c r="O962" s="640"/>
      <c r="P962" s="119"/>
    </row>
    <row r="963">
      <c r="C963" s="637"/>
      <c r="D963" s="637"/>
      <c r="E963" s="119"/>
      <c r="F963" s="119"/>
      <c r="G963" s="119"/>
      <c r="H963" s="119"/>
      <c r="I963" s="119"/>
      <c r="J963" s="119"/>
      <c r="K963" s="639"/>
      <c r="L963" s="119"/>
      <c r="M963" s="119"/>
      <c r="N963" s="119"/>
      <c r="O963" s="640"/>
      <c r="P963" s="119"/>
    </row>
    <row r="964">
      <c r="C964" s="637"/>
      <c r="D964" s="637"/>
      <c r="E964" s="119"/>
      <c r="F964" s="119"/>
      <c r="G964" s="119"/>
      <c r="H964" s="119"/>
      <c r="I964" s="119"/>
      <c r="J964" s="119"/>
      <c r="K964" s="639"/>
      <c r="L964" s="119"/>
      <c r="M964" s="119"/>
      <c r="N964" s="119"/>
      <c r="O964" s="640"/>
      <c r="P964" s="119"/>
    </row>
    <row r="965">
      <c r="C965" s="637"/>
      <c r="D965" s="637"/>
      <c r="E965" s="119"/>
      <c r="F965" s="119"/>
      <c r="G965" s="119"/>
      <c r="H965" s="119"/>
      <c r="I965" s="119"/>
      <c r="J965" s="119"/>
      <c r="K965" s="639"/>
      <c r="L965" s="119"/>
      <c r="M965" s="119"/>
      <c r="N965" s="119"/>
      <c r="O965" s="640"/>
      <c r="P965" s="119"/>
    </row>
    <row r="966">
      <c r="C966" s="637"/>
      <c r="D966" s="637"/>
      <c r="E966" s="119"/>
      <c r="F966" s="119"/>
      <c r="G966" s="119"/>
      <c r="H966" s="119"/>
      <c r="I966" s="119"/>
      <c r="J966" s="119"/>
      <c r="K966" s="639"/>
      <c r="L966" s="119"/>
      <c r="M966" s="119"/>
      <c r="N966" s="119"/>
      <c r="O966" s="640"/>
      <c r="P966" s="119"/>
    </row>
    <row r="967">
      <c r="C967" s="637"/>
      <c r="D967" s="637"/>
      <c r="E967" s="119"/>
      <c r="F967" s="119"/>
      <c r="G967" s="119"/>
      <c r="H967" s="119"/>
      <c r="I967" s="119"/>
      <c r="J967" s="119"/>
      <c r="K967" s="639"/>
      <c r="L967" s="119"/>
      <c r="M967" s="119"/>
      <c r="N967" s="119"/>
      <c r="O967" s="640"/>
      <c r="P967" s="119"/>
    </row>
    <row r="968">
      <c r="C968" s="637"/>
      <c r="D968" s="637"/>
      <c r="E968" s="119"/>
      <c r="F968" s="119"/>
      <c r="G968" s="119"/>
      <c r="H968" s="119"/>
      <c r="I968" s="119"/>
      <c r="J968" s="119"/>
      <c r="K968" s="639"/>
      <c r="L968" s="119"/>
      <c r="M968" s="119"/>
      <c r="N968" s="119"/>
      <c r="O968" s="640"/>
      <c r="P968" s="119"/>
    </row>
    <row r="969">
      <c r="C969" s="637"/>
      <c r="D969" s="637"/>
      <c r="E969" s="119"/>
      <c r="F969" s="119"/>
      <c r="G969" s="119"/>
      <c r="H969" s="119"/>
      <c r="I969" s="119"/>
      <c r="J969" s="119"/>
      <c r="K969" s="639"/>
      <c r="L969" s="119"/>
      <c r="M969" s="119"/>
      <c r="N969" s="119"/>
      <c r="O969" s="640"/>
      <c r="P969" s="119"/>
    </row>
    <row r="970">
      <c r="C970" s="637"/>
      <c r="D970" s="637"/>
      <c r="E970" s="119"/>
      <c r="F970" s="119"/>
      <c r="G970" s="119"/>
      <c r="H970" s="119"/>
      <c r="I970" s="119"/>
      <c r="J970" s="119"/>
      <c r="K970" s="639"/>
      <c r="L970" s="119"/>
      <c r="M970" s="119"/>
      <c r="N970" s="119"/>
      <c r="O970" s="640"/>
      <c r="P970" s="119"/>
    </row>
    <row r="971">
      <c r="C971" s="637"/>
      <c r="D971" s="637"/>
      <c r="E971" s="119"/>
      <c r="F971" s="119"/>
      <c r="G971" s="119"/>
      <c r="H971" s="119"/>
      <c r="I971" s="119"/>
      <c r="J971" s="119"/>
      <c r="K971" s="639"/>
      <c r="L971" s="119"/>
      <c r="M971" s="119"/>
      <c r="N971" s="119"/>
      <c r="O971" s="640"/>
      <c r="P971" s="119"/>
    </row>
    <row r="972">
      <c r="C972" s="637"/>
      <c r="D972" s="637"/>
      <c r="E972" s="119"/>
      <c r="F972" s="119"/>
      <c r="G972" s="119"/>
      <c r="H972" s="119"/>
      <c r="I972" s="119"/>
      <c r="J972" s="119"/>
      <c r="K972" s="639"/>
      <c r="L972" s="119"/>
      <c r="M972" s="119"/>
      <c r="N972" s="119"/>
      <c r="O972" s="640"/>
      <c r="P972" s="119"/>
    </row>
    <row r="973">
      <c r="C973" s="637"/>
      <c r="D973" s="637"/>
      <c r="E973" s="119"/>
      <c r="F973" s="119"/>
      <c r="G973" s="119"/>
      <c r="H973" s="119"/>
      <c r="I973" s="119"/>
      <c r="J973" s="119"/>
      <c r="K973" s="639"/>
      <c r="L973" s="119"/>
      <c r="M973" s="119"/>
      <c r="N973" s="119"/>
      <c r="O973" s="640"/>
      <c r="P973" s="119"/>
    </row>
    <row r="974">
      <c r="C974" s="637"/>
      <c r="D974" s="637"/>
      <c r="E974" s="119"/>
      <c r="F974" s="119"/>
      <c r="G974" s="119"/>
      <c r="H974" s="119"/>
      <c r="I974" s="119"/>
      <c r="J974" s="119"/>
      <c r="K974" s="639"/>
      <c r="L974" s="119"/>
      <c r="M974" s="119"/>
      <c r="N974" s="119"/>
      <c r="O974" s="640"/>
      <c r="P974" s="119"/>
    </row>
    <row r="975">
      <c r="C975" s="637"/>
      <c r="D975" s="637"/>
      <c r="E975" s="119"/>
      <c r="F975" s="119"/>
      <c r="G975" s="119"/>
      <c r="H975" s="119"/>
      <c r="I975" s="119"/>
      <c r="J975" s="119"/>
      <c r="K975" s="639"/>
      <c r="L975" s="119"/>
      <c r="M975" s="119"/>
      <c r="N975" s="119"/>
      <c r="O975" s="640"/>
      <c r="P975" s="119"/>
    </row>
    <row r="976">
      <c r="C976" s="637"/>
      <c r="D976" s="637"/>
      <c r="E976" s="119"/>
      <c r="F976" s="119"/>
      <c r="G976" s="119"/>
      <c r="H976" s="119"/>
      <c r="I976" s="119"/>
      <c r="J976" s="119"/>
      <c r="K976" s="639"/>
      <c r="L976" s="119"/>
      <c r="M976" s="119"/>
      <c r="N976" s="119"/>
      <c r="O976" s="640"/>
      <c r="P976" s="119"/>
    </row>
    <row r="977">
      <c r="C977" s="637"/>
      <c r="D977" s="637"/>
      <c r="E977" s="119"/>
      <c r="F977" s="119"/>
      <c r="G977" s="119"/>
      <c r="H977" s="119"/>
      <c r="I977" s="119"/>
      <c r="J977" s="119"/>
      <c r="K977" s="639"/>
      <c r="L977" s="119"/>
      <c r="M977" s="119"/>
      <c r="N977" s="119"/>
      <c r="O977" s="640"/>
      <c r="P977" s="119"/>
    </row>
    <row r="978">
      <c r="C978" s="637"/>
      <c r="D978" s="637"/>
      <c r="E978" s="119"/>
      <c r="F978" s="119"/>
      <c r="G978" s="119"/>
      <c r="H978" s="119"/>
      <c r="I978" s="119"/>
      <c r="J978" s="119"/>
      <c r="K978" s="639"/>
      <c r="L978" s="119"/>
      <c r="M978" s="119"/>
      <c r="N978" s="119"/>
      <c r="O978" s="640"/>
      <c r="P978" s="119"/>
    </row>
    <row r="979">
      <c r="C979" s="637"/>
      <c r="D979" s="637"/>
      <c r="E979" s="119"/>
      <c r="F979" s="119"/>
      <c r="G979" s="119"/>
      <c r="H979" s="119"/>
      <c r="I979" s="119"/>
      <c r="J979" s="119"/>
      <c r="K979" s="639"/>
      <c r="L979" s="119"/>
      <c r="M979" s="119"/>
      <c r="N979" s="119"/>
      <c r="O979" s="640"/>
      <c r="P979" s="119"/>
    </row>
    <row r="980">
      <c r="C980" s="637"/>
      <c r="D980" s="637"/>
      <c r="E980" s="119"/>
      <c r="F980" s="119"/>
      <c r="G980" s="119"/>
      <c r="H980" s="119"/>
      <c r="I980" s="119"/>
      <c r="J980" s="119"/>
      <c r="K980" s="639"/>
      <c r="L980" s="119"/>
      <c r="M980" s="119"/>
      <c r="N980" s="119"/>
      <c r="O980" s="640"/>
      <c r="P980" s="119"/>
    </row>
    <row r="981">
      <c r="C981" s="637"/>
      <c r="D981" s="637"/>
      <c r="E981" s="119"/>
      <c r="F981" s="119"/>
      <c r="G981" s="119"/>
      <c r="H981" s="119"/>
      <c r="I981" s="119"/>
      <c r="J981" s="119"/>
      <c r="K981" s="639"/>
      <c r="L981" s="119"/>
      <c r="M981" s="119"/>
      <c r="N981" s="119"/>
      <c r="O981" s="640"/>
      <c r="P981" s="119"/>
    </row>
    <row r="982">
      <c r="C982" s="637"/>
      <c r="D982" s="637"/>
      <c r="E982" s="119"/>
      <c r="F982" s="119"/>
      <c r="G982" s="119"/>
      <c r="H982" s="119"/>
      <c r="I982" s="119"/>
      <c r="J982" s="119"/>
      <c r="K982" s="639"/>
      <c r="L982" s="119"/>
      <c r="M982" s="119"/>
      <c r="N982" s="119"/>
      <c r="O982" s="640"/>
      <c r="P982" s="119"/>
    </row>
    <row r="983">
      <c r="C983" s="637"/>
      <c r="D983" s="637"/>
      <c r="E983" s="119"/>
      <c r="F983" s="119"/>
      <c r="G983" s="119"/>
      <c r="H983" s="119"/>
      <c r="I983" s="119"/>
      <c r="J983" s="119"/>
      <c r="K983" s="639"/>
      <c r="L983" s="119"/>
      <c r="M983" s="119"/>
      <c r="N983" s="119"/>
      <c r="O983" s="640"/>
      <c r="P983" s="119"/>
    </row>
    <row r="984">
      <c r="C984" s="637"/>
      <c r="D984" s="637"/>
      <c r="E984" s="119"/>
      <c r="F984" s="119"/>
      <c r="G984" s="119"/>
      <c r="H984" s="119"/>
      <c r="I984" s="119"/>
      <c r="J984" s="119"/>
      <c r="K984" s="639"/>
      <c r="L984" s="119"/>
      <c r="M984" s="119"/>
      <c r="N984" s="119"/>
      <c r="O984" s="640"/>
      <c r="P984" s="119"/>
    </row>
    <row r="985">
      <c r="C985" s="637"/>
      <c r="D985" s="637"/>
      <c r="E985" s="119"/>
      <c r="F985" s="119"/>
      <c r="G985" s="119"/>
      <c r="H985" s="119"/>
      <c r="I985" s="119"/>
      <c r="J985" s="119"/>
      <c r="K985" s="639"/>
      <c r="L985" s="119"/>
      <c r="M985" s="119"/>
      <c r="N985" s="119"/>
      <c r="O985" s="640"/>
      <c r="P985" s="119"/>
    </row>
    <row r="986">
      <c r="C986" s="637"/>
      <c r="D986" s="637"/>
      <c r="E986" s="119"/>
      <c r="F986" s="119"/>
      <c r="G986" s="119"/>
      <c r="H986" s="119"/>
      <c r="I986" s="119"/>
      <c r="J986" s="119"/>
      <c r="K986" s="639"/>
      <c r="L986" s="119"/>
      <c r="M986" s="119"/>
      <c r="N986" s="119"/>
      <c r="O986" s="640"/>
      <c r="P986" s="119"/>
    </row>
    <row r="987">
      <c r="C987" s="637"/>
      <c r="D987" s="637"/>
      <c r="E987" s="119"/>
      <c r="F987" s="119"/>
      <c r="G987" s="119"/>
      <c r="H987" s="119"/>
      <c r="I987" s="119"/>
      <c r="J987" s="119"/>
      <c r="K987" s="639"/>
      <c r="L987" s="119"/>
      <c r="M987" s="119"/>
      <c r="N987" s="119"/>
      <c r="O987" s="640"/>
      <c r="P987" s="119"/>
    </row>
    <row r="988">
      <c r="C988" s="637"/>
      <c r="D988" s="637"/>
      <c r="E988" s="119"/>
      <c r="F988" s="119"/>
      <c r="G988" s="119"/>
      <c r="H988" s="119"/>
      <c r="I988" s="119"/>
      <c r="J988" s="119"/>
      <c r="K988" s="639"/>
      <c r="L988" s="119"/>
      <c r="M988" s="119"/>
      <c r="N988" s="119"/>
      <c r="O988" s="640"/>
      <c r="P988" s="119"/>
    </row>
    <row r="989">
      <c r="C989" s="637"/>
      <c r="D989" s="637"/>
      <c r="E989" s="119"/>
      <c r="F989" s="119"/>
      <c r="G989" s="119"/>
      <c r="H989" s="119"/>
      <c r="I989" s="119"/>
      <c r="J989" s="119"/>
      <c r="K989" s="639"/>
      <c r="L989" s="119"/>
      <c r="M989" s="119"/>
      <c r="N989" s="119"/>
      <c r="O989" s="640"/>
      <c r="P989" s="119"/>
    </row>
    <row r="990">
      <c r="C990" s="637"/>
      <c r="D990" s="637"/>
      <c r="E990" s="119"/>
      <c r="F990" s="119"/>
      <c r="G990" s="119"/>
      <c r="H990" s="119"/>
      <c r="I990" s="119"/>
      <c r="J990" s="119"/>
      <c r="K990" s="639"/>
      <c r="L990" s="119"/>
      <c r="M990" s="119"/>
      <c r="N990" s="119"/>
      <c r="O990" s="640"/>
      <c r="P990" s="119"/>
    </row>
    <row r="991">
      <c r="C991" s="637"/>
      <c r="D991" s="637"/>
      <c r="E991" s="119"/>
      <c r="F991" s="119"/>
      <c r="G991" s="119"/>
      <c r="H991" s="119"/>
      <c r="I991" s="119"/>
      <c r="J991" s="119"/>
      <c r="K991" s="639"/>
      <c r="L991" s="119"/>
      <c r="M991" s="119"/>
      <c r="N991" s="119"/>
      <c r="O991" s="640"/>
      <c r="P991" s="119"/>
    </row>
    <row r="992">
      <c r="C992" s="637"/>
      <c r="D992" s="637"/>
      <c r="E992" s="119"/>
      <c r="F992" s="119"/>
      <c r="G992" s="119"/>
      <c r="H992" s="119"/>
      <c r="I992" s="119"/>
      <c r="J992" s="119"/>
      <c r="K992" s="639"/>
      <c r="L992" s="119"/>
      <c r="M992" s="119"/>
      <c r="N992" s="119"/>
      <c r="O992" s="640"/>
      <c r="P992" s="119"/>
    </row>
    <row r="993">
      <c r="C993" s="637"/>
      <c r="D993" s="637"/>
      <c r="E993" s="119"/>
      <c r="F993" s="119"/>
      <c r="G993" s="119"/>
      <c r="H993" s="119"/>
      <c r="I993" s="119"/>
      <c r="J993" s="119"/>
      <c r="K993" s="639"/>
      <c r="L993" s="119"/>
      <c r="M993" s="119"/>
      <c r="N993" s="119"/>
      <c r="O993" s="640"/>
      <c r="P993" s="119"/>
    </row>
    <row r="994">
      <c r="C994" s="637"/>
      <c r="D994" s="637"/>
      <c r="E994" s="119"/>
      <c r="F994" s="119"/>
      <c r="G994" s="119"/>
      <c r="H994" s="119"/>
      <c r="I994" s="119"/>
      <c r="J994" s="119"/>
      <c r="K994" s="639"/>
      <c r="L994" s="119"/>
      <c r="M994" s="119"/>
      <c r="N994" s="119"/>
      <c r="O994" s="640"/>
      <c r="P994" s="119"/>
    </row>
    <row r="995">
      <c r="C995" s="637"/>
      <c r="D995" s="637"/>
      <c r="E995" s="119"/>
      <c r="F995" s="119"/>
      <c r="G995" s="119"/>
      <c r="H995" s="119"/>
      <c r="I995" s="119"/>
      <c r="J995" s="119"/>
      <c r="K995" s="639"/>
      <c r="L995" s="119"/>
      <c r="M995" s="119"/>
      <c r="N995" s="119"/>
      <c r="O995" s="640"/>
      <c r="P995" s="119"/>
    </row>
    <row r="996">
      <c r="C996" s="637"/>
      <c r="D996" s="637"/>
      <c r="E996" s="119"/>
      <c r="F996" s="119"/>
      <c r="G996" s="119"/>
      <c r="H996" s="119"/>
      <c r="I996" s="119"/>
      <c r="J996" s="119"/>
      <c r="K996" s="639"/>
      <c r="L996" s="119"/>
      <c r="M996" s="119"/>
      <c r="N996" s="119"/>
      <c r="O996" s="640"/>
      <c r="P996" s="119"/>
    </row>
    <row r="997">
      <c r="C997" s="637"/>
      <c r="D997" s="637"/>
      <c r="E997" s="119"/>
      <c r="F997" s="119"/>
      <c r="G997" s="119"/>
      <c r="H997" s="119"/>
      <c r="I997" s="119"/>
      <c r="J997" s="119"/>
      <c r="K997" s="639"/>
      <c r="L997" s="119"/>
      <c r="M997" s="119"/>
      <c r="N997" s="119"/>
      <c r="O997" s="640"/>
      <c r="P997" s="119"/>
    </row>
    <row r="998">
      <c r="C998" s="637"/>
      <c r="D998" s="637"/>
      <c r="E998" s="119"/>
      <c r="F998" s="119"/>
      <c r="G998" s="119"/>
      <c r="H998" s="119"/>
      <c r="I998" s="119"/>
      <c r="J998" s="119"/>
      <c r="K998" s="639"/>
      <c r="L998" s="119"/>
      <c r="M998" s="119"/>
      <c r="N998" s="119"/>
      <c r="O998" s="640"/>
      <c r="P998" s="119"/>
    </row>
    <row r="999">
      <c r="C999" s="637"/>
      <c r="D999" s="637"/>
      <c r="E999" s="119"/>
      <c r="F999" s="119"/>
      <c r="G999" s="119"/>
      <c r="H999" s="119"/>
      <c r="I999" s="119"/>
      <c r="J999" s="119"/>
      <c r="K999" s="639"/>
      <c r="L999" s="119"/>
      <c r="M999" s="119"/>
      <c r="N999" s="119"/>
      <c r="O999" s="640"/>
      <c r="P999" s="119"/>
    </row>
    <row r="1000">
      <c r="C1000" s="637"/>
      <c r="D1000" s="637"/>
      <c r="E1000" s="119"/>
      <c r="F1000" s="119"/>
      <c r="G1000" s="119"/>
      <c r="H1000" s="119"/>
      <c r="I1000" s="119"/>
      <c r="J1000" s="119"/>
      <c r="K1000" s="639"/>
      <c r="L1000" s="119"/>
      <c r="M1000" s="119"/>
      <c r="N1000" s="119"/>
      <c r="O1000" s="640"/>
      <c r="P1000" s="119"/>
    </row>
    <row r="1001">
      <c r="C1001" s="637"/>
      <c r="D1001" s="637"/>
      <c r="E1001" s="119"/>
      <c r="F1001" s="119"/>
      <c r="G1001" s="119"/>
      <c r="H1001" s="119"/>
      <c r="I1001" s="119"/>
      <c r="J1001" s="119"/>
      <c r="K1001" s="639"/>
      <c r="L1001" s="119"/>
      <c r="M1001" s="119"/>
      <c r="N1001" s="119"/>
      <c r="O1001" s="640"/>
      <c r="P1001" s="119"/>
    </row>
    <row r="1002">
      <c r="C1002" s="637"/>
      <c r="D1002" s="637"/>
      <c r="E1002" s="119"/>
      <c r="F1002" s="119"/>
      <c r="G1002" s="119"/>
      <c r="H1002" s="119"/>
      <c r="I1002" s="119"/>
      <c r="J1002" s="119"/>
      <c r="K1002" s="639"/>
      <c r="L1002" s="119"/>
      <c r="M1002" s="119"/>
      <c r="N1002" s="119"/>
      <c r="O1002" s="640"/>
      <c r="P1002" s="119"/>
    </row>
    <row r="1003">
      <c r="C1003" s="637"/>
      <c r="D1003" s="637"/>
      <c r="E1003" s="119"/>
      <c r="F1003" s="119"/>
      <c r="G1003" s="119"/>
      <c r="H1003" s="119"/>
      <c r="I1003" s="119"/>
      <c r="J1003" s="119"/>
      <c r="K1003" s="639"/>
      <c r="L1003" s="119"/>
      <c r="M1003" s="119"/>
      <c r="N1003" s="119"/>
      <c r="O1003" s="640"/>
      <c r="P1003" s="119"/>
    </row>
    <row r="1004">
      <c r="C1004" s="637"/>
      <c r="D1004" s="637"/>
      <c r="E1004" s="119"/>
      <c r="F1004" s="119"/>
      <c r="G1004" s="119"/>
      <c r="H1004" s="119"/>
      <c r="I1004" s="119"/>
      <c r="J1004" s="119"/>
      <c r="K1004" s="639"/>
      <c r="L1004" s="119"/>
      <c r="M1004" s="119"/>
      <c r="N1004" s="119"/>
      <c r="O1004" s="640"/>
      <c r="P1004" s="119"/>
    </row>
    <row r="1005">
      <c r="C1005" s="637"/>
      <c r="D1005" s="637"/>
      <c r="E1005" s="119"/>
      <c r="F1005" s="119"/>
      <c r="G1005" s="119"/>
      <c r="H1005" s="119"/>
      <c r="I1005" s="119"/>
      <c r="J1005" s="119"/>
      <c r="K1005" s="639"/>
      <c r="L1005" s="119"/>
      <c r="M1005" s="119"/>
      <c r="N1005" s="119"/>
      <c r="O1005" s="640"/>
      <c r="P1005" s="119"/>
    </row>
    <row r="1006">
      <c r="C1006" s="637"/>
      <c r="D1006" s="637"/>
      <c r="E1006" s="119"/>
      <c r="F1006" s="119"/>
      <c r="G1006" s="119"/>
      <c r="H1006" s="119"/>
      <c r="I1006" s="119"/>
      <c r="J1006" s="119"/>
      <c r="K1006" s="639"/>
      <c r="L1006" s="119"/>
      <c r="M1006" s="119"/>
      <c r="N1006" s="119"/>
      <c r="O1006" s="640"/>
      <c r="P1006" s="119"/>
    </row>
    <row r="1007">
      <c r="C1007" s="637"/>
      <c r="D1007" s="637"/>
      <c r="E1007" s="119"/>
      <c r="F1007" s="119"/>
      <c r="G1007" s="119"/>
      <c r="H1007" s="119"/>
      <c r="I1007" s="119"/>
      <c r="J1007" s="119"/>
      <c r="K1007" s="639"/>
      <c r="L1007" s="119"/>
      <c r="M1007" s="119"/>
      <c r="N1007" s="119"/>
      <c r="O1007" s="640"/>
      <c r="P1007" s="119"/>
    </row>
    <row r="1008">
      <c r="C1008" s="637"/>
      <c r="D1008" s="637"/>
      <c r="E1008" s="119"/>
      <c r="F1008" s="119"/>
      <c r="G1008" s="119"/>
      <c r="H1008" s="119"/>
      <c r="I1008" s="119"/>
      <c r="J1008" s="119"/>
      <c r="K1008" s="639"/>
      <c r="L1008" s="119"/>
      <c r="M1008" s="119"/>
      <c r="N1008" s="119"/>
      <c r="O1008" s="640"/>
      <c r="P1008" s="119"/>
    </row>
    <row r="1009">
      <c r="C1009" s="637"/>
      <c r="D1009" s="637"/>
      <c r="E1009" s="119"/>
      <c r="F1009" s="119"/>
      <c r="G1009" s="119"/>
      <c r="H1009" s="119"/>
      <c r="I1009" s="119"/>
      <c r="J1009" s="119"/>
      <c r="K1009" s="639"/>
      <c r="L1009" s="119"/>
      <c r="M1009" s="119"/>
      <c r="N1009" s="119"/>
      <c r="O1009" s="640"/>
      <c r="P1009" s="119"/>
    </row>
    <row r="1010">
      <c r="C1010" s="637"/>
      <c r="D1010" s="637"/>
      <c r="E1010" s="119"/>
      <c r="F1010" s="119"/>
      <c r="G1010" s="119"/>
      <c r="H1010" s="119"/>
      <c r="I1010" s="119"/>
      <c r="J1010" s="119"/>
      <c r="K1010" s="639"/>
      <c r="L1010" s="119"/>
      <c r="M1010" s="119"/>
      <c r="N1010" s="119"/>
      <c r="O1010" s="640"/>
      <c r="P1010" s="119"/>
    </row>
    <row r="1011">
      <c r="C1011" s="637"/>
      <c r="D1011" s="637"/>
      <c r="E1011" s="119"/>
      <c r="F1011" s="119"/>
      <c r="G1011" s="119"/>
      <c r="H1011" s="119"/>
      <c r="I1011" s="119"/>
      <c r="J1011" s="119"/>
      <c r="K1011" s="639"/>
      <c r="L1011" s="119"/>
      <c r="M1011" s="119"/>
      <c r="N1011" s="119"/>
      <c r="O1011" s="640"/>
      <c r="P1011" s="119"/>
    </row>
    <row r="1012">
      <c r="C1012" s="637"/>
      <c r="D1012" s="637"/>
      <c r="E1012" s="119"/>
      <c r="F1012" s="119"/>
      <c r="G1012" s="119"/>
      <c r="H1012" s="119"/>
      <c r="I1012" s="119"/>
      <c r="J1012" s="119"/>
      <c r="K1012" s="639"/>
      <c r="L1012" s="119"/>
      <c r="M1012" s="119"/>
      <c r="N1012" s="119"/>
      <c r="O1012" s="640"/>
      <c r="P1012" s="119"/>
    </row>
    <row r="1013">
      <c r="C1013" s="637"/>
      <c r="D1013" s="637"/>
      <c r="E1013" s="119"/>
      <c r="F1013" s="119"/>
      <c r="G1013" s="119"/>
      <c r="H1013" s="119"/>
      <c r="I1013" s="119"/>
      <c r="J1013" s="119"/>
      <c r="K1013" s="639"/>
      <c r="L1013" s="119"/>
      <c r="M1013" s="119"/>
      <c r="N1013" s="119"/>
      <c r="O1013" s="640"/>
      <c r="P1013" s="119"/>
    </row>
    <row r="1014">
      <c r="C1014" s="637"/>
      <c r="D1014" s="637"/>
      <c r="E1014" s="119"/>
      <c r="F1014" s="119"/>
      <c r="G1014" s="119"/>
      <c r="H1014" s="119"/>
      <c r="I1014" s="119"/>
      <c r="J1014" s="119"/>
      <c r="K1014" s="639"/>
      <c r="L1014" s="119"/>
      <c r="M1014" s="119"/>
      <c r="N1014" s="119"/>
      <c r="O1014" s="640"/>
      <c r="P1014" s="119"/>
    </row>
    <row r="1015">
      <c r="C1015" s="637"/>
      <c r="D1015" s="637"/>
      <c r="E1015" s="119"/>
      <c r="F1015" s="119"/>
      <c r="G1015" s="119"/>
      <c r="H1015" s="119"/>
      <c r="I1015" s="119"/>
      <c r="J1015" s="119"/>
      <c r="K1015" s="639"/>
      <c r="L1015" s="119"/>
      <c r="M1015" s="119"/>
      <c r="N1015" s="119"/>
      <c r="O1015" s="640"/>
      <c r="P1015" s="119"/>
    </row>
    <row r="1016">
      <c r="C1016" s="637"/>
      <c r="D1016" s="637"/>
      <c r="E1016" s="119"/>
      <c r="F1016" s="119"/>
      <c r="G1016" s="119"/>
      <c r="H1016" s="119"/>
      <c r="I1016" s="119"/>
      <c r="J1016" s="119"/>
      <c r="K1016" s="639"/>
      <c r="L1016" s="119"/>
      <c r="M1016" s="119"/>
      <c r="N1016" s="119"/>
      <c r="O1016" s="640"/>
      <c r="P1016" s="119"/>
    </row>
    <row r="1017">
      <c r="C1017" s="637"/>
      <c r="D1017" s="637"/>
      <c r="E1017" s="119"/>
      <c r="F1017" s="119"/>
      <c r="G1017" s="119"/>
      <c r="H1017" s="119"/>
      <c r="I1017" s="119"/>
      <c r="J1017" s="119"/>
      <c r="K1017" s="639"/>
      <c r="L1017" s="119"/>
      <c r="M1017" s="119"/>
      <c r="N1017" s="119"/>
      <c r="O1017" s="640"/>
      <c r="P1017" s="119"/>
    </row>
    <row r="1018">
      <c r="C1018" s="637"/>
      <c r="D1018" s="637"/>
      <c r="E1018" s="119"/>
      <c r="F1018" s="119"/>
      <c r="G1018" s="119"/>
      <c r="H1018" s="119"/>
      <c r="I1018" s="119"/>
      <c r="J1018" s="119"/>
      <c r="K1018" s="639"/>
      <c r="L1018" s="119"/>
      <c r="M1018" s="119"/>
      <c r="N1018" s="119"/>
      <c r="O1018" s="640"/>
      <c r="P1018" s="119"/>
    </row>
    <row r="1019">
      <c r="C1019" s="637"/>
      <c r="D1019" s="637"/>
      <c r="E1019" s="119"/>
      <c r="F1019" s="119"/>
      <c r="G1019" s="119"/>
      <c r="H1019" s="119"/>
      <c r="I1019" s="119"/>
      <c r="J1019" s="119"/>
      <c r="K1019" s="639"/>
      <c r="L1019" s="119"/>
      <c r="M1019" s="119"/>
      <c r="N1019" s="119"/>
      <c r="O1019" s="640"/>
      <c r="P1019" s="119"/>
    </row>
    <row r="1020">
      <c r="C1020" s="637"/>
      <c r="D1020" s="637"/>
      <c r="E1020" s="119"/>
      <c r="F1020" s="119"/>
      <c r="G1020" s="119"/>
      <c r="H1020" s="119"/>
      <c r="I1020" s="119"/>
      <c r="J1020" s="119"/>
      <c r="K1020" s="639"/>
      <c r="L1020" s="119"/>
      <c r="M1020" s="119"/>
      <c r="N1020" s="119"/>
      <c r="O1020" s="640"/>
      <c r="P1020" s="119"/>
    </row>
    <row r="1021">
      <c r="C1021" s="637"/>
      <c r="D1021" s="637"/>
      <c r="E1021" s="119"/>
      <c r="F1021" s="119"/>
      <c r="G1021" s="119"/>
      <c r="H1021" s="119"/>
      <c r="I1021" s="119"/>
      <c r="J1021" s="119"/>
      <c r="K1021" s="639"/>
      <c r="L1021" s="119"/>
      <c r="M1021" s="119"/>
      <c r="N1021" s="119"/>
      <c r="O1021" s="640"/>
      <c r="P1021" s="119"/>
    </row>
    <row r="1022">
      <c r="C1022" s="637"/>
      <c r="D1022" s="637"/>
      <c r="E1022" s="119"/>
      <c r="F1022" s="119"/>
      <c r="G1022" s="119"/>
      <c r="H1022" s="119"/>
      <c r="I1022" s="119"/>
      <c r="J1022" s="119"/>
      <c r="K1022" s="639"/>
      <c r="L1022" s="119"/>
      <c r="M1022" s="119"/>
      <c r="N1022" s="119"/>
      <c r="O1022" s="640"/>
      <c r="P1022" s="119"/>
    </row>
    <row r="1023">
      <c r="C1023" s="637"/>
      <c r="D1023" s="637"/>
      <c r="E1023" s="119"/>
      <c r="F1023" s="119"/>
      <c r="G1023" s="119"/>
      <c r="H1023" s="119"/>
      <c r="I1023" s="119"/>
      <c r="J1023" s="119"/>
      <c r="K1023" s="639"/>
      <c r="L1023" s="119"/>
      <c r="M1023" s="119"/>
      <c r="N1023" s="119"/>
      <c r="O1023" s="640"/>
      <c r="P1023" s="119"/>
    </row>
    <row r="1024">
      <c r="C1024" s="637"/>
      <c r="D1024" s="637"/>
      <c r="E1024" s="119"/>
      <c r="F1024" s="119"/>
      <c r="G1024" s="119"/>
      <c r="H1024" s="119"/>
      <c r="I1024" s="119"/>
      <c r="J1024" s="119"/>
      <c r="K1024" s="639"/>
      <c r="L1024" s="119"/>
      <c r="M1024" s="119"/>
      <c r="N1024" s="119"/>
      <c r="O1024" s="640"/>
      <c r="P1024" s="119"/>
    </row>
  </sheetData>
  <mergeCells count="12">
    <mergeCell ref="K2:K3"/>
    <mergeCell ref="O2:O3"/>
    <mergeCell ref="P2:P3"/>
    <mergeCell ref="Q2:Q3"/>
    <mergeCell ref="O1:R1"/>
    <mergeCell ref="B2:D3"/>
    <mergeCell ref="E2:E3"/>
    <mergeCell ref="F2:F3"/>
    <mergeCell ref="G2:G3"/>
    <mergeCell ref="H2:H3"/>
    <mergeCell ref="I2:J2"/>
    <mergeCell ref="R2:R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4.57"/>
    <col customWidth="1" min="2" max="2" width="5.14"/>
    <col customWidth="1" min="3" max="3" width="7.86"/>
    <col customWidth="1" hidden="1" min="4" max="4" width="3.86"/>
    <col customWidth="1" hidden="1" min="5" max="5" width="11.14"/>
    <col customWidth="1" hidden="1" min="6" max="7" width="12.57"/>
    <col customWidth="1" hidden="1" min="8" max="8" width="13.43"/>
    <col customWidth="1" hidden="1" min="9" max="9" width="11.29"/>
    <col customWidth="1" hidden="1" min="10" max="10" width="11.86"/>
    <col customWidth="1" hidden="1" min="11" max="11" width="11.0"/>
    <col customWidth="1" hidden="1" min="12" max="13" width="10.86"/>
    <col customWidth="1" min="14" max="14" width="12.43"/>
    <col customWidth="1" min="15" max="15" width="12.14"/>
    <col customWidth="1" min="16" max="16" width="11.57"/>
    <col customWidth="1" min="17" max="17" width="13.57"/>
    <col customWidth="1" min="18" max="18" width="18.43"/>
    <col customWidth="1" min="19" max="19" width="8.71"/>
    <col customWidth="1" min="20" max="20" width="12.43"/>
    <col customWidth="1" min="21" max="21" width="9.71"/>
    <col customWidth="1" min="22" max="22" width="10.86"/>
    <col customWidth="1" min="23" max="23" width="13.86"/>
    <col customWidth="1" min="24" max="24" width="12.0"/>
    <col customWidth="1" min="25" max="27" width="8.71"/>
  </cols>
  <sheetData>
    <row r="1" ht="14.25" customHeight="1">
      <c r="B1" s="9" t="s">
        <v>3</v>
      </c>
      <c r="C1" s="11"/>
      <c r="D1" s="13"/>
      <c r="E1" s="26"/>
      <c r="F1" s="26"/>
      <c r="G1" s="26"/>
      <c r="H1" s="74"/>
      <c r="I1" s="75"/>
      <c r="J1" s="77"/>
      <c r="K1" s="80"/>
      <c r="L1" s="83" t="s">
        <v>4</v>
      </c>
      <c r="M1" s="30"/>
      <c r="N1" s="31"/>
      <c r="O1" s="96"/>
      <c r="P1" s="98" t="s">
        <v>27</v>
      </c>
      <c r="Q1" s="101"/>
      <c r="R1" s="114"/>
      <c r="U1" s="117"/>
      <c r="V1" s="119"/>
      <c r="W1" s="122"/>
    </row>
    <row r="2" ht="14.25" customHeight="1">
      <c r="A2" s="36"/>
      <c r="B2" s="126" t="s">
        <v>7</v>
      </c>
      <c r="C2" s="127"/>
      <c r="D2" s="129"/>
      <c r="E2" s="132" t="s">
        <v>8</v>
      </c>
      <c r="F2" s="134" t="s">
        <v>9</v>
      </c>
      <c r="G2" s="136" t="s">
        <v>10</v>
      </c>
      <c r="H2" s="132" t="s">
        <v>11</v>
      </c>
      <c r="I2" s="137" t="s">
        <v>12</v>
      </c>
      <c r="J2" s="44"/>
      <c r="K2" s="139" t="s">
        <v>13</v>
      </c>
      <c r="L2" s="46"/>
      <c r="M2" s="47"/>
      <c r="N2" s="48"/>
      <c r="O2" s="142" t="s">
        <v>14</v>
      </c>
      <c r="P2" s="144" t="s">
        <v>15</v>
      </c>
      <c r="Q2" s="147" t="s">
        <v>16</v>
      </c>
      <c r="R2" s="148" t="s">
        <v>11</v>
      </c>
      <c r="S2" s="36"/>
      <c r="T2" s="36"/>
      <c r="U2" s="151"/>
      <c r="V2" s="153"/>
      <c r="W2" s="153"/>
      <c r="X2" s="36"/>
      <c r="Y2" s="36"/>
      <c r="Z2" s="36"/>
      <c r="AA2" s="36"/>
    </row>
    <row r="3" ht="14.25" customHeight="1">
      <c r="A3" s="36"/>
      <c r="B3" s="159"/>
      <c r="C3" s="143"/>
      <c r="D3" s="57"/>
      <c r="E3" s="56"/>
      <c r="F3" s="56"/>
      <c r="G3" s="56"/>
      <c r="H3" s="56"/>
      <c r="I3" s="160" t="s">
        <v>18</v>
      </c>
      <c r="J3" s="161" t="s">
        <v>17</v>
      </c>
      <c r="K3" s="59"/>
      <c r="L3" s="162" t="s">
        <v>18</v>
      </c>
      <c r="M3" s="164" t="s">
        <v>19</v>
      </c>
      <c r="N3" s="166" t="s">
        <v>39</v>
      </c>
      <c r="O3" s="63"/>
      <c r="P3" s="56"/>
      <c r="Q3" s="56"/>
      <c r="R3" s="59"/>
      <c r="S3" s="36"/>
      <c r="T3" s="36"/>
      <c r="U3" s="151"/>
      <c r="V3" s="153"/>
      <c r="W3" s="153"/>
      <c r="X3" s="36"/>
      <c r="Y3" s="36"/>
      <c r="Z3" s="36"/>
      <c r="AA3" s="36"/>
    </row>
    <row r="4" ht="14.25" customHeight="1">
      <c r="B4" s="171" t="s">
        <v>40</v>
      </c>
      <c r="C4" s="172">
        <v>45293.0</v>
      </c>
      <c r="D4" s="173">
        <v>1.0</v>
      </c>
      <c r="E4" s="176">
        <v>1804.2</v>
      </c>
      <c r="F4" s="176"/>
      <c r="G4" s="176"/>
      <c r="H4" s="178" t="s">
        <v>42</v>
      </c>
      <c r="I4" s="181"/>
      <c r="J4" s="176"/>
      <c r="K4" s="186">
        <f t="shared" ref="K4:K6" si="1">E4-J4-L4-M4-N4-I4</f>
        <v>0</v>
      </c>
      <c r="L4" s="176">
        <v>1804.2</v>
      </c>
      <c r="M4" s="176"/>
      <c r="N4" s="190"/>
      <c r="O4" s="190">
        <v>-700.0</v>
      </c>
      <c r="P4" s="190"/>
      <c r="Q4" s="71">
        <f>N4+O4+P4</f>
        <v>-700</v>
      </c>
      <c r="R4" s="190"/>
      <c r="U4" s="117"/>
      <c r="V4" s="119"/>
      <c r="W4" s="122"/>
    </row>
    <row r="5" ht="14.25" customHeight="1">
      <c r="B5" s="171"/>
      <c r="C5" s="192">
        <v>45326.0</v>
      </c>
      <c r="D5" s="193"/>
      <c r="E5" s="194"/>
      <c r="F5" s="194"/>
      <c r="G5" s="194"/>
      <c r="H5" s="196"/>
      <c r="I5" s="198"/>
      <c r="J5" s="194"/>
      <c r="K5" s="199">
        <f t="shared" si="1"/>
        <v>0</v>
      </c>
      <c r="L5" s="194"/>
      <c r="M5" s="194"/>
      <c r="N5" s="200"/>
      <c r="O5" s="200"/>
      <c r="P5" s="200"/>
      <c r="Q5" s="88">
        <f t="shared" ref="Q5:Q28" si="2">Q4+N5+O5+P5</f>
        <v>-700</v>
      </c>
      <c r="R5" s="200"/>
      <c r="U5" s="117"/>
      <c r="V5" s="119"/>
      <c r="W5" s="122"/>
    </row>
    <row r="6" ht="14.25" customHeight="1">
      <c r="B6" s="171"/>
      <c r="C6" s="172">
        <v>45387.0</v>
      </c>
      <c r="D6" s="173">
        <v>1.0</v>
      </c>
      <c r="E6" s="176">
        <v>2700.0</v>
      </c>
      <c r="F6" s="176"/>
      <c r="G6" s="176"/>
      <c r="H6" s="178"/>
      <c r="I6" s="181"/>
      <c r="J6" s="176">
        <v>1000.0</v>
      </c>
      <c r="K6" s="186">
        <f t="shared" si="1"/>
        <v>0</v>
      </c>
      <c r="L6" s="176"/>
      <c r="M6" s="176"/>
      <c r="N6" s="190">
        <v>1700.0</v>
      </c>
      <c r="O6" s="190">
        <v>-700.0</v>
      </c>
      <c r="P6" s="190"/>
      <c r="Q6" s="71">
        <f t="shared" si="2"/>
        <v>300</v>
      </c>
      <c r="R6" s="190"/>
      <c r="U6" s="117"/>
      <c r="V6" s="119"/>
      <c r="W6" s="122"/>
    </row>
    <row r="7" ht="14.25" customHeight="1">
      <c r="B7" s="171"/>
      <c r="C7" s="172">
        <v>45418.0</v>
      </c>
      <c r="D7" s="173">
        <v>1.0</v>
      </c>
      <c r="E7" s="176">
        <v>1788.68</v>
      </c>
      <c r="F7" s="176"/>
      <c r="G7" s="176"/>
      <c r="H7" s="178" t="s">
        <v>53</v>
      </c>
      <c r="I7" s="181"/>
      <c r="J7" s="176"/>
      <c r="K7" s="186">
        <f>E8-J8-L8-M8-N8-I8</f>
        <v>0</v>
      </c>
      <c r="L7" s="176">
        <v>1788.68</v>
      </c>
      <c r="M7" s="176"/>
      <c r="N7" s="190"/>
      <c r="O7" s="190">
        <v>-700.0</v>
      </c>
      <c r="P7" s="190"/>
      <c r="Q7" s="71">
        <f t="shared" si="2"/>
        <v>-400</v>
      </c>
      <c r="R7" s="190"/>
      <c r="U7" s="117"/>
      <c r="V7" s="119"/>
      <c r="W7" s="122"/>
    </row>
    <row r="8" ht="14.25" customHeight="1">
      <c r="B8" s="171"/>
      <c r="C8" s="172">
        <v>45450.0</v>
      </c>
      <c r="D8" s="173">
        <v>1.0</v>
      </c>
      <c r="E8" s="176">
        <v>2000.0</v>
      </c>
      <c r="F8" s="176"/>
      <c r="G8" s="176"/>
      <c r="H8" s="178"/>
      <c r="I8" s="181"/>
      <c r="J8" s="176">
        <v>500.0</v>
      </c>
      <c r="K8" s="186">
        <f t="shared" ref="K8:K13" si="3">E8-J8-L8-M8-N8-I8</f>
        <v>0</v>
      </c>
      <c r="L8" s="176"/>
      <c r="M8" s="176">
        <v>1500.0</v>
      </c>
      <c r="N8" s="190"/>
      <c r="O8" s="190">
        <v>-700.0</v>
      </c>
      <c r="P8" s="190"/>
      <c r="Q8" s="71">
        <f t="shared" si="2"/>
        <v>-1100</v>
      </c>
      <c r="R8" s="190"/>
      <c r="U8" s="117"/>
      <c r="V8" s="119"/>
      <c r="W8" s="122"/>
    </row>
    <row r="9" ht="14.25" customHeight="1">
      <c r="B9" s="171"/>
      <c r="C9" s="208" t="s">
        <v>57</v>
      </c>
      <c r="D9" s="173">
        <v>1.0</v>
      </c>
      <c r="E9" s="176">
        <v>3000.0</v>
      </c>
      <c r="F9" s="176"/>
      <c r="G9" s="176"/>
      <c r="H9" s="178"/>
      <c r="I9" s="181"/>
      <c r="J9" s="176">
        <v>1000.0</v>
      </c>
      <c r="K9" s="186">
        <f t="shared" si="3"/>
        <v>0</v>
      </c>
      <c r="L9" s="176"/>
      <c r="M9" s="176"/>
      <c r="N9" s="190">
        <v>2000.0</v>
      </c>
      <c r="O9" s="190">
        <v>-700.0</v>
      </c>
      <c r="P9" s="190"/>
      <c r="Q9" s="71">
        <f t="shared" si="2"/>
        <v>200</v>
      </c>
      <c r="R9" s="190"/>
      <c r="U9" s="117"/>
      <c r="V9" s="119"/>
      <c r="W9" s="122"/>
    </row>
    <row r="10" ht="14.25" customHeight="1">
      <c r="B10" s="171"/>
      <c r="C10" s="172">
        <v>45513.0</v>
      </c>
      <c r="D10" s="173">
        <v>1.0</v>
      </c>
      <c r="E10" s="176">
        <v>2800.0</v>
      </c>
      <c r="F10" s="176"/>
      <c r="G10" s="176"/>
      <c r="H10" s="178"/>
      <c r="I10" s="181"/>
      <c r="J10" s="176">
        <v>1000.0</v>
      </c>
      <c r="K10" s="186">
        <f t="shared" si="3"/>
        <v>0</v>
      </c>
      <c r="L10" s="176">
        <v>1800.0</v>
      </c>
      <c r="M10" s="176"/>
      <c r="N10" s="190"/>
      <c r="O10" s="190">
        <v>-700.0</v>
      </c>
      <c r="P10" s="190"/>
      <c r="Q10" s="71">
        <f t="shared" si="2"/>
        <v>-500</v>
      </c>
      <c r="R10" s="190"/>
      <c r="U10" s="117"/>
      <c r="V10" s="119"/>
      <c r="W10" s="122"/>
    </row>
    <row r="11" ht="14.25" customHeight="1">
      <c r="B11" s="171"/>
      <c r="C11" s="172">
        <v>45546.0</v>
      </c>
      <c r="D11" s="173">
        <v>2.0</v>
      </c>
      <c r="E11" s="176">
        <v>4300.0</v>
      </c>
      <c r="F11" s="176"/>
      <c r="G11" s="176"/>
      <c r="H11" s="178"/>
      <c r="I11" s="181"/>
      <c r="J11" s="176">
        <v>1500.0</v>
      </c>
      <c r="K11" s="186">
        <f t="shared" si="3"/>
        <v>0</v>
      </c>
      <c r="L11" s="176"/>
      <c r="M11" s="176">
        <v>2800.0</v>
      </c>
      <c r="N11" s="190"/>
      <c r="O11" s="190">
        <v>-700.0</v>
      </c>
      <c r="P11" s="190"/>
      <c r="Q11" s="71">
        <f t="shared" si="2"/>
        <v>-1200</v>
      </c>
      <c r="R11" s="190"/>
      <c r="U11" s="117"/>
      <c r="V11" s="119"/>
      <c r="W11" s="122"/>
    </row>
    <row r="12" ht="14.25" customHeight="1">
      <c r="B12" s="171"/>
      <c r="C12" s="192">
        <v>45610.0</v>
      </c>
      <c r="D12" s="193"/>
      <c r="E12" s="194"/>
      <c r="F12" s="194"/>
      <c r="G12" s="194"/>
      <c r="H12" s="196"/>
      <c r="I12" s="198"/>
      <c r="J12" s="194"/>
      <c r="K12" s="199">
        <f t="shared" si="3"/>
        <v>0</v>
      </c>
      <c r="L12" s="194"/>
      <c r="M12" s="194"/>
      <c r="N12" s="200"/>
      <c r="O12" s="200"/>
      <c r="P12" s="200"/>
      <c r="Q12" s="88">
        <f t="shared" si="2"/>
        <v>-1200</v>
      </c>
      <c r="R12" s="200"/>
      <c r="U12" s="117"/>
      <c r="V12" s="119"/>
      <c r="W12" s="122"/>
    </row>
    <row r="13" ht="14.25" customHeight="1">
      <c r="B13" s="171"/>
      <c r="C13" s="173" t="s">
        <v>29</v>
      </c>
      <c r="D13" s="173">
        <v>1.0</v>
      </c>
      <c r="E13" s="176">
        <v>2700.0</v>
      </c>
      <c r="F13" s="176"/>
      <c r="G13" s="176"/>
      <c r="H13" s="178"/>
      <c r="I13" s="181"/>
      <c r="J13" s="176">
        <v>1000.0</v>
      </c>
      <c r="K13" s="186">
        <f t="shared" si="3"/>
        <v>0</v>
      </c>
      <c r="L13" s="176"/>
      <c r="M13" s="176"/>
      <c r="N13" s="190">
        <v>1700.0</v>
      </c>
      <c r="O13" s="190">
        <v>-700.0</v>
      </c>
      <c r="P13" s="190"/>
      <c r="Q13" s="71">
        <f t="shared" si="2"/>
        <v>-200</v>
      </c>
      <c r="R13" s="190"/>
      <c r="U13" s="117"/>
      <c r="V13" s="119"/>
      <c r="W13" s="122"/>
    </row>
    <row r="14" ht="14.25" customHeight="1">
      <c r="B14" s="227"/>
      <c r="C14" s="193" t="s">
        <v>65</v>
      </c>
      <c r="D14" s="193"/>
      <c r="E14" s="194"/>
      <c r="F14" s="194"/>
      <c r="G14" s="194"/>
      <c r="H14" s="196"/>
      <c r="I14" s="198"/>
      <c r="J14" s="194"/>
      <c r="K14" s="199"/>
      <c r="L14" s="194"/>
      <c r="M14" s="194"/>
      <c r="N14" s="200"/>
      <c r="O14" s="200"/>
      <c r="P14" s="200"/>
      <c r="Q14" s="88">
        <f t="shared" si="2"/>
        <v>-200</v>
      </c>
      <c r="R14" s="200"/>
      <c r="U14" s="117"/>
      <c r="V14" s="119"/>
      <c r="W14" s="122"/>
    </row>
    <row r="15" ht="14.25" customHeight="1">
      <c r="B15" s="171"/>
      <c r="C15" s="173" t="s">
        <v>33</v>
      </c>
      <c r="D15" s="173">
        <v>1.0</v>
      </c>
      <c r="E15" s="176">
        <v>2500.0</v>
      </c>
      <c r="F15" s="176"/>
      <c r="G15" s="176"/>
      <c r="H15" s="178"/>
      <c r="I15" s="181"/>
      <c r="J15" s="176">
        <v>1000.0</v>
      </c>
      <c r="K15" s="186">
        <f t="shared" ref="K15:K28" si="4">E15-J15-L15-M15-N15-I15</f>
        <v>0</v>
      </c>
      <c r="L15" s="176"/>
      <c r="M15" s="176">
        <v>1500.0</v>
      </c>
      <c r="N15" s="190"/>
      <c r="O15" s="190">
        <v>-700.0</v>
      </c>
      <c r="P15" s="190"/>
      <c r="Q15" s="71">
        <f t="shared" si="2"/>
        <v>-900</v>
      </c>
      <c r="R15" s="190"/>
      <c r="U15" s="117"/>
      <c r="V15" s="119"/>
      <c r="W15" s="122"/>
    </row>
    <row r="16" ht="14.25" customHeight="1">
      <c r="B16" s="171"/>
      <c r="C16" s="173" t="s">
        <v>34</v>
      </c>
      <c r="D16" s="173">
        <v>1.0</v>
      </c>
      <c r="E16" s="176">
        <v>2500.0</v>
      </c>
      <c r="F16" s="176"/>
      <c r="G16" s="176"/>
      <c r="H16" s="178"/>
      <c r="I16" s="181"/>
      <c r="J16" s="176">
        <v>1000.0</v>
      </c>
      <c r="K16" s="186">
        <f t="shared" si="4"/>
        <v>0</v>
      </c>
      <c r="L16" s="176"/>
      <c r="M16" s="176"/>
      <c r="N16" s="190">
        <v>1500.0</v>
      </c>
      <c r="O16" s="190">
        <v>-700.0</v>
      </c>
      <c r="P16" s="190"/>
      <c r="Q16" s="71">
        <f t="shared" si="2"/>
        <v>-100</v>
      </c>
      <c r="R16" s="190"/>
      <c r="U16" s="117"/>
      <c r="V16" s="119"/>
      <c r="W16" s="122"/>
    </row>
    <row r="17" ht="14.25" customHeight="1">
      <c r="B17" s="171"/>
      <c r="C17" s="173" t="s">
        <v>69</v>
      </c>
      <c r="D17" s="173">
        <v>1.0</v>
      </c>
      <c r="E17" s="176">
        <v>2300.0</v>
      </c>
      <c r="F17" s="176"/>
      <c r="G17" s="176"/>
      <c r="H17" s="178"/>
      <c r="I17" s="181"/>
      <c r="J17" s="176">
        <v>1000.0</v>
      </c>
      <c r="K17" s="186">
        <f t="shared" si="4"/>
        <v>0</v>
      </c>
      <c r="L17" s="176"/>
      <c r="M17" s="176"/>
      <c r="N17" s="190">
        <v>1300.0</v>
      </c>
      <c r="O17" s="190">
        <v>-700.0</v>
      </c>
      <c r="P17" s="190"/>
      <c r="Q17" s="71">
        <f t="shared" si="2"/>
        <v>500</v>
      </c>
      <c r="R17" s="190"/>
      <c r="U17" s="117"/>
      <c r="V17" s="119"/>
      <c r="W17" s="122"/>
    </row>
    <row r="18" ht="14.25" customHeight="1">
      <c r="B18" s="171"/>
      <c r="C18" s="173" t="s">
        <v>68</v>
      </c>
      <c r="D18" s="173">
        <v>1.0</v>
      </c>
      <c r="E18" s="176">
        <v>3200.0</v>
      </c>
      <c r="F18" s="176"/>
      <c r="G18" s="176"/>
      <c r="H18" s="178"/>
      <c r="I18" s="181"/>
      <c r="J18" s="176">
        <v>1000.0</v>
      </c>
      <c r="K18" s="186">
        <f t="shared" si="4"/>
        <v>0</v>
      </c>
      <c r="L18" s="176"/>
      <c r="M18" s="176"/>
      <c r="N18" s="190">
        <v>2200.0</v>
      </c>
      <c r="O18" s="190">
        <v>-700.0</v>
      </c>
      <c r="P18" s="190"/>
      <c r="Q18" s="71">
        <f t="shared" si="2"/>
        <v>2000</v>
      </c>
      <c r="R18" s="190"/>
      <c r="U18" s="117"/>
      <c r="V18" s="119"/>
      <c r="W18" s="122"/>
    </row>
    <row r="19" ht="14.25" customHeight="1">
      <c r="B19" s="171"/>
      <c r="C19" s="173" t="s">
        <v>37</v>
      </c>
      <c r="D19" s="173">
        <v>1.0</v>
      </c>
      <c r="E19" s="176">
        <v>2300.0</v>
      </c>
      <c r="F19" s="176"/>
      <c r="G19" s="176"/>
      <c r="H19" s="178"/>
      <c r="I19" s="181"/>
      <c r="J19" s="176">
        <v>500.0</v>
      </c>
      <c r="K19" s="186">
        <f t="shared" si="4"/>
        <v>0</v>
      </c>
      <c r="L19" s="176"/>
      <c r="M19" s="176"/>
      <c r="N19" s="190">
        <v>1800.0</v>
      </c>
      <c r="O19" s="190">
        <v>-700.0</v>
      </c>
      <c r="P19" s="190"/>
      <c r="Q19" s="71">
        <f t="shared" si="2"/>
        <v>3100</v>
      </c>
      <c r="R19" s="190"/>
      <c r="W19" s="122"/>
    </row>
    <row r="20" ht="14.25" customHeight="1">
      <c r="B20" s="171"/>
      <c r="C20" s="173" t="s">
        <v>41</v>
      </c>
      <c r="D20" s="173">
        <v>1.0</v>
      </c>
      <c r="E20" s="176">
        <v>2500.0</v>
      </c>
      <c r="F20" s="176"/>
      <c r="G20" s="176"/>
      <c r="H20" s="178"/>
      <c r="I20" s="181"/>
      <c r="J20" s="176">
        <v>1000.0</v>
      </c>
      <c r="K20" s="186">
        <f t="shared" si="4"/>
        <v>0</v>
      </c>
      <c r="L20" s="176"/>
      <c r="M20" s="176"/>
      <c r="N20" s="190">
        <v>1500.0</v>
      </c>
      <c r="O20" s="190">
        <v>-700.0</v>
      </c>
      <c r="P20" s="190"/>
      <c r="Q20" s="71">
        <f t="shared" si="2"/>
        <v>3900</v>
      </c>
      <c r="R20" s="190"/>
      <c r="W20" s="122"/>
    </row>
    <row r="21" ht="14.25" customHeight="1">
      <c r="B21" s="171"/>
      <c r="C21" s="173" t="s">
        <v>71</v>
      </c>
      <c r="D21" s="173">
        <v>2.0</v>
      </c>
      <c r="E21" s="176">
        <v>7700.0</v>
      </c>
      <c r="F21" s="176"/>
      <c r="G21" s="176"/>
      <c r="H21" s="178"/>
      <c r="I21" s="181"/>
      <c r="J21" s="176">
        <v>1500.0</v>
      </c>
      <c r="K21" s="186">
        <f t="shared" si="4"/>
        <v>0</v>
      </c>
      <c r="L21" s="176"/>
      <c r="M21" s="176">
        <v>1300.0</v>
      </c>
      <c r="N21" s="190">
        <v>4900.0</v>
      </c>
      <c r="O21" s="190">
        <v>-700.0</v>
      </c>
      <c r="P21" s="190">
        <v>-1000.0</v>
      </c>
      <c r="Q21" s="71">
        <f t="shared" si="2"/>
        <v>7100</v>
      </c>
      <c r="R21" s="190"/>
      <c r="W21" s="122"/>
    </row>
    <row r="22" ht="14.25" customHeight="1">
      <c r="B22" s="171"/>
      <c r="C22" s="173" t="s">
        <v>47</v>
      </c>
      <c r="D22" s="173">
        <v>1.0</v>
      </c>
      <c r="E22" s="176">
        <v>2100.0</v>
      </c>
      <c r="F22" s="176"/>
      <c r="G22" s="176"/>
      <c r="H22" s="178"/>
      <c r="I22" s="181"/>
      <c r="J22" s="176">
        <v>1000.0</v>
      </c>
      <c r="K22" s="186">
        <f t="shared" si="4"/>
        <v>0</v>
      </c>
      <c r="L22" s="176"/>
      <c r="M22" s="176"/>
      <c r="N22" s="190">
        <v>1100.0</v>
      </c>
      <c r="O22" s="190">
        <v>-700.0</v>
      </c>
      <c r="P22" s="190"/>
      <c r="Q22" s="71">
        <f t="shared" si="2"/>
        <v>7500</v>
      </c>
      <c r="R22" s="190"/>
      <c r="W22" s="122"/>
    </row>
    <row r="23" ht="14.25" customHeight="1">
      <c r="B23" s="171"/>
      <c r="C23" s="173" t="s">
        <v>72</v>
      </c>
      <c r="D23" s="173">
        <v>1.0</v>
      </c>
      <c r="E23" s="176">
        <v>3000.0</v>
      </c>
      <c r="F23" s="176"/>
      <c r="G23" s="176"/>
      <c r="H23" s="178"/>
      <c r="I23" s="181"/>
      <c r="J23" s="176">
        <v>1000.0</v>
      </c>
      <c r="K23" s="186">
        <f t="shared" si="4"/>
        <v>0</v>
      </c>
      <c r="L23" s="176"/>
      <c r="M23" s="176"/>
      <c r="N23" s="190">
        <v>2000.0</v>
      </c>
      <c r="O23" s="190">
        <v>-700.0</v>
      </c>
      <c r="P23" s="190"/>
      <c r="Q23" s="71">
        <f t="shared" si="2"/>
        <v>8800</v>
      </c>
      <c r="R23" s="190"/>
      <c r="W23" s="122"/>
    </row>
    <row r="24" ht="14.25" customHeight="1">
      <c r="B24" s="171"/>
      <c r="C24" s="173" t="s">
        <v>73</v>
      </c>
      <c r="D24" s="173">
        <v>1.0</v>
      </c>
      <c r="E24" s="176">
        <v>3000.0</v>
      </c>
      <c r="F24" s="176"/>
      <c r="G24" s="176"/>
      <c r="H24" s="178"/>
      <c r="I24" s="181"/>
      <c r="J24" s="176">
        <v>1000.0</v>
      </c>
      <c r="K24" s="186">
        <f t="shared" si="4"/>
        <v>0</v>
      </c>
      <c r="L24" s="176"/>
      <c r="M24" s="176"/>
      <c r="N24" s="190">
        <v>2000.0</v>
      </c>
      <c r="O24" s="190">
        <v>-700.0</v>
      </c>
      <c r="P24" s="190"/>
      <c r="Q24" s="71">
        <f t="shared" si="2"/>
        <v>10100</v>
      </c>
      <c r="R24" s="190"/>
      <c r="W24" s="240"/>
    </row>
    <row r="25" ht="14.25" customHeight="1">
      <c r="B25" s="171"/>
      <c r="C25" s="173" t="s">
        <v>49</v>
      </c>
      <c r="D25" s="173">
        <v>1.0</v>
      </c>
      <c r="E25" s="176">
        <v>3700.0</v>
      </c>
      <c r="F25" s="176"/>
      <c r="G25" s="176"/>
      <c r="H25" s="178"/>
      <c r="I25" s="181"/>
      <c r="J25" s="176">
        <v>1000.0</v>
      </c>
      <c r="K25" s="186">
        <f t="shared" si="4"/>
        <v>0</v>
      </c>
      <c r="L25" s="176"/>
      <c r="M25" s="176"/>
      <c r="N25" s="190">
        <v>2700.0</v>
      </c>
      <c r="O25" s="190">
        <v>-700.0</v>
      </c>
      <c r="P25" s="190"/>
      <c r="Q25" s="71">
        <f t="shared" si="2"/>
        <v>12100</v>
      </c>
      <c r="R25" s="190"/>
      <c r="W25" s="122"/>
    </row>
    <row r="26" ht="14.25" customHeight="1">
      <c r="B26" s="171"/>
      <c r="C26" s="208" t="s">
        <v>75</v>
      </c>
      <c r="D26" s="173">
        <v>2.0</v>
      </c>
      <c r="E26" s="176">
        <v>5700.0</v>
      </c>
      <c r="F26" s="176"/>
      <c r="G26" s="176"/>
      <c r="H26" s="178"/>
      <c r="I26" s="181"/>
      <c r="J26" s="176">
        <v>1500.0</v>
      </c>
      <c r="K26" s="186">
        <f t="shared" si="4"/>
        <v>0</v>
      </c>
      <c r="L26" s="176">
        <v>4200.0</v>
      </c>
      <c r="M26" s="176"/>
      <c r="N26" s="190"/>
      <c r="O26" s="190">
        <v>-700.0</v>
      </c>
      <c r="P26" s="190"/>
      <c r="Q26" s="71">
        <f t="shared" si="2"/>
        <v>11400</v>
      </c>
      <c r="R26" s="190"/>
      <c r="W26" s="240"/>
    </row>
    <row r="27" ht="14.25" customHeight="1">
      <c r="B27" s="171"/>
      <c r="C27" s="173"/>
      <c r="D27" s="173"/>
      <c r="E27" s="176"/>
      <c r="F27" s="176"/>
      <c r="G27" s="176"/>
      <c r="H27" s="178"/>
      <c r="I27" s="181"/>
      <c r="J27" s="176"/>
      <c r="K27" s="186">
        <f t="shared" si="4"/>
        <v>0</v>
      </c>
      <c r="L27" s="176"/>
      <c r="M27" s="176"/>
      <c r="N27" s="190"/>
      <c r="O27" s="190"/>
      <c r="P27" s="190">
        <v>-500.0</v>
      </c>
      <c r="Q27" s="71">
        <f t="shared" si="2"/>
        <v>10900</v>
      </c>
      <c r="R27" s="190" t="s">
        <v>76</v>
      </c>
      <c r="W27" s="122"/>
    </row>
    <row r="28" ht="14.25" customHeight="1">
      <c r="B28" s="171"/>
      <c r="C28" s="173"/>
      <c r="D28" s="173"/>
      <c r="E28" s="176"/>
      <c r="F28" s="176"/>
      <c r="G28" s="176"/>
      <c r="H28" s="178"/>
      <c r="I28" s="181"/>
      <c r="J28" s="176"/>
      <c r="K28" s="186">
        <f t="shared" si="4"/>
        <v>0</v>
      </c>
      <c r="L28" s="176"/>
      <c r="M28" s="176"/>
      <c r="N28" s="190"/>
      <c r="O28" s="190"/>
      <c r="P28" s="190">
        <v>-5081.29</v>
      </c>
      <c r="Q28" s="71">
        <f t="shared" si="2"/>
        <v>5818.71</v>
      </c>
      <c r="R28" s="190" t="s">
        <v>79</v>
      </c>
      <c r="W28" s="122"/>
    </row>
    <row r="29" ht="14.25" customHeight="1">
      <c r="B29" s="245" t="s">
        <v>40</v>
      </c>
      <c r="C29" s="246" t="s">
        <v>80</v>
      </c>
      <c r="D29" s="246">
        <f t="shared" ref="D29:E29" si="5">SUM(D4:D28)</f>
        <v>23</v>
      </c>
      <c r="E29" s="247">
        <f t="shared" si="5"/>
        <v>61592.88</v>
      </c>
      <c r="F29" s="247"/>
      <c r="G29" s="247">
        <f t="shared" ref="G29:P29" si="6">SUM(G4:G28)</f>
        <v>0</v>
      </c>
      <c r="H29" s="247">
        <f t="shared" si="6"/>
        <v>0</v>
      </c>
      <c r="I29" s="249">
        <f t="shared" si="6"/>
        <v>0</v>
      </c>
      <c r="J29" s="247">
        <f t="shared" si="6"/>
        <v>18500</v>
      </c>
      <c r="K29" s="247">
        <f t="shared" si="6"/>
        <v>0</v>
      </c>
      <c r="L29" s="247">
        <f t="shared" si="6"/>
        <v>9592.88</v>
      </c>
      <c r="M29" s="247">
        <f t="shared" si="6"/>
        <v>7100</v>
      </c>
      <c r="N29" s="247">
        <f t="shared" si="6"/>
        <v>26400</v>
      </c>
      <c r="O29" s="247">
        <f t="shared" si="6"/>
        <v>-14000</v>
      </c>
      <c r="P29" s="247">
        <f t="shared" si="6"/>
        <v>-6581.29</v>
      </c>
      <c r="Q29" s="247">
        <f>Q28</f>
        <v>5818.71</v>
      </c>
      <c r="R29" s="250"/>
      <c r="W29" s="122"/>
    </row>
    <row r="30" ht="14.25" customHeight="1">
      <c r="B30" s="171" t="s">
        <v>21</v>
      </c>
      <c r="C30" s="172">
        <v>45659.0</v>
      </c>
      <c r="D30" s="173">
        <v>1.0</v>
      </c>
      <c r="E30" s="176">
        <v>2800.0</v>
      </c>
      <c r="F30" s="176"/>
      <c r="G30" s="176"/>
      <c r="H30" s="178"/>
      <c r="I30" s="181"/>
      <c r="J30" s="176">
        <v>1000.0</v>
      </c>
      <c r="K30" s="186">
        <f t="shared" ref="K30:K58" si="7">E30-J30-L30-M30-N30-I30</f>
        <v>0</v>
      </c>
      <c r="L30" s="176"/>
      <c r="M30" s="176"/>
      <c r="N30" s="190">
        <v>1800.0</v>
      </c>
      <c r="O30" s="190">
        <v>-700.0</v>
      </c>
      <c r="P30" s="190"/>
      <c r="Q30" s="71">
        <f t="shared" ref="Q30:Q58" si="8">Q29+N30+O30+P30</f>
        <v>6918.71</v>
      </c>
      <c r="R30" s="190"/>
      <c r="W30" s="122"/>
    </row>
    <row r="31" ht="14.25" customHeight="1">
      <c r="B31" s="171"/>
      <c r="C31" s="172">
        <v>45691.0</v>
      </c>
      <c r="D31" s="173">
        <v>1.0</v>
      </c>
      <c r="E31" s="176">
        <v>2300.0</v>
      </c>
      <c r="F31" s="176"/>
      <c r="G31" s="176"/>
      <c r="H31" s="178"/>
      <c r="I31" s="181"/>
      <c r="J31" s="176">
        <v>1000.0</v>
      </c>
      <c r="K31" s="186">
        <f t="shared" si="7"/>
        <v>0</v>
      </c>
      <c r="L31" s="176"/>
      <c r="M31" s="176"/>
      <c r="N31" s="190">
        <v>1300.0</v>
      </c>
      <c r="O31" s="190">
        <v>-700.0</v>
      </c>
      <c r="P31" s="190"/>
      <c r="Q31" s="71">
        <f t="shared" si="8"/>
        <v>7518.71</v>
      </c>
      <c r="R31" s="190"/>
      <c r="W31" s="122"/>
    </row>
    <row r="32" ht="14.25" customHeight="1">
      <c r="B32" s="171"/>
      <c r="C32" s="208" t="s">
        <v>22</v>
      </c>
      <c r="D32" s="173">
        <v>1.0</v>
      </c>
      <c r="E32" s="176">
        <v>2750.0</v>
      </c>
      <c r="F32" s="176"/>
      <c r="G32" s="176"/>
      <c r="H32" s="178"/>
      <c r="I32" s="181"/>
      <c r="J32" s="176">
        <v>1000.0</v>
      </c>
      <c r="K32" s="186">
        <f t="shared" si="7"/>
        <v>0</v>
      </c>
      <c r="L32" s="176">
        <v>1750.0</v>
      </c>
      <c r="M32" s="176"/>
      <c r="N32" s="190"/>
      <c r="O32" s="190">
        <v>-700.0</v>
      </c>
      <c r="P32" s="190"/>
      <c r="Q32" s="71">
        <f t="shared" si="8"/>
        <v>6818.71</v>
      </c>
      <c r="R32" s="190"/>
      <c r="W32" s="122"/>
    </row>
    <row r="33" ht="14.25" customHeight="1">
      <c r="B33" s="171"/>
      <c r="C33" s="172">
        <v>45752.0</v>
      </c>
      <c r="D33" s="173">
        <v>1.0</v>
      </c>
      <c r="E33" s="176">
        <v>2800.0</v>
      </c>
      <c r="F33" s="176"/>
      <c r="G33" s="176"/>
      <c r="H33" s="178"/>
      <c r="I33" s="181"/>
      <c r="J33" s="176">
        <v>1000.0</v>
      </c>
      <c r="K33" s="186">
        <f t="shared" si="7"/>
        <v>0</v>
      </c>
      <c r="L33" s="176"/>
      <c r="M33" s="176"/>
      <c r="N33" s="190">
        <v>1800.0</v>
      </c>
      <c r="O33" s="190">
        <v>-700.0</v>
      </c>
      <c r="P33" s="190"/>
      <c r="Q33" s="71">
        <f t="shared" si="8"/>
        <v>7918.71</v>
      </c>
      <c r="R33" s="190"/>
      <c r="W33" s="122"/>
    </row>
    <row r="34" ht="14.25" customHeight="1">
      <c r="B34" s="171"/>
      <c r="C34" s="208" t="s">
        <v>87</v>
      </c>
      <c r="D34" s="173">
        <v>1.0</v>
      </c>
      <c r="E34" s="176">
        <v>2200.0</v>
      </c>
      <c r="F34" s="176"/>
      <c r="G34" s="176">
        <v>400.0</v>
      </c>
      <c r="H34" s="178"/>
      <c r="I34" s="181"/>
      <c r="J34" s="176">
        <v>1000.0</v>
      </c>
      <c r="K34" s="186">
        <f t="shared" si="7"/>
        <v>0</v>
      </c>
      <c r="L34" s="176"/>
      <c r="M34" s="176"/>
      <c r="N34" s="190">
        <v>1200.0</v>
      </c>
      <c r="O34" s="190">
        <v>-700.0</v>
      </c>
      <c r="P34" s="190"/>
      <c r="Q34" s="71">
        <f t="shared" si="8"/>
        <v>8418.71</v>
      </c>
      <c r="R34" s="190"/>
      <c r="W34" s="122"/>
    </row>
    <row r="35" ht="14.25" customHeight="1">
      <c r="B35" s="171"/>
      <c r="C35" s="172">
        <v>45815.0</v>
      </c>
      <c r="D35" s="173">
        <v>1.0</v>
      </c>
      <c r="E35" s="176">
        <v>2300.0</v>
      </c>
      <c r="F35" s="176"/>
      <c r="G35" s="176"/>
      <c r="H35" s="178"/>
      <c r="I35" s="181"/>
      <c r="J35" s="176">
        <v>500.0</v>
      </c>
      <c r="K35" s="186">
        <f t="shared" si="7"/>
        <v>0</v>
      </c>
      <c r="L35" s="176"/>
      <c r="M35" s="176"/>
      <c r="N35" s="190">
        <v>1800.0</v>
      </c>
      <c r="O35" s="190">
        <v>-700.0</v>
      </c>
      <c r="P35" s="190"/>
      <c r="Q35" s="71">
        <f t="shared" si="8"/>
        <v>9518.71</v>
      </c>
      <c r="R35" s="190"/>
      <c r="U35" s="117"/>
      <c r="V35" s="119"/>
      <c r="W35" s="122"/>
    </row>
    <row r="36" ht="14.25" customHeight="1">
      <c r="B36" s="227"/>
      <c r="C36" s="192">
        <v>45848.0</v>
      </c>
      <c r="D36" s="193"/>
      <c r="E36" s="194"/>
      <c r="F36" s="194"/>
      <c r="G36" s="194"/>
      <c r="H36" s="196"/>
      <c r="I36" s="198"/>
      <c r="J36" s="194"/>
      <c r="K36" s="199">
        <f t="shared" si="7"/>
        <v>0</v>
      </c>
      <c r="L36" s="194"/>
      <c r="M36" s="194"/>
      <c r="N36" s="200"/>
      <c r="O36" s="200"/>
      <c r="P36" s="200"/>
      <c r="Q36" s="88">
        <f t="shared" si="8"/>
        <v>9518.71</v>
      </c>
      <c r="R36" s="200"/>
      <c r="U36" s="117"/>
      <c r="V36" s="119"/>
      <c r="W36" s="122"/>
    </row>
    <row r="37" ht="14.25" customHeight="1">
      <c r="B37" s="171"/>
      <c r="C37" s="172">
        <v>45942.0</v>
      </c>
      <c r="D37" s="173">
        <v>2.0</v>
      </c>
      <c r="E37" s="176">
        <v>5300.0</v>
      </c>
      <c r="F37" s="176"/>
      <c r="G37" s="176"/>
      <c r="H37" s="178"/>
      <c r="I37" s="181"/>
      <c r="J37" s="176">
        <v>1500.0</v>
      </c>
      <c r="K37" s="186">
        <f t="shared" si="7"/>
        <v>0</v>
      </c>
      <c r="L37" s="176"/>
      <c r="M37" s="176">
        <v>3800.0</v>
      </c>
      <c r="N37" s="190"/>
      <c r="O37" s="190">
        <v>-700.0</v>
      </c>
      <c r="P37" s="190"/>
      <c r="Q37" s="71">
        <f t="shared" si="8"/>
        <v>8818.71</v>
      </c>
      <c r="R37" s="190"/>
      <c r="U37" s="117"/>
      <c r="V37" s="119"/>
      <c r="W37" s="122"/>
    </row>
    <row r="38" ht="14.25" customHeight="1">
      <c r="B38" s="171"/>
      <c r="C38" s="172">
        <v>46004.0</v>
      </c>
      <c r="D38" s="173">
        <v>1.0</v>
      </c>
      <c r="E38" s="176">
        <f>2800+400</f>
        <v>3200</v>
      </c>
      <c r="F38" s="176"/>
      <c r="G38" s="176"/>
      <c r="H38" s="178"/>
      <c r="I38" s="181"/>
      <c r="J38" s="176">
        <v>1000.0</v>
      </c>
      <c r="K38" s="186">
        <f t="shared" si="7"/>
        <v>0</v>
      </c>
      <c r="L38" s="176"/>
      <c r="M38" s="176">
        <v>2200.0</v>
      </c>
      <c r="N38" s="190"/>
      <c r="O38" s="190">
        <v>-700.0</v>
      </c>
      <c r="P38" s="190"/>
      <c r="Q38" s="71">
        <f t="shared" si="8"/>
        <v>8118.71</v>
      </c>
      <c r="R38" s="190"/>
      <c r="U38" s="117"/>
      <c r="V38" s="119"/>
      <c r="W38" s="122"/>
    </row>
    <row r="39" ht="14.25" customHeight="1">
      <c r="B39" s="227"/>
      <c r="C39" s="193" t="s">
        <v>29</v>
      </c>
      <c r="D39" s="193"/>
      <c r="E39" s="194"/>
      <c r="F39" s="194"/>
      <c r="G39" s="194"/>
      <c r="H39" s="196"/>
      <c r="I39" s="198"/>
      <c r="J39" s="194"/>
      <c r="K39" s="199">
        <f t="shared" si="7"/>
        <v>0</v>
      </c>
      <c r="L39" s="194"/>
      <c r="M39" s="194"/>
      <c r="N39" s="200"/>
      <c r="O39" s="200"/>
      <c r="P39" s="200"/>
      <c r="Q39" s="88">
        <f t="shared" si="8"/>
        <v>8118.71</v>
      </c>
      <c r="R39" s="200"/>
      <c r="U39" s="117"/>
      <c r="V39" s="119"/>
      <c r="W39" s="122"/>
    </row>
    <row r="40" ht="14.25" customHeight="1">
      <c r="B40" s="171"/>
      <c r="C40" s="173" t="s">
        <v>30</v>
      </c>
      <c r="D40" s="173">
        <v>1.0</v>
      </c>
      <c r="E40" s="176">
        <v>2300.0</v>
      </c>
      <c r="F40" s="176"/>
      <c r="G40" s="176"/>
      <c r="H40" s="178"/>
      <c r="I40" s="181"/>
      <c r="J40" s="176">
        <v>1000.0</v>
      </c>
      <c r="K40" s="186">
        <f t="shared" si="7"/>
        <v>0</v>
      </c>
      <c r="L40" s="176"/>
      <c r="M40" s="176"/>
      <c r="N40" s="190">
        <v>1300.0</v>
      </c>
      <c r="O40" s="190">
        <v>-700.0</v>
      </c>
      <c r="P40" s="190"/>
      <c r="Q40" s="71">
        <f t="shared" si="8"/>
        <v>8718.71</v>
      </c>
      <c r="R40" s="190"/>
      <c r="U40" s="117"/>
      <c r="V40" s="119"/>
      <c r="W40" s="122"/>
    </row>
    <row r="41" ht="14.25" customHeight="1">
      <c r="B41" s="171"/>
      <c r="C41" s="173" t="s">
        <v>31</v>
      </c>
      <c r="D41" s="173">
        <v>1.0</v>
      </c>
      <c r="E41" s="176">
        <v>2000.0</v>
      </c>
      <c r="F41" s="176"/>
      <c r="G41" s="176"/>
      <c r="H41" s="178"/>
      <c r="I41" s="181"/>
      <c r="J41" s="176">
        <v>1000.0</v>
      </c>
      <c r="K41" s="186">
        <f t="shared" si="7"/>
        <v>0</v>
      </c>
      <c r="L41" s="176"/>
      <c r="M41" s="176"/>
      <c r="N41" s="190">
        <v>1000.0</v>
      </c>
      <c r="O41" s="190">
        <v>-700.0</v>
      </c>
      <c r="P41" s="190"/>
      <c r="Q41" s="71">
        <f t="shared" si="8"/>
        <v>9018.71</v>
      </c>
      <c r="R41" s="190"/>
      <c r="U41" s="117"/>
      <c r="V41" s="119"/>
      <c r="W41" s="122"/>
    </row>
    <row r="42" ht="14.25" customHeight="1">
      <c r="B42" s="171"/>
      <c r="C42" s="173" t="s">
        <v>32</v>
      </c>
      <c r="D42" s="173">
        <v>1.0</v>
      </c>
      <c r="E42" s="176">
        <v>2000.0</v>
      </c>
      <c r="F42" s="176"/>
      <c r="G42" s="176"/>
      <c r="H42" s="178"/>
      <c r="I42" s="181"/>
      <c r="J42" s="176">
        <v>1000.0</v>
      </c>
      <c r="K42" s="186">
        <f t="shared" si="7"/>
        <v>0</v>
      </c>
      <c r="L42" s="176"/>
      <c r="M42" s="176"/>
      <c r="N42" s="190">
        <v>1000.0</v>
      </c>
      <c r="O42" s="190">
        <v>-700.0</v>
      </c>
      <c r="P42" s="190"/>
      <c r="Q42" s="71">
        <f t="shared" si="8"/>
        <v>9318.71</v>
      </c>
      <c r="R42" s="190"/>
      <c r="U42" s="117"/>
      <c r="V42" s="119"/>
      <c r="W42" s="122"/>
    </row>
    <row r="43" ht="14.25" customHeight="1">
      <c r="B43" s="171"/>
      <c r="C43" s="173" t="s">
        <v>33</v>
      </c>
      <c r="D43" s="173">
        <v>1.0</v>
      </c>
      <c r="E43" s="176">
        <v>2800.0</v>
      </c>
      <c r="F43" s="176"/>
      <c r="G43" s="176"/>
      <c r="H43" s="178"/>
      <c r="I43" s="181"/>
      <c r="J43" s="176">
        <v>1000.0</v>
      </c>
      <c r="K43" s="186">
        <f t="shared" si="7"/>
        <v>0</v>
      </c>
      <c r="L43" s="176"/>
      <c r="M43" s="282">
        <v>1800.0</v>
      </c>
      <c r="N43" s="190"/>
      <c r="O43" s="190">
        <v>-700.0</v>
      </c>
      <c r="P43" s="190"/>
      <c r="Q43" s="71">
        <f t="shared" si="8"/>
        <v>8618.71</v>
      </c>
      <c r="R43" s="190"/>
      <c r="U43" s="117"/>
      <c r="V43" s="119"/>
      <c r="W43" s="122"/>
    </row>
    <row r="44" ht="14.25" customHeight="1">
      <c r="B44" s="171"/>
      <c r="C44" s="173" t="s">
        <v>34</v>
      </c>
      <c r="D44" s="173">
        <v>1.0</v>
      </c>
      <c r="E44" s="176">
        <v>1969.1</v>
      </c>
      <c r="F44" s="176"/>
      <c r="G44" s="176"/>
      <c r="H44" s="178"/>
      <c r="I44" s="181"/>
      <c r="J44" s="176"/>
      <c r="K44" s="186">
        <f t="shared" si="7"/>
        <v>0</v>
      </c>
      <c r="L44" s="176">
        <v>1969.1</v>
      </c>
      <c r="M44" s="176"/>
      <c r="N44" s="190"/>
      <c r="O44" s="190">
        <v>-700.0</v>
      </c>
      <c r="P44" s="190"/>
      <c r="Q44" s="71">
        <f t="shared" si="8"/>
        <v>7918.71</v>
      </c>
      <c r="R44" s="190"/>
      <c r="U44" s="117"/>
      <c r="V44" s="119"/>
      <c r="W44" s="122"/>
    </row>
    <row r="45" ht="14.25" customHeight="1">
      <c r="B45" s="171"/>
      <c r="C45" s="284" t="s">
        <v>69</v>
      </c>
      <c r="D45" s="284">
        <v>1.0</v>
      </c>
      <c r="E45" s="282">
        <v>2000.0</v>
      </c>
      <c r="F45" s="176"/>
      <c r="G45" s="176"/>
      <c r="H45" s="178"/>
      <c r="I45" s="181"/>
      <c r="J45" s="282">
        <v>500.0</v>
      </c>
      <c r="K45" s="186">
        <f t="shared" si="7"/>
        <v>0</v>
      </c>
      <c r="L45" s="176"/>
      <c r="M45" s="176"/>
      <c r="N45" s="287">
        <v>1500.0</v>
      </c>
      <c r="O45" s="190">
        <v>-700.0</v>
      </c>
      <c r="P45" s="190"/>
      <c r="Q45" s="71">
        <f t="shared" si="8"/>
        <v>8718.71</v>
      </c>
      <c r="R45" s="190"/>
      <c r="U45" s="117"/>
      <c r="V45" s="119"/>
      <c r="W45" s="122"/>
    </row>
    <row r="46" ht="14.25" customHeight="1">
      <c r="B46" s="227"/>
      <c r="C46" s="193" t="s">
        <v>35</v>
      </c>
      <c r="D46" s="193"/>
      <c r="E46" s="194">
        <v>500.0</v>
      </c>
      <c r="F46" s="194"/>
      <c r="G46" s="194"/>
      <c r="H46" s="196" t="s">
        <v>94</v>
      </c>
      <c r="I46" s="198"/>
      <c r="J46" s="194">
        <v>500.0</v>
      </c>
      <c r="K46" s="199">
        <f t="shared" si="7"/>
        <v>0</v>
      </c>
      <c r="L46" s="194"/>
      <c r="M46" s="194"/>
      <c r="N46" s="200"/>
      <c r="O46" s="200"/>
      <c r="P46" s="200"/>
      <c r="Q46" s="88">
        <f t="shared" si="8"/>
        <v>8718.71</v>
      </c>
      <c r="R46" s="200"/>
      <c r="U46" s="117"/>
      <c r="V46" s="119"/>
      <c r="W46" s="122"/>
    </row>
    <row r="47" ht="14.25" customHeight="1">
      <c r="B47" s="171"/>
      <c r="C47" s="173" t="s">
        <v>37</v>
      </c>
      <c r="D47" s="173">
        <v>1.0</v>
      </c>
      <c r="E47" s="176">
        <v>2500.0</v>
      </c>
      <c r="F47" s="176"/>
      <c r="G47" s="176"/>
      <c r="H47" s="178"/>
      <c r="I47" s="181"/>
      <c r="J47" s="176"/>
      <c r="K47" s="186">
        <f t="shared" si="7"/>
        <v>0</v>
      </c>
      <c r="L47" s="176"/>
      <c r="M47" s="176"/>
      <c r="N47" s="190">
        <v>2500.0</v>
      </c>
      <c r="O47" s="190">
        <v>-700.0</v>
      </c>
      <c r="P47" s="190">
        <v>-500.0</v>
      </c>
      <c r="Q47" s="71">
        <f t="shared" si="8"/>
        <v>10018.71</v>
      </c>
      <c r="R47" s="190" t="s">
        <v>95</v>
      </c>
      <c r="U47" s="117"/>
      <c r="V47" s="119"/>
      <c r="W47" s="122"/>
    </row>
    <row r="48" ht="14.25" customHeight="1">
      <c r="B48" s="227"/>
      <c r="C48" s="193" t="s">
        <v>41</v>
      </c>
      <c r="D48" s="193"/>
      <c r="E48" s="194"/>
      <c r="F48" s="194"/>
      <c r="G48" s="194"/>
      <c r="H48" s="196"/>
      <c r="I48" s="198"/>
      <c r="J48" s="194"/>
      <c r="K48" s="199">
        <f t="shared" si="7"/>
        <v>0</v>
      </c>
      <c r="L48" s="194"/>
      <c r="M48" s="194"/>
      <c r="N48" s="200"/>
      <c r="O48" s="200"/>
      <c r="P48" s="200"/>
      <c r="Q48" s="88">
        <f t="shared" si="8"/>
        <v>10018.71</v>
      </c>
      <c r="R48" s="200"/>
      <c r="U48" s="117"/>
      <c r="V48" s="119"/>
      <c r="W48" s="122"/>
    </row>
    <row r="49" ht="14.25" customHeight="1">
      <c r="B49" s="171"/>
      <c r="C49" s="173" t="s">
        <v>44</v>
      </c>
      <c r="D49" s="173">
        <v>1.0</v>
      </c>
      <c r="E49" s="176">
        <v>2200.0</v>
      </c>
      <c r="F49" s="176"/>
      <c r="G49" s="176"/>
      <c r="H49" s="178"/>
      <c r="I49" s="181"/>
      <c r="J49" s="176">
        <v>1000.0</v>
      </c>
      <c r="K49" s="186">
        <f t="shared" si="7"/>
        <v>0</v>
      </c>
      <c r="L49" s="176"/>
      <c r="M49" s="176">
        <v>1200.0</v>
      </c>
      <c r="N49" s="190"/>
      <c r="O49" s="190">
        <v>-700.0</v>
      </c>
      <c r="P49" s="190"/>
      <c r="Q49" s="71">
        <f t="shared" si="8"/>
        <v>9318.71</v>
      </c>
      <c r="R49" s="190"/>
      <c r="U49" s="117"/>
      <c r="V49" s="119"/>
      <c r="W49" s="122"/>
    </row>
    <row r="50" ht="14.25" customHeight="1">
      <c r="B50" s="171"/>
      <c r="C50" s="173" t="s">
        <v>45</v>
      </c>
      <c r="D50" s="173"/>
      <c r="E50" s="176">
        <v>1000.0</v>
      </c>
      <c r="F50" s="176"/>
      <c r="G50" s="176"/>
      <c r="H50" s="178" t="s">
        <v>97</v>
      </c>
      <c r="I50" s="181"/>
      <c r="J50" s="176">
        <v>1000.0</v>
      </c>
      <c r="K50" s="186">
        <f t="shared" si="7"/>
        <v>0</v>
      </c>
      <c r="L50" s="176"/>
      <c r="M50" s="176"/>
      <c r="N50" s="190"/>
      <c r="O50" s="190"/>
      <c r="P50" s="190"/>
      <c r="Q50" s="71">
        <f t="shared" si="8"/>
        <v>9318.71</v>
      </c>
      <c r="R50" s="190" t="s">
        <v>98</v>
      </c>
      <c r="U50" s="117"/>
      <c r="V50" s="119"/>
      <c r="W50" s="122"/>
    </row>
    <row r="51" ht="14.25" customHeight="1">
      <c r="B51" s="171"/>
      <c r="C51" s="173" t="s">
        <v>99</v>
      </c>
      <c r="D51" s="173">
        <v>2.0</v>
      </c>
      <c r="E51" s="176">
        <v>5000.0</v>
      </c>
      <c r="F51" s="176"/>
      <c r="G51" s="176"/>
      <c r="H51" s="178"/>
      <c r="I51" s="181"/>
      <c r="J51" s="176">
        <v>1500.0</v>
      </c>
      <c r="K51" s="186">
        <f t="shared" si="7"/>
        <v>0</v>
      </c>
      <c r="L51" s="176"/>
      <c r="M51" s="176">
        <v>3500.0</v>
      </c>
      <c r="N51" s="190"/>
      <c r="O51" s="190">
        <v>-700.0</v>
      </c>
      <c r="P51" s="190"/>
      <c r="Q51" s="71">
        <f t="shared" si="8"/>
        <v>8618.71</v>
      </c>
      <c r="R51" s="190"/>
      <c r="U51" s="117"/>
      <c r="V51" s="119"/>
      <c r="W51" s="122"/>
    </row>
    <row r="52" ht="14.25" customHeight="1">
      <c r="B52" s="171"/>
      <c r="C52" s="173" t="s">
        <v>72</v>
      </c>
      <c r="D52" s="173">
        <v>1.0</v>
      </c>
      <c r="E52" s="176">
        <v>2500.0</v>
      </c>
      <c r="F52" s="176"/>
      <c r="G52" s="176"/>
      <c r="H52" s="178"/>
      <c r="I52" s="181"/>
      <c r="J52" s="176">
        <v>1000.0</v>
      </c>
      <c r="K52" s="186">
        <f t="shared" si="7"/>
        <v>0</v>
      </c>
      <c r="L52" s="176"/>
      <c r="M52" s="176"/>
      <c r="N52" s="190">
        <v>1500.0</v>
      </c>
      <c r="O52" s="190">
        <v>-700.0</v>
      </c>
      <c r="P52" s="190"/>
      <c r="Q52" s="71">
        <f t="shared" si="8"/>
        <v>9418.71</v>
      </c>
      <c r="R52" s="190"/>
      <c r="U52" s="117"/>
      <c r="V52" s="119"/>
      <c r="W52" s="122"/>
    </row>
    <row r="53" ht="14.25" customHeight="1">
      <c r="B53" s="171"/>
      <c r="C53" s="173" t="s">
        <v>88</v>
      </c>
      <c r="D53" s="173">
        <v>2.0</v>
      </c>
      <c r="E53" s="176">
        <v>6000.0</v>
      </c>
      <c r="F53" s="176"/>
      <c r="G53" s="176"/>
      <c r="H53" s="178"/>
      <c r="I53" s="181"/>
      <c r="J53" s="176">
        <v>1500.0</v>
      </c>
      <c r="K53" s="186">
        <f t="shared" si="7"/>
        <v>0</v>
      </c>
      <c r="L53" s="176"/>
      <c r="M53" s="176"/>
      <c r="N53" s="190">
        <v>4500.0</v>
      </c>
      <c r="O53" s="190">
        <v>-700.0</v>
      </c>
      <c r="P53" s="287">
        <v>-1000.0</v>
      </c>
      <c r="Q53" s="71">
        <f t="shared" si="8"/>
        <v>12218.71</v>
      </c>
      <c r="R53" s="287" t="s">
        <v>85</v>
      </c>
      <c r="U53" s="117"/>
      <c r="V53" s="119"/>
      <c r="W53" s="122"/>
    </row>
    <row r="54" ht="14.25" customHeight="1">
      <c r="B54" s="227"/>
      <c r="C54" s="193" t="s">
        <v>50</v>
      </c>
      <c r="D54" s="193"/>
      <c r="E54" s="194"/>
      <c r="F54" s="194"/>
      <c r="G54" s="194"/>
      <c r="H54" s="196"/>
      <c r="I54" s="198"/>
      <c r="J54" s="194"/>
      <c r="K54" s="199">
        <f t="shared" si="7"/>
        <v>0</v>
      </c>
      <c r="L54" s="194"/>
      <c r="M54" s="194"/>
      <c r="N54" s="200"/>
      <c r="O54" s="200"/>
      <c r="P54" s="200"/>
      <c r="Q54" s="88">
        <f t="shared" si="8"/>
        <v>12218.71</v>
      </c>
      <c r="R54" s="200"/>
      <c r="U54" s="117"/>
      <c r="V54" s="119"/>
      <c r="W54" s="122"/>
    </row>
    <row r="55" ht="14.25" customHeight="1">
      <c r="B55" s="171"/>
      <c r="C55" s="173" t="s">
        <v>52</v>
      </c>
      <c r="D55" s="173">
        <v>1.0</v>
      </c>
      <c r="E55" s="176">
        <v>2500.0</v>
      </c>
      <c r="F55" s="176"/>
      <c r="G55" s="176"/>
      <c r="H55" s="178"/>
      <c r="I55" s="181"/>
      <c r="J55" s="176">
        <v>500.0</v>
      </c>
      <c r="K55" s="186">
        <f t="shared" si="7"/>
        <v>0</v>
      </c>
      <c r="L55" s="176"/>
      <c r="M55" s="176"/>
      <c r="N55" s="190">
        <v>2000.0</v>
      </c>
      <c r="O55" s="190">
        <v>-700.0</v>
      </c>
      <c r="P55" s="190"/>
      <c r="Q55" s="71">
        <f t="shared" si="8"/>
        <v>13518.71</v>
      </c>
      <c r="R55" s="190"/>
      <c r="U55" s="117"/>
      <c r="V55" s="119"/>
      <c r="W55" s="122"/>
    </row>
    <row r="56" ht="14.25" customHeight="1">
      <c r="B56" s="171"/>
      <c r="C56" s="173"/>
      <c r="D56" s="173"/>
      <c r="E56" s="176"/>
      <c r="F56" s="176"/>
      <c r="G56" s="176"/>
      <c r="H56" s="178"/>
      <c r="I56" s="181"/>
      <c r="J56" s="176"/>
      <c r="K56" s="186">
        <f t="shared" si="7"/>
        <v>0</v>
      </c>
      <c r="L56" s="176"/>
      <c r="M56" s="176"/>
      <c r="N56" s="190"/>
      <c r="O56" s="190"/>
      <c r="P56" s="190">
        <v>-500.0</v>
      </c>
      <c r="Q56" s="71">
        <f t="shared" si="8"/>
        <v>13018.71</v>
      </c>
      <c r="R56" s="190" t="s">
        <v>76</v>
      </c>
      <c r="U56" s="117"/>
      <c r="V56" s="119"/>
      <c r="W56" s="122"/>
    </row>
    <row r="57" ht="14.25" customHeight="1">
      <c r="B57" s="171"/>
      <c r="C57" s="173"/>
      <c r="D57" s="173"/>
      <c r="E57" s="176"/>
      <c r="F57" s="176"/>
      <c r="G57" s="176"/>
      <c r="H57" s="178"/>
      <c r="I57" s="181"/>
      <c r="J57" s="176"/>
      <c r="K57" s="186">
        <f t="shared" si="7"/>
        <v>0</v>
      </c>
      <c r="L57" s="176"/>
      <c r="M57" s="176"/>
      <c r="N57" s="190"/>
      <c r="O57" s="190"/>
      <c r="P57" s="190">
        <v>-5813.68</v>
      </c>
      <c r="Q57" s="71">
        <f t="shared" si="8"/>
        <v>7205.03</v>
      </c>
      <c r="R57" s="190" t="s">
        <v>79</v>
      </c>
      <c r="U57" s="117"/>
      <c r="V57" s="119"/>
      <c r="W57" s="122"/>
    </row>
    <row r="58" ht="14.25" customHeight="1">
      <c r="B58" s="171"/>
      <c r="C58" s="173"/>
      <c r="D58" s="173"/>
      <c r="E58" s="176"/>
      <c r="F58" s="176"/>
      <c r="G58" s="176"/>
      <c r="H58" s="178"/>
      <c r="I58" s="181"/>
      <c r="J58" s="176"/>
      <c r="K58" s="186">
        <f t="shared" si="7"/>
        <v>0</v>
      </c>
      <c r="L58" s="176"/>
      <c r="M58" s="176"/>
      <c r="N58" s="190"/>
      <c r="O58" s="190"/>
      <c r="P58" s="287"/>
      <c r="Q58" s="71">
        <f t="shared" si="8"/>
        <v>7205.03</v>
      </c>
      <c r="R58" s="287" t="s">
        <v>63</v>
      </c>
      <c r="U58" s="117"/>
      <c r="V58" s="119"/>
      <c r="W58" s="122"/>
    </row>
    <row r="59" ht="14.25" customHeight="1">
      <c r="B59" s="297" t="s">
        <v>96</v>
      </c>
      <c r="C59" s="246" t="s">
        <v>80</v>
      </c>
      <c r="D59" s="246">
        <f t="shared" ref="D59:E59" si="9">sum(D30:D58)</f>
        <v>23</v>
      </c>
      <c r="E59" s="247">
        <f t="shared" si="9"/>
        <v>58919.1</v>
      </c>
      <c r="F59" s="247"/>
      <c r="G59" s="247">
        <f t="shared" ref="G59:P59" si="10">sum(G30:G58)</f>
        <v>400</v>
      </c>
      <c r="H59" s="247">
        <f t="shared" si="10"/>
        <v>0</v>
      </c>
      <c r="I59" s="249">
        <f t="shared" si="10"/>
        <v>0</v>
      </c>
      <c r="J59" s="247">
        <f t="shared" si="10"/>
        <v>19500</v>
      </c>
      <c r="K59" s="247">
        <f t="shared" si="10"/>
        <v>0</v>
      </c>
      <c r="L59" s="247">
        <f t="shared" si="10"/>
        <v>3719.1</v>
      </c>
      <c r="M59" s="247">
        <f t="shared" si="10"/>
        <v>12500</v>
      </c>
      <c r="N59" s="247">
        <f t="shared" si="10"/>
        <v>23200</v>
      </c>
      <c r="O59" s="247">
        <f t="shared" si="10"/>
        <v>-14000</v>
      </c>
      <c r="P59" s="247">
        <f t="shared" si="10"/>
        <v>-7813.68</v>
      </c>
      <c r="Q59" s="247">
        <f>Q58</f>
        <v>7205.03</v>
      </c>
      <c r="R59" s="250"/>
      <c r="U59" s="117"/>
      <c r="V59" s="119"/>
      <c r="W59" s="122"/>
    </row>
    <row r="60" ht="14.25" customHeight="1">
      <c r="B60" s="300" t="s">
        <v>105</v>
      </c>
      <c r="C60" s="301">
        <v>45659.0</v>
      </c>
      <c r="D60" s="284">
        <v>1.0</v>
      </c>
      <c r="E60" s="282">
        <v>2800.0</v>
      </c>
      <c r="F60" s="176"/>
      <c r="G60" s="176"/>
      <c r="H60" s="178"/>
      <c r="I60" s="302">
        <v>1000.0</v>
      </c>
      <c r="J60" s="282"/>
      <c r="K60" s="186">
        <f t="shared" ref="K60:K79" si="11">E60-J60-L60-M60-N60-I60</f>
        <v>0</v>
      </c>
      <c r="L60" s="176"/>
      <c r="M60" s="176"/>
      <c r="N60" s="287">
        <v>1800.0</v>
      </c>
      <c r="O60" s="287">
        <v>-700.0</v>
      </c>
      <c r="P60" s="190"/>
      <c r="Q60" s="71">
        <f t="shared" ref="Q60:Q84" si="12">Q59+N60+O60+P60</f>
        <v>8305.03</v>
      </c>
      <c r="R60" s="190"/>
      <c r="W60" s="122"/>
    </row>
    <row r="61" ht="14.25" customHeight="1">
      <c r="B61" s="171"/>
      <c r="C61" s="301">
        <v>45693.0</v>
      </c>
      <c r="D61" s="284">
        <v>3.0</v>
      </c>
      <c r="E61" s="282">
        <v>4937.3</v>
      </c>
      <c r="F61" s="176"/>
      <c r="G61" s="176"/>
      <c r="H61" s="303" t="s">
        <v>53</v>
      </c>
      <c r="I61" s="181"/>
      <c r="J61" s="176"/>
      <c r="K61" s="186">
        <f t="shared" si="11"/>
        <v>0</v>
      </c>
      <c r="L61" s="282">
        <v>4937.3</v>
      </c>
      <c r="M61" s="176"/>
      <c r="N61" s="190"/>
      <c r="O61" s="287">
        <v>-700.0</v>
      </c>
      <c r="P61" s="190"/>
      <c r="Q61" s="71">
        <f t="shared" si="12"/>
        <v>7605.03</v>
      </c>
      <c r="R61" s="190"/>
      <c r="W61" s="122"/>
    </row>
    <row r="62" ht="14.25" customHeight="1">
      <c r="B62" s="227"/>
      <c r="C62" s="304">
        <v>45783.0</v>
      </c>
      <c r="D62" s="193"/>
      <c r="E62" s="194"/>
      <c r="F62" s="194"/>
      <c r="G62" s="194"/>
      <c r="H62" s="196"/>
      <c r="I62" s="198"/>
      <c r="J62" s="194"/>
      <c r="K62" s="199">
        <f t="shared" si="11"/>
        <v>0</v>
      </c>
      <c r="L62" s="194"/>
      <c r="M62" s="194"/>
      <c r="N62" s="200"/>
      <c r="O62" s="200"/>
      <c r="P62" s="200"/>
      <c r="Q62" s="88">
        <f t="shared" si="12"/>
        <v>7605.03</v>
      </c>
      <c r="R62" s="200"/>
      <c r="W62" s="122"/>
    </row>
    <row r="63" ht="14.25" customHeight="1">
      <c r="B63" s="171"/>
      <c r="C63" s="301">
        <v>45815.0</v>
      </c>
      <c r="D63" s="284">
        <v>1.0</v>
      </c>
      <c r="E63" s="282">
        <v>1749.1</v>
      </c>
      <c r="F63" s="176"/>
      <c r="G63" s="176"/>
      <c r="H63" s="178"/>
      <c r="I63" s="181"/>
      <c r="J63" s="176"/>
      <c r="K63" s="186">
        <f t="shared" si="11"/>
        <v>0</v>
      </c>
      <c r="L63" s="282">
        <v>1749.1</v>
      </c>
      <c r="M63" s="176"/>
      <c r="N63" s="190"/>
      <c r="O63" s="287">
        <v>-700.0</v>
      </c>
      <c r="P63" s="190"/>
      <c r="Q63" s="71">
        <f t="shared" si="12"/>
        <v>6905.03</v>
      </c>
      <c r="R63" s="190"/>
      <c r="W63" s="122"/>
    </row>
    <row r="64" ht="14.25" customHeight="1">
      <c r="B64" s="171"/>
      <c r="C64" s="301">
        <v>45846.0</v>
      </c>
      <c r="D64" s="284"/>
      <c r="E64" s="282"/>
      <c r="F64" s="176"/>
      <c r="G64" s="176"/>
      <c r="H64" s="178"/>
      <c r="I64" s="181"/>
      <c r="J64" s="176"/>
      <c r="K64" s="186">
        <f t="shared" si="11"/>
        <v>0</v>
      </c>
      <c r="L64" s="282"/>
      <c r="M64" s="176"/>
      <c r="N64" s="190"/>
      <c r="O64" s="287">
        <v>-700.0</v>
      </c>
      <c r="P64" s="190"/>
      <c r="Q64" s="71">
        <f t="shared" si="12"/>
        <v>6205.03</v>
      </c>
      <c r="R64" s="190"/>
      <c r="W64" s="122"/>
    </row>
    <row r="65" ht="14.25" customHeight="1">
      <c r="B65" s="171"/>
      <c r="C65" s="301">
        <v>45878.0</v>
      </c>
      <c r="D65" s="284">
        <v>1.0</v>
      </c>
      <c r="E65" s="282">
        <f>4500-500</f>
        <v>4000</v>
      </c>
      <c r="F65" s="176"/>
      <c r="G65" s="176"/>
      <c r="H65" s="178"/>
      <c r="I65" s="181"/>
      <c r="J65" s="282">
        <v>1000.0</v>
      </c>
      <c r="K65" s="186">
        <f t="shared" si="11"/>
        <v>0</v>
      </c>
      <c r="L65" s="176"/>
      <c r="M65" s="282">
        <v>3500.0</v>
      </c>
      <c r="N65" s="287">
        <v>-500.0</v>
      </c>
      <c r="O65" s="287">
        <v>-700.0</v>
      </c>
      <c r="P65" s="190"/>
      <c r="Q65" s="71">
        <f t="shared" si="12"/>
        <v>5005.03</v>
      </c>
      <c r="R65" s="287" t="s">
        <v>85</v>
      </c>
      <c r="U65" s="117"/>
      <c r="V65" s="119"/>
      <c r="W65" s="122"/>
    </row>
    <row r="66" ht="14.25" customHeight="1">
      <c r="B66" s="171"/>
      <c r="C66" s="301">
        <v>45910.0</v>
      </c>
      <c r="D66" s="284">
        <v>1.0</v>
      </c>
      <c r="E66" s="176">
        <f>2500+450</f>
        <v>2950</v>
      </c>
      <c r="F66" s="176"/>
      <c r="G66" s="176"/>
      <c r="H66" s="178"/>
      <c r="I66" s="181"/>
      <c r="J66" s="282">
        <v>1250.0</v>
      </c>
      <c r="K66" s="186">
        <f t="shared" si="11"/>
        <v>0</v>
      </c>
      <c r="L66" s="176"/>
      <c r="M66" s="176"/>
      <c r="N66" s="287">
        <v>1700.0</v>
      </c>
      <c r="O66" s="287">
        <v>-700.0</v>
      </c>
      <c r="P66" s="190"/>
      <c r="Q66" s="71">
        <f t="shared" si="12"/>
        <v>6005.03</v>
      </c>
      <c r="R66" s="190"/>
      <c r="U66" s="117"/>
      <c r="V66" s="119"/>
      <c r="W66" s="122"/>
    </row>
    <row r="67" ht="14.25" customHeight="1">
      <c r="B67" s="171"/>
      <c r="C67" s="301">
        <v>45941.0</v>
      </c>
      <c r="D67" s="284">
        <v>1.0</v>
      </c>
      <c r="E67" s="282">
        <v>1800.0</v>
      </c>
      <c r="F67" s="176"/>
      <c r="G67" s="176"/>
      <c r="H67" s="178"/>
      <c r="I67" s="181"/>
      <c r="J67" s="282">
        <v>500.0</v>
      </c>
      <c r="K67" s="186">
        <f t="shared" si="11"/>
        <v>0</v>
      </c>
      <c r="L67" s="176"/>
      <c r="M67" s="282">
        <v>1300.0</v>
      </c>
      <c r="N67" s="190"/>
      <c r="O67" s="287">
        <v>-700.0</v>
      </c>
      <c r="P67" s="190"/>
      <c r="Q67" s="71">
        <f t="shared" si="12"/>
        <v>5305.03</v>
      </c>
      <c r="R67" s="190"/>
      <c r="U67" s="117"/>
      <c r="V67" s="119"/>
      <c r="W67" s="122"/>
    </row>
    <row r="68" ht="14.25" customHeight="1">
      <c r="B68" s="227"/>
      <c r="C68" s="304">
        <v>45974.0</v>
      </c>
      <c r="D68" s="193"/>
      <c r="E68" s="194"/>
      <c r="F68" s="194"/>
      <c r="G68" s="194"/>
      <c r="H68" s="196"/>
      <c r="I68" s="198"/>
      <c r="J68" s="194"/>
      <c r="K68" s="199">
        <f t="shared" si="11"/>
        <v>0</v>
      </c>
      <c r="L68" s="194"/>
      <c r="M68" s="194"/>
      <c r="N68" s="200"/>
      <c r="O68" s="200"/>
      <c r="P68" s="200"/>
      <c r="Q68" s="88">
        <f t="shared" si="12"/>
        <v>5305.03</v>
      </c>
      <c r="R68" s="200"/>
      <c r="U68" s="117"/>
      <c r="V68" s="119"/>
      <c r="W68" s="122"/>
    </row>
    <row r="69" ht="14.25" customHeight="1">
      <c r="B69" s="171"/>
      <c r="C69" s="284" t="s">
        <v>46</v>
      </c>
      <c r="D69" s="284">
        <v>1.0</v>
      </c>
      <c r="E69" s="282">
        <v>2300.0</v>
      </c>
      <c r="F69" s="176"/>
      <c r="G69" s="176"/>
      <c r="H69" s="178"/>
      <c r="I69" s="181"/>
      <c r="J69" s="282">
        <v>1000.0</v>
      </c>
      <c r="K69" s="186">
        <f t="shared" si="11"/>
        <v>0</v>
      </c>
      <c r="L69" s="176"/>
      <c r="M69" s="176"/>
      <c r="N69" s="287">
        <v>1300.0</v>
      </c>
      <c r="O69" s="287">
        <v>-700.0</v>
      </c>
      <c r="P69" s="190"/>
      <c r="Q69" s="71">
        <f t="shared" si="12"/>
        <v>5905.03</v>
      </c>
      <c r="R69" s="190"/>
      <c r="U69" s="117"/>
      <c r="V69" s="119"/>
      <c r="W69" s="122"/>
    </row>
    <row r="70" ht="14.25" customHeight="1">
      <c r="B70" s="171"/>
      <c r="C70" s="284" t="s">
        <v>29</v>
      </c>
      <c r="D70" s="284">
        <v>1.0</v>
      </c>
      <c r="E70" s="282">
        <v>2800.0</v>
      </c>
      <c r="F70" s="176"/>
      <c r="G70" s="176"/>
      <c r="H70" s="178"/>
      <c r="I70" s="181"/>
      <c r="J70" s="282">
        <v>1000.0</v>
      </c>
      <c r="K70" s="186">
        <f t="shared" si="11"/>
        <v>0</v>
      </c>
      <c r="L70" s="176"/>
      <c r="M70" s="282">
        <v>1800.0</v>
      </c>
      <c r="N70" s="190"/>
      <c r="O70" s="287">
        <v>-700.0</v>
      </c>
      <c r="P70" s="190"/>
      <c r="Q70" s="71">
        <f t="shared" si="12"/>
        <v>5205.03</v>
      </c>
      <c r="R70" s="190"/>
      <c r="U70" s="117"/>
      <c r="V70" s="119"/>
      <c r="W70" s="122"/>
    </row>
    <row r="71" ht="14.25" customHeight="1">
      <c r="B71" s="171"/>
      <c r="C71" s="284" t="s">
        <v>30</v>
      </c>
      <c r="D71" s="284">
        <v>1.0</v>
      </c>
      <c r="E71" s="282">
        <v>2800.0</v>
      </c>
      <c r="F71" s="176"/>
      <c r="G71" s="176"/>
      <c r="H71" s="178"/>
      <c r="I71" s="181"/>
      <c r="J71" s="282">
        <v>1000.0</v>
      </c>
      <c r="K71" s="186">
        <f t="shared" si="11"/>
        <v>0</v>
      </c>
      <c r="L71" s="176"/>
      <c r="M71" s="282">
        <v>1800.0</v>
      </c>
      <c r="N71" s="190"/>
      <c r="O71" s="287">
        <v>-700.0</v>
      </c>
      <c r="P71" s="190"/>
      <c r="Q71" s="71">
        <f t="shared" si="12"/>
        <v>4505.03</v>
      </c>
      <c r="R71" s="190"/>
      <c r="U71" s="117"/>
      <c r="V71" s="119"/>
      <c r="W71" s="122"/>
    </row>
    <row r="72" ht="14.25" customHeight="1">
      <c r="B72" s="171"/>
      <c r="C72" s="284" t="s">
        <v>31</v>
      </c>
      <c r="D72" s="284">
        <v>1.0</v>
      </c>
      <c r="E72" s="282">
        <v>2439.55</v>
      </c>
      <c r="F72" s="176"/>
      <c r="G72" s="176"/>
      <c r="H72" s="178"/>
      <c r="I72" s="181"/>
      <c r="J72" s="176"/>
      <c r="K72" s="186">
        <f t="shared" si="11"/>
        <v>0</v>
      </c>
      <c r="L72" s="282">
        <v>2439.55</v>
      </c>
      <c r="M72" s="176"/>
      <c r="N72" s="190"/>
      <c r="O72" s="287">
        <v>700.0</v>
      </c>
      <c r="P72" s="190"/>
      <c r="Q72" s="71">
        <f t="shared" si="12"/>
        <v>5205.03</v>
      </c>
      <c r="R72" s="190"/>
      <c r="U72" s="117"/>
      <c r="V72" s="119"/>
      <c r="W72" s="122"/>
    </row>
    <row r="73" ht="14.25" customHeight="1">
      <c r="B73" s="227"/>
      <c r="C73" s="308" t="s">
        <v>32</v>
      </c>
      <c r="D73" s="308"/>
      <c r="E73" s="309"/>
      <c r="F73" s="194"/>
      <c r="G73" s="194"/>
      <c r="H73" s="196"/>
      <c r="I73" s="198"/>
      <c r="J73" s="309"/>
      <c r="K73" s="199">
        <f t="shared" si="11"/>
        <v>0</v>
      </c>
      <c r="L73" s="194"/>
      <c r="M73" s="194"/>
      <c r="N73" s="310"/>
      <c r="O73" s="200"/>
      <c r="P73" s="200"/>
      <c r="Q73" s="88">
        <f t="shared" si="12"/>
        <v>5205.03</v>
      </c>
      <c r="R73" s="200"/>
      <c r="U73" s="117"/>
      <c r="V73" s="119"/>
      <c r="W73" s="122"/>
    </row>
    <row r="74" ht="14.25" customHeight="1">
      <c r="B74" s="171"/>
      <c r="C74" s="284" t="s">
        <v>33</v>
      </c>
      <c r="D74" s="284">
        <v>1.0</v>
      </c>
      <c r="E74" s="282">
        <v>1886.65</v>
      </c>
      <c r="F74" s="176"/>
      <c r="G74" s="176"/>
      <c r="H74" s="178"/>
      <c r="I74" s="181"/>
      <c r="J74" s="176"/>
      <c r="K74" s="186">
        <f t="shared" si="11"/>
        <v>0</v>
      </c>
      <c r="L74" s="282">
        <v>1886.65</v>
      </c>
      <c r="M74" s="176"/>
      <c r="N74" s="190"/>
      <c r="O74" s="287">
        <v>-700.0</v>
      </c>
      <c r="P74" s="190"/>
      <c r="Q74" s="71">
        <f t="shared" si="12"/>
        <v>4505.03</v>
      </c>
      <c r="R74" s="190"/>
      <c r="U74" s="117"/>
      <c r="V74" s="119"/>
      <c r="W74" s="122"/>
    </row>
    <row r="75" ht="14.25" customHeight="1">
      <c r="B75" s="227"/>
      <c r="C75" s="308" t="s">
        <v>64</v>
      </c>
      <c r="D75" s="193"/>
      <c r="E75" s="194"/>
      <c r="F75" s="194"/>
      <c r="G75" s="194"/>
      <c r="H75" s="196"/>
      <c r="I75" s="198"/>
      <c r="J75" s="194"/>
      <c r="K75" s="199">
        <f t="shared" si="11"/>
        <v>0</v>
      </c>
      <c r="L75" s="194"/>
      <c r="M75" s="194"/>
      <c r="N75" s="200"/>
      <c r="O75" s="200"/>
      <c r="P75" s="200"/>
      <c r="Q75" s="88">
        <f t="shared" si="12"/>
        <v>4505.03</v>
      </c>
      <c r="R75" s="200"/>
      <c r="U75" s="117"/>
      <c r="V75" s="119"/>
      <c r="W75" s="122"/>
    </row>
    <row r="76" ht="14.25" customHeight="1">
      <c r="B76" s="171"/>
      <c r="C76" s="284" t="s">
        <v>78</v>
      </c>
      <c r="D76" s="284">
        <v>2.0</v>
      </c>
      <c r="E76" s="282">
        <v>5100.0</v>
      </c>
      <c r="F76" s="176"/>
      <c r="G76" s="176"/>
      <c r="H76" s="178"/>
      <c r="I76" s="181"/>
      <c r="J76" s="282">
        <v>1000.0</v>
      </c>
      <c r="K76" s="186">
        <f t="shared" si="11"/>
        <v>0</v>
      </c>
      <c r="L76" s="176"/>
      <c r="M76" s="282">
        <v>4100.0</v>
      </c>
      <c r="N76" s="190"/>
      <c r="O76" s="287">
        <v>-700.0</v>
      </c>
      <c r="P76" s="190"/>
      <c r="Q76" s="71">
        <f t="shared" si="12"/>
        <v>3805.03</v>
      </c>
      <c r="R76" s="190"/>
      <c r="U76" s="117"/>
      <c r="V76" s="119"/>
      <c r="W76" s="122"/>
    </row>
    <row r="77" ht="14.25" customHeight="1">
      <c r="B77" s="171"/>
      <c r="C77" s="284" t="s">
        <v>41</v>
      </c>
      <c r="D77" s="284">
        <v>1.0</v>
      </c>
      <c r="E77" s="282">
        <v>3500.0</v>
      </c>
      <c r="F77" s="176"/>
      <c r="G77" s="176"/>
      <c r="H77" s="178"/>
      <c r="I77" s="181"/>
      <c r="J77" s="282">
        <v>1000.0</v>
      </c>
      <c r="K77" s="186">
        <f t="shared" si="11"/>
        <v>0</v>
      </c>
      <c r="L77" s="176"/>
      <c r="M77" s="176"/>
      <c r="N77" s="287">
        <v>2500.0</v>
      </c>
      <c r="O77" s="287">
        <v>-700.0</v>
      </c>
      <c r="P77" s="190"/>
      <c r="Q77" s="71">
        <f t="shared" si="12"/>
        <v>5605.03</v>
      </c>
      <c r="R77" s="190"/>
      <c r="U77" s="117"/>
      <c r="V77" s="119"/>
      <c r="W77" s="122"/>
    </row>
    <row r="78" ht="14.25" customHeight="1">
      <c r="B78" s="227"/>
      <c r="C78" s="308" t="s">
        <v>71</v>
      </c>
      <c r="D78" s="193"/>
      <c r="E78" s="194"/>
      <c r="F78" s="194"/>
      <c r="G78" s="194"/>
      <c r="H78" s="196"/>
      <c r="I78" s="198"/>
      <c r="J78" s="194"/>
      <c r="K78" s="199">
        <f t="shared" si="11"/>
        <v>0</v>
      </c>
      <c r="L78" s="194"/>
      <c r="M78" s="194"/>
      <c r="N78" s="200"/>
      <c r="O78" s="200"/>
      <c r="P78" s="200"/>
      <c r="Q78" s="88">
        <f t="shared" si="12"/>
        <v>5605.03</v>
      </c>
      <c r="R78" s="200"/>
      <c r="U78" s="117"/>
      <c r="V78" s="119"/>
      <c r="W78" s="122"/>
    </row>
    <row r="79" ht="14.25" customHeight="1">
      <c r="B79" s="171"/>
      <c r="C79" s="284" t="s">
        <v>47</v>
      </c>
      <c r="D79" s="284">
        <v>1.0</v>
      </c>
      <c r="E79" s="282">
        <v>2550.0</v>
      </c>
      <c r="F79" s="176"/>
      <c r="G79" s="176"/>
      <c r="H79" s="178"/>
      <c r="I79" s="181"/>
      <c r="J79" s="282">
        <v>1000.0</v>
      </c>
      <c r="K79" s="186">
        <f t="shared" si="11"/>
        <v>0</v>
      </c>
      <c r="L79" s="176"/>
      <c r="M79" s="176"/>
      <c r="N79" s="287">
        <v>1550.0</v>
      </c>
      <c r="O79" s="287">
        <v>-700.0</v>
      </c>
      <c r="P79" s="287"/>
      <c r="Q79" s="71">
        <f t="shared" si="12"/>
        <v>6455.03</v>
      </c>
      <c r="R79" s="287"/>
      <c r="U79" s="117"/>
      <c r="V79" s="119"/>
      <c r="W79" s="122"/>
    </row>
    <row r="80" ht="14.25" customHeight="1">
      <c r="B80" s="227"/>
      <c r="C80" s="308" t="s">
        <v>72</v>
      </c>
      <c r="D80" s="193"/>
      <c r="E80" s="194"/>
      <c r="F80" s="194"/>
      <c r="G80" s="194"/>
      <c r="H80" s="196"/>
      <c r="I80" s="198"/>
      <c r="J80" s="194"/>
      <c r="K80" s="199"/>
      <c r="L80" s="194"/>
      <c r="M80" s="194"/>
      <c r="N80" s="200"/>
      <c r="O80" s="200"/>
      <c r="P80" s="200"/>
      <c r="Q80" s="88">
        <f t="shared" si="12"/>
        <v>6455.03</v>
      </c>
      <c r="R80" s="200"/>
      <c r="U80" s="117"/>
      <c r="V80" s="119"/>
      <c r="W80" s="122"/>
    </row>
    <row r="81" ht="14.25" customHeight="1">
      <c r="B81" s="171"/>
      <c r="C81" s="284" t="s">
        <v>118</v>
      </c>
      <c r="D81" s="284">
        <v>2.0</v>
      </c>
      <c r="E81" s="282">
        <v>6800.0</v>
      </c>
      <c r="F81" s="176"/>
      <c r="G81" s="176"/>
      <c r="H81" s="178"/>
      <c r="I81" s="181"/>
      <c r="J81" s="282">
        <v>1500.0</v>
      </c>
      <c r="K81" s="186">
        <f t="shared" ref="K81:K84" si="13">E81-J81-L81-M81-N81-I81</f>
        <v>0</v>
      </c>
      <c r="L81" s="176"/>
      <c r="M81" s="282">
        <v>5300.0</v>
      </c>
      <c r="N81" s="190"/>
      <c r="O81" s="287">
        <v>-700.0</v>
      </c>
      <c r="P81" s="190"/>
      <c r="Q81" s="71">
        <f t="shared" si="12"/>
        <v>5755.03</v>
      </c>
      <c r="R81" s="190"/>
      <c r="U81" s="117"/>
      <c r="V81" s="119"/>
      <c r="W81" s="122"/>
    </row>
    <row r="82" ht="14.25" customHeight="1">
      <c r="B82" s="171"/>
      <c r="C82" s="173"/>
      <c r="D82" s="173"/>
      <c r="E82" s="176"/>
      <c r="F82" s="176"/>
      <c r="G82" s="176"/>
      <c r="H82" s="178"/>
      <c r="I82" s="181"/>
      <c r="J82" s="176"/>
      <c r="K82" s="186">
        <f t="shared" si="13"/>
        <v>0</v>
      </c>
      <c r="L82" s="176"/>
      <c r="M82" s="176"/>
      <c r="N82" s="190"/>
      <c r="O82" s="190"/>
      <c r="P82" s="287">
        <v>-500.0</v>
      </c>
      <c r="Q82" s="71">
        <f t="shared" si="12"/>
        <v>5255.03</v>
      </c>
      <c r="R82" s="190" t="s">
        <v>76</v>
      </c>
      <c r="U82" s="117"/>
      <c r="V82" s="119"/>
      <c r="W82" s="122"/>
    </row>
    <row r="83" ht="14.25" customHeight="1">
      <c r="B83" s="171"/>
      <c r="C83" s="173"/>
      <c r="D83" s="173"/>
      <c r="E83" s="176"/>
      <c r="F83" s="176"/>
      <c r="G83" s="176"/>
      <c r="H83" s="178"/>
      <c r="I83" s="181"/>
      <c r="J83" s="176"/>
      <c r="K83" s="186">
        <f t="shared" si="13"/>
        <v>0</v>
      </c>
      <c r="L83" s="176"/>
      <c r="M83" s="176"/>
      <c r="N83" s="190"/>
      <c r="O83" s="190"/>
      <c r="P83" s="287">
        <v>-4977.0</v>
      </c>
      <c r="Q83" s="71">
        <f t="shared" si="12"/>
        <v>278.03</v>
      </c>
      <c r="R83" s="190" t="s">
        <v>79</v>
      </c>
      <c r="U83" s="117"/>
      <c r="V83" s="119"/>
      <c r="W83" s="122"/>
    </row>
    <row r="84" ht="14.25" customHeight="1">
      <c r="B84" s="171"/>
      <c r="C84" s="173"/>
      <c r="D84" s="173"/>
      <c r="E84" s="176"/>
      <c r="F84" s="176"/>
      <c r="G84" s="176"/>
      <c r="H84" s="178"/>
      <c r="I84" s="181"/>
      <c r="J84" s="176"/>
      <c r="K84" s="186">
        <f t="shared" si="13"/>
        <v>0</v>
      </c>
      <c r="L84" s="176"/>
      <c r="M84" s="176"/>
      <c r="N84" s="190"/>
      <c r="O84" s="190"/>
      <c r="P84" s="287">
        <v>-278.03</v>
      </c>
      <c r="Q84" s="71">
        <f t="shared" si="12"/>
        <v>0</v>
      </c>
      <c r="R84" s="190"/>
      <c r="U84" s="117"/>
      <c r="V84" s="119"/>
      <c r="W84" s="122"/>
    </row>
    <row r="85" ht="14.25" customHeight="1">
      <c r="B85" s="297" t="s">
        <v>105</v>
      </c>
      <c r="C85" s="246" t="s">
        <v>80</v>
      </c>
      <c r="D85" s="246">
        <f t="shared" ref="D85:E85" si="14">sum(D60:D84)</f>
        <v>19</v>
      </c>
      <c r="E85" s="247">
        <f t="shared" si="14"/>
        <v>48412.6</v>
      </c>
      <c r="F85" s="247"/>
      <c r="G85" s="247">
        <f t="shared" ref="G85:P85" si="15">sum(G60:G84)</f>
        <v>0</v>
      </c>
      <c r="H85" s="247">
        <f t="shared" si="15"/>
        <v>0</v>
      </c>
      <c r="I85" s="249">
        <f t="shared" si="15"/>
        <v>1000</v>
      </c>
      <c r="J85" s="247">
        <f t="shared" si="15"/>
        <v>10250</v>
      </c>
      <c r="K85" s="247">
        <f t="shared" si="15"/>
        <v>0</v>
      </c>
      <c r="L85" s="247">
        <f t="shared" si="15"/>
        <v>11012.6</v>
      </c>
      <c r="M85" s="247">
        <f t="shared" si="15"/>
        <v>17800</v>
      </c>
      <c r="N85" s="247">
        <f t="shared" si="15"/>
        <v>8350</v>
      </c>
      <c r="O85" s="247">
        <f t="shared" si="15"/>
        <v>-9800</v>
      </c>
      <c r="P85" s="247">
        <f t="shared" si="15"/>
        <v>-5755.03</v>
      </c>
      <c r="Q85" s="247">
        <f>Q84</f>
        <v>0</v>
      </c>
      <c r="R85" s="250"/>
      <c r="U85" s="117"/>
      <c r="V85" s="119"/>
      <c r="W85" s="122"/>
    </row>
    <row r="86" ht="14.25" customHeight="1">
      <c r="B86" s="316" t="s">
        <v>121</v>
      </c>
      <c r="C86" s="304">
        <v>45692.0</v>
      </c>
      <c r="D86" s="308"/>
      <c r="E86" s="309"/>
      <c r="F86" s="194"/>
      <c r="G86" s="194"/>
      <c r="H86" s="196"/>
      <c r="I86" s="317"/>
      <c r="J86" s="309"/>
      <c r="K86" s="199">
        <f t="shared" ref="K86:K102" si="16">E86-J86-L86-M86-N86-I86+F86</f>
        <v>0</v>
      </c>
      <c r="L86" s="194"/>
      <c r="M86" s="194"/>
      <c r="N86" s="310"/>
      <c r="O86" s="310"/>
      <c r="P86" s="200"/>
      <c r="Q86" s="88">
        <f t="shared" ref="Q86:Q102" si="17">Q85+N86+O86+P86</f>
        <v>0</v>
      </c>
      <c r="R86" s="200"/>
      <c r="W86" s="122"/>
    </row>
    <row r="87" ht="14.25" customHeight="1">
      <c r="B87" s="300" t="s">
        <v>121</v>
      </c>
      <c r="C87" s="301">
        <v>45753.0</v>
      </c>
      <c r="D87" s="284">
        <v>2.0</v>
      </c>
      <c r="E87" s="282">
        <v>4000.0</v>
      </c>
      <c r="F87" s="176"/>
      <c r="G87" s="176"/>
      <c r="H87" s="303"/>
      <c r="I87" s="181"/>
      <c r="J87" s="282">
        <v>1000.0</v>
      </c>
      <c r="K87" s="186">
        <f t="shared" si="16"/>
        <v>0</v>
      </c>
      <c r="L87" s="282"/>
      <c r="M87" s="176"/>
      <c r="N87" s="287">
        <v>3000.0</v>
      </c>
      <c r="O87" s="287">
        <v>-700.0</v>
      </c>
      <c r="P87" s="190"/>
      <c r="Q87" s="71">
        <f t="shared" si="17"/>
        <v>2300</v>
      </c>
      <c r="R87" s="190"/>
      <c r="W87" s="122"/>
    </row>
    <row r="88" ht="14.25" customHeight="1">
      <c r="B88" s="227"/>
      <c r="C88" s="304">
        <v>45815.0</v>
      </c>
      <c r="D88" s="193"/>
      <c r="E88" s="194"/>
      <c r="F88" s="194"/>
      <c r="G88" s="194"/>
      <c r="H88" s="196"/>
      <c r="I88" s="198"/>
      <c r="J88" s="194"/>
      <c r="K88" s="199">
        <f t="shared" si="16"/>
        <v>0</v>
      </c>
      <c r="L88" s="194"/>
      <c r="M88" s="194"/>
      <c r="N88" s="200"/>
      <c r="O88" s="200"/>
      <c r="P88" s="200"/>
      <c r="Q88" s="88">
        <f t="shared" si="17"/>
        <v>2300</v>
      </c>
      <c r="R88" s="200"/>
      <c r="W88" s="122"/>
    </row>
    <row r="89" ht="14.25" customHeight="1">
      <c r="B89" s="171"/>
      <c r="C89" s="301">
        <v>45846.0</v>
      </c>
      <c r="D89" s="284">
        <v>1.0</v>
      </c>
      <c r="E89" s="282">
        <v>2300.0</v>
      </c>
      <c r="F89" s="176"/>
      <c r="G89" s="176"/>
      <c r="H89" s="178"/>
      <c r="I89" s="181"/>
      <c r="J89" s="282">
        <v>1000.0</v>
      </c>
      <c r="K89" s="186">
        <f t="shared" si="16"/>
        <v>0</v>
      </c>
      <c r="L89" s="282"/>
      <c r="M89" s="282">
        <v>1300.0</v>
      </c>
      <c r="N89" s="190"/>
      <c r="O89" s="287">
        <v>-700.0</v>
      </c>
      <c r="P89" s="190"/>
      <c r="Q89" s="71">
        <f t="shared" si="17"/>
        <v>1600</v>
      </c>
      <c r="R89" s="190"/>
      <c r="W89" s="122"/>
    </row>
    <row r="90" ht="14.25" customHeight="1">
      <c r="B90" s="171"/>
      <c r="C90" s="301">
        <v>45878.0</v>
      </c>
      <c r="D90" s="284">
        <v>1.0</v>
      </c>
      <c r="E90" s="282">
        <v>2800.0</v>
      </c>
      <c r="F90" s="176"/>
      <c r="G90" s="176"/>
      <c r="H90" s="178"/>
      <c r="I90" s="181"/>
      <c r="J90" s="282">
        <v>1000.0</v>
      </c>
      <c r="K90" s="186">
        <f t="shared" si="16"/>
        <v>0</v>
      </c>
      <c r="L90" s="282"/>
      <c r="M90" s="176"/>
      <c r="N90" s="287">
        <v>1800.0</v>
      </c>
      <c r="O90" s="287">
        <v>-700.0</v>
      </c>
      <c r="P90" s="190"/>
      <c r="Q90" s="71">
        <f t="shared" si="17"/>
        <v>2700</v>
      </c>
      <c r="R90" s="190"/>
      <c r="W90" s="122"/>
    </row>
    <row r="91" ht="14.25" customHeight="1">
      <c r="B91" s="227"/>
      <c r="C91" s="304">
        <v>45911.0</v>
      </c>
      <c r="D91" s="308"/>
      <c r="E91" s="309"/>
      <c r="F91" s="194"/>
      <c r="G91" s="194"/>
      <c r="H91" s="196"/>
      <c r="I91" s="198"/>
      <c r="J91" s="309"/>
      <c r="K91" s="199">
        <f t="shared" si="16"/>
        <v>0</v>
      </c>
      <c r="L91" s="194"/>
      <c r="M91" s="309"/>
      <c r="N91" s="310"/>
      <c r="O91" s="310"/>
      <c r="P91" s="200"/>
      <c r="Q91" s="88">
        <f t="shared" si="17"/>
        <v>2700</v>
      </c>
      <c r="R91" s="310"/>
      <c r="U91" s="117"/>
      <c r="V91" s="119"/>
      <c r="W91" s="122"/>
    </row>
    <row r="92" ht="14.25" customHeight="1">
      <c r="B92" s="171"/>
      <c r="C92" s="301">
        <v>45978.0</v>
      </c>
      <c r="D92" s="284">
        <v>6.0</v>
      </c>
      <c r="E92" s="282">
        <f>12100+600</f>
        <v>12700</v>
      </c>
      <c r="F92" s="176"/>
      <c r="G92" s="176"/>
      <c r="H92" s="303" t="s">
        <v>125</v>
      </c>
      <c r="I92" s="181"/>
      <c r="J92" s="282">
        <v>3500.0</v>
      </c>
      <c r="K92" s="186">
        <f t="shared" si="16"/>
        <v>0</v>
      </c>
      <c r="L92" s="176"/>
      <c r="M92" s="282">
        <v>9200.0</v>
      </c>
      <c r="N92" s="287"/>
      <c r="O92" s="287">
        <v>-700.0</v>
      </c>
      <c r="P92" s="190"/>
      <c r="Q92" s="71">
        <f t="shared" si="17"/>
        <v>2000</v>
      </c>
      <c r="R92" s="190"/>
      <c r="U92" s="117"/>
      <c r="V92" s="119"/>
      <c r="W92" s="122"/>
    </row>
    <row r="93" ht="14.25" customHeight="1">
      <c r="B93" s="227"/>
      <c r="C93" s="308" t="s">
        <v>126</v>
      </c>
      <c r="D93" s="193"/>
      <c r="E93" s="194"/>
      <c r="F93" s="194"/>
      <c r="G93" s="194"/>
      <c r="H93" s="196"/>
      <c r="I93" s="198"/>
      <c r="J93" s="194"/>
      <c r="K93" s="199">
        <f t="shared" si="16"/>
        <v>0</v>
      </c>
      <c r="L93" s="194"/>
      <c r="M93" s="194"/>
      <c r="N93" s="200"/>
      <c r="O93" s="200"/>
      <c r="P93" s="200"/>
      <c r="Q93" s="88">
        <f t="shared" si="17"/>
        <v>2000</v>
      </c>
      <c r="R93" s="200"/>
      <c r="U93" s="117"/>
      <c r="V93" s="119"/>
      <c r="W93" s="122"/>
    </row>
    <row r="94" ht="14.25" customHeight="1">
      <c r="B94" s="171"/>
      <c r="C94" s="284" t="s">
        <v>70</v>
      </c>
      <c r="D94" s="284">
        <v>2.0</v>
      </c>
      <c r="E94" s="282">
        <v>4400.0</v>
      </c>
      <c r="F94" s="176"/>
      <c r="G94" s="176"/>
      <c r="H94" s="178"/>
      <c r="I94" s="181"/>
      <c r="J94" s="282">
        <v>1000.0</v>
      </c>
      <c r="K94" s="186">
        <f t="shared" si="16"/>
        <v>0</v>
      </c>
      <c r="L94" s="176"/>
      <c r="M94" s="176"/>
      <c r="N94" s="287">
        <v>3400.0</v>
      </c>
      <c r="O94" s="287">
        <v>-700.0</v>
      </c>
      <c r="P94" s="190"/>
      <c r="Q94" s="71">
        <f t="shared" si="17"/>
        <v>4700</v>
      </c>
      <c r="R94" s="190"/>
      <c r="U94" s="117"/>
      <c r="V94" s="119"/>
      <c r="W94" s="122"/>
    </row>
    <row r="95" ht="14.25" customHeight="1">
      <c r="B95" s="227"/>
      <c r="C95" s="308" t="s">
        <v>44</v>
      </c>
      <c r="D95" s="308"/>
      <c r="E95" s="309"/>
      <c r="F95" s="194"/>
      <c r="G95" s="194"/>
      <c r="H95" s="196"/>
      <c r="I95" s="198"/>
      <c r="J95" s="309"/>
      <c r="K95" s="199">
        <f t="shared" si="16"/>
        <v>0</v>
      </c>
      <c r="L95" s="194"/>
      <c r="M95" s="309"/>
      <c r="N95" s="200"/>
      <c r="O95" s="310"/>
      <c r="P95" s="200"/>
      <c r="Q95" s="88">
        <f t="shared" si="17"/>
        <v>4700</v>
      </c>
      <c r="R95" s="200"/>
      <c r="U95" s="117"/>
      <c r="V95" s="119"/>
      <c r="W95" s="122"/>
    </row>
    <row r="96" ht="14.25" customHeight="1">
      <c r="B96" s="171"/>
      <c r="C96" s="284" t="s">
        <v>45</v>
      </c>
      <c r="D96" s="284">
        <v>1.0</v>
      </c>
      <c r="E96" s="282">
        <v>2300.0</v>
      </c>
      <c r="F96" s="176"/>
      <c r="G96" s="176"/>
      <c r="H96" s="178"/>
      <c r="I96" s="181"/>
      <c r="J96" s="282">
        <v>1000.0</v>
      </c>
      <c r="K96" s="186">
        <f t="shared" si="16"/>
        <v>0</v>
      </c>
      <c r="L96" s="176"/>
      <c r="M96" s="282"/>
      <c r="N96" s="287">
        <v>1300.0</v>
      </c>
      <c r="O96" s="287">
        <v>-700.0</v>
      </c>
      <c r="P96" s="190"/>
      <c r="Q96" s="71">
        <f t="shared" si="17"/>
        <v>5300</v>
      </c>
      <c r="R96" s="190"/>
      <c r="U96" s="117"/>
      <c r="V96" s="119"/>
      <c r="W96" s="122"/>
    </row>
    <row r="97" ht="14.25" customHeight="1">
      <c r="B97" s="227"/>
      <c r="C97" s="308" t="s">
        <v>47</v>
      </c>
      <c r="D97" s="308"/>
      <c r="E97" s="309"/>
      <c r="F97" s="194"/>
      <c r="G97" s="194"/>
      <c r="H97" s="196"/>
      <c r="I97" s="198"/>
      <c r="J97" s="309"/>
      <c r="K97" s="199">
        <f t="shared" si="16"/>
        <v>0</v>
      </c>
      <c r="L97" s="194"/>
      <c r="M97" s="194"/>
      <c r="N97" s="310"/>
      <c r="O97" s="200"/>
      <c r="P97" s="200"/>
      <c r="Q97" s="88">
        <f t="shared" si="17"/>
        <v>5300</v>
      </c>
      <c r="R97" s="200"/>
      <c r="U97" s="117"/>
      <c r="V97" s="119"/>
      <c r="W97" s="122"/>
    </row>
    <row r="98" ht="14.25" customHeight="1">
      <c r="B98" s="171"/>
      <c r="C98" s="284" t="s">
        <v>72</v>
      </c>
      <c r="D98" s="284">
        <v>1.0</v>
      </c>
      <c r="E98" s="282">
        <v>4100.0</v>
      </c>
      <c r="F98" s="176"/>
      <c r="G98" s="176"/>
      <c r="H98" s="178"/>
      <c r="I98" s="181"/>
      <c r="J98" s="282">
        <v>1000.0</v>
      </c>
      <c r="K98" s="186">
        <f t="shared" si="16"/>
        <v>0</v>
      </c>
      <c r="L98" s="282"/>
      <c r="M98" s="176"/>
      <c r="N98" s="287">
        <v>3100.0</v>
      </c>
      <c r="O98" s="287">
        <v>-700.0</v>
      </c>
      <c r="P98" s="287">
        <v>-500.0</v>
      </c>
      <c r="Q98" s="71">
        <f t="shared" si="17"/>
        <v>7200</v>
      </c>
      <c r="R98" s="287" t="s">
        <v>128</v>
      </c>
      <c r="U98" s="117"/>
      <c r="V98" s="119"/>
      <c r="W98" s="122"/>
    </row>
    <row r="99" ht="14.25" customHeight="1">
      <c r="B99" s="171"/>
      <c r="C99" s="284" t="s">
        <v>88</v>
      </c>
      <c r="D99" s="284">
        <v>2.0</v>
      </c>
      <c r="E99" s="282">
        <v>6000.0</v>
      </c>
      <c r="F99" s="282">
        <v>700.0</v>
      </c>
      <c r="G99" s="176"/>
      <c r="H99" s="178"/>
      <c r="I99" s="181"/>
      <c r="J99" s="282">
        <v>1900.0</v>
      </c>
      <c r="K99" s="186">
        <f t="shared" si="16"/>
        <v>0</v>
      </c>
      <c r="L99" s="176"/>
      <c r="M99" s="282"/>
      <c r="N99" s="287">
        <v>4800.0</v>
      </c>
      <c r="O99" s="287">
        <v>-700.0</v>
      </c>
      <c r="P99" s="190"/>
      <c r="Q99" s="71">
        <f t="shared" si="17"/>
        <v>11300</v>
      </c>
      <c r="R99" s="190"/>
      <c r="U99" s="117"/>
      <c r="V99" s="119"/>
      <c r="W99" s="122"/>
    </row>
    <row r="100" ht="14.25" customHeight="1">
      <c r="B100" s="171"/>
      <c r="C100" s="284" t="s">
        <v>130</v>
      </c>
      <c r="D100" s="284">
        <v>4.0</v>
      </c>
      <c r="E100" s="282">
        <v>4937.3</v>
      </c>
      <c r="F100" s="176"/>
      <c r="G100" s="176"/>
      <c r="H100" s="178"/>
      <c r="I100" s="181"/>
      <c r="J100" s="282"/>
      <c r="K100" s="186">
        <f t="shared" si="16"/>
        <v>0</v>
      </c>
      <c r="L100" s="282">
        <v>4937.3</v>
      </c>
      <c r="M100" s="282"/>
      <c r="N100" s="190"/>
      <c r="O100" s="287">
        <v>-700.0</v>
      </c>
      <c r="P100" s="190"/>
      <c r="Q100" s="71">
        <f t="shared" si="17"/>
        <v>10600</v>
      </c>
      <c r="R100" s="190"/>
      <c r="U100" s="117"/>
      <c r="V100" s="119"/>
      <c r="W100" s="122"/>
    </row>
    <row r="101" ht="14.25" customHeight="1">
      <c r="B101" s="171"/>
      <c r="C101" s="173"/>
      <c r="D101" s="173"/>
      <c r="E101" s="176"/>
      <c r="F101" s="176"/>
      <c r="G101" s="176"/>
      <c r="H101" s="178"/>
      <c r="I101" s="181"/>
      <c r="J101" s="176"/>
      <c r="K101" s="186">
        <f t="shared" si="16"/>
        <v>0</v>
      </c>
      <c r="L101" s="176"/>
      <c r="M101" s="176"/>
      <c r="N101" s="190"/>
      <c r="O101" s="190"/>
      <c r="P101" s="287">
        <v>-5687.18</v>
      </c>
      <c r="Q101" s="71">
        <f t="shared" si="17"/>
        <v>4912.82</v>
      </c>
      <c r="R101" s="287" t="s">
        <v>59</v>
      </c>
      <c r="U101" s="117"/>
      <c r="V101" s="119"/>
      <c r="W101" s="122"/>
    </row>
    <row r="102" ht="14.25" customHeight="1">
      <c r="B102" s="171"/>
      <c r="C102" s="173"/>
      <c r="D102" s="173"/>
      <c r="E102" s="176"/>
      <c r="F102" s="176"/>
      <c r="G102" s="176"/>
      <c r="H102" s="178"/>
      <c r="I102" s="181"/>
      <c r="J102" s="176"/>
      <c r="K102" s="186">
        <f t="shared" si="16"/>
        <v>0</v>
      </c>
      <c r="L102" s="176"/>
      <c r="M102" s="176"/>
      <c r="N102" s="190"/>
      <c r="O102" s="190"/>
      <c r="P102" s="287"/>
      <c r="Q102" s="71">
        <f t="shared" si="17"/>
        <v>4912.82</v>
      </c>
      <c r="R102" s="287"/>
      <c r="U102" s="117"/>
      <c r="V102" s="119"/>
      <c r="W102" s="122"/>
    </row>
    <row r="103" ht="14.25" customHeight="1">
      <c r="B103" s="297" t="s">
        <v>121</v>
      </c>
      <c r="C103" s="246" t="s">
        <v>80</v>
      </c>
      <c r="D103" s="246">
        <f t="shared" ref="D103:E103" si="18">sum(D86:D102)</f>
        <v>20</v>
      </c>
      <c r="E103" s="247">
        <f t="shared" si="18"/>
        <v>43537.3</v>
      </c>
      <c r="F103" s="247"/>
      <c r="G103" s="247">
        <f t="shared" ref="G103:P103" si="19">sum(G86:G102)</f>
        <v>0</v>
      </c>
      <c r="H103" s="247">
        <f t="shared" si="19"/>
        <v>0</v>
      </c>
      <c r="I103" s="249">
        <f t="shared" si="19"/>
        <v>0</v>
      </c>
      <c r="J103" s="247">
        <f t="shared" si="19"/>
        <v>11400</v>
      </c>
      <c r="K103" s="247">
        <f t="shared" si="19"/>
        <v>0</v>
      </c>
      <c r="L103" s="247">
        <f t="shared" si="19"/>
        <v>4937.3</v>
      </c>
      <c r="M103" s="247">
        <f t="shared" si="19"/>
        <v>10500</v>
      </c>
      <c r="N103" s="247">
        <f t="shared" si="19"/>
        <v>17400</v>
      </c>
      <c r="O103" s="247">
        <f t="shared" si="19"/>
        <v>-6300</v>
      </c>
      <c r="P103" s="247">
        <f t="shared" si="19"/>
        <v>-6187.18</v>
      </c>
      <c r="Q103" s="247">
        <f>Q102</f>
        <v>4912.82</v>
      </c>
      <c r="R103" s="250"/>
      <c r="U103" s="117"/>
      <c r="V103" s="119"/>
      <c r="W103" s="122"/>
    </row>
    <row r="104" ht="14.25" customHeight="1">
      <c r="B104" s="316" t="s">
        <v>132</v>
      </c>
      <c r="C104" s="304">
        <v>45693.0</v>
      </c>
      <c r="D104" s="308"/>
      <c r="E104" s="309"/>
      <c r="F104" s="194"/>
      <c r="G104" s="194"/>
      <c r="H104" s="196"/>
      <c r="I104" s="317"/>
      <c r="J104" s="309"/>
      <c r="K104" s="199">
        <f t="shared" ref="K104:K116" si="20">E104-J104-L104-M104-N104-I104+F104</f>
        <v>0</v>
      </c>
      <c r="L104" s="194"/>
      <c r="M104" s="194"/>
      <c r="N104" s="310"/>
      <c r="O104" s="310"/>
      <c r="P104" s="200"/>
      <c r="Q104" s="88">
        <f t="shared" ref="Q104:Q118" si="21">Q103+N104+O104+P104</f>
        <v>4912.82</v>
      </c>
      <c r="R104" s="200"/>
      <c r="W104" s="122"/>
    </row>
    <row r="105" ht="14.25" customHeight="1">
      <c r="B105" s="300" t="s">
        <v>132</v>
      </c>
      <c r="C105" s="301">
        <v>45783.0</v>
      </c>
      <c r="D105" s="284">
        <v>1.0</v>
      </c>
      <c r="E105" s="282">
        <v>3300.0</v>
      </c>
      <c r="F105" s="176"/>
      <c r="G105" s="176"/>
      <c r="H105" s="303"/>
      <c r="I105" s="181"/>
      <c r="J105" s="282">
        <v>1000.0</v>
      </c>
      <c r="K105" s="186">
        <f t="shared" si="20"/>
        <v>0</v>
      </c>
      <c r="L105" s="282"/>
      <c r="M105" s="320">
        <v>2300.0</v>
      </c>
      <c r="N105" s="287"/>
      <c r="O105" s="287">
        <v>-700.0</v>
      </c>
      <c r="P105" s="190"/>
      <c r="Q105" s="71">
        <f t="shared" si="21"/>
        <v>4212.82</v>
      </c>
      <c r="R105" s="287" t="s">
        <v>134</v>
      </c>
      <c r="W105" s="122"/>
    </row>
    <row r="106" ht="14.25" customHeight="1">
      <c r="B106" s="227"/>
      <c r="C106" s="304">
        <v>45820.0</v>
      </c>
      <c r="D106" s="193"/>
      <c r="E106" s="194"/>
      <c r="F106" s="194"/>
      <c r="G106" s="194"/>
      <c r="H106" s="196"/>
      <c r="I106" s="198"/>
      <c r="J106" s="194"/>
      <c r="K106" s="199">
        <f t="shared" si="20"/>
        <v>0</v>
      </c>
      <c r="L106" s="194"/>
      <c r="M106" s="194"/>
      <c r="N106" s="200"/>
      <c r="O106" s="200"/>
      <c r="P106" s="200"/>
      <c r="Q106" s="88">
        <f t="shared" si="21"/>
        <v>4212.82</v>
      </c>
      <c r="R106" s="200"/>
      <c r="W106" s="122"/>
    </row>
    <row r="107" ht="14.25" customHeight="1">
      <c r="B107" s="171"/>
      <c r="C107" s="301">
        <v>46004.0</v>
      </c>
      <c r="D107" s="284">
        <v>1.0</v>
      </c>
      <c r="E107" s="282">
        <v>2800.0</v>
      </c>
      <c r="F107" s="176"/>
      <c r="G107" s="176"/>
      <c r="H107" s="178"/>
      <c r="I107" s="181"/>
      <c r="J107" s="282">
        <v>1000.0</v>
      </c>
      <c r="K107" s="186">
        <f t="shared" si="20"/>
        <v>0</v>
      </c>
      <c r="L107" s="282"/>
      <c r="M107" s="282"/>
      <c r="N107" s="287">
        <v>1800.0</v>
      </c>
      <c r="O107" s="287">
        <v>-700.0</v>
      </c>
      <c r="P107" s="190"/>
      <c r="Q107" s="71">
        <f t="shared" si="21"/>
        <v>5312.82</v>
      </c>
      <c r="R107" s="190"/>
      <c r="W107" s="122"/>
    </row>
    <row r="108" ht="14.25" customHeight="1">
      <c r="B108" s="171"/>
      <c r="C108" s="284" t="s">
        <v>46</v>
      </c>
      <c r="D108" s="284">
        <v>1.0</v>
      </c>
      <c r="E108" s="282">
        <v>1886.65</v>
      </c>
      <c r="F108" s="176"/>
      <c r="G108" s="176"/>
      <c r="H108" s="178"/>
      <c r="I108" s="181"/>
      <c r="J108" s="282"/>
      <c r="K108" s="186">
        <f t="shared" si="20"/>
        <v>0</v>
      </c>
      <c r="L108" s="282">
        <v>1886.65</v>
      </c>
      <c r="M108" s="176"/>
      <c r="N108" s="287"/>
      <c r="O108" s="287">
        <v>-700.0</v>
      </c>
      <c r="P108" s="190"/>
      <c r="Q108" s="71">
        <f t="shared" si="21"/>
        <v>4612.82</v>
      </c>
      <c r="R108" s="190"/>
      <c r="W108" s="122"/>
    </row>
    <row r="109" ht="14.25" customHeight="1">
      <c r="B109" s="171"/>
      <c r="C109" s="284" t="s">
        <v>29</v>
      </c>
      <c r="D109" s="284">
        <v>1.0</v>
      </c>
      <c r="E109" s="282">
        <v>3250.0</v>
      </c>
      <c r="F109" s="176"/>
      <c r="G109" s="176"/>
      <c r="H109" s="178"/>
      <c r="I109" s="181"/>
      <c r="J109" s="282">
        <v>1000.0</v>
      </c>
      <c r="K109" s="186">
        <f t="shared" si="20"/>
        <v>0</v>
      </c>
      <c r="L109" s="176"/>
      <c r="M109" s="176"/>
      <c r="N109" s="287">
        <v>2250.0</v>
      </c>
      <c r="O109" s="287">
        <v>-700.0</v>
      </c>
      <c r="P109" s="287">
        <v>-1000.0</v>
      </c>
      <c r="Q109" s="71">
        <f t="shared" si="21"/>
        <v>5162.82</v>
      </c>
      <c r="R109" s="287" t="s">
        <v>136</v>
      </c>
      <c r="U109" s="117"/>
      <c r="V109" s="119"/>
      <c r="W109" s="122"/>
    </row>
    <row r="110" ht="14.25" customHeight="1">
      <c r="B110" s="171"/>
      <c r="C110" s="284" t="s">
        <v>54</v>
      </c>
      <c r="D110" s="284">
        <v>2.0</v>
      </c>
      <c r="E110" s="282">
        <v>4100.0</v>
      </c>
      <c r="F110" s="176"/>
      <c r="G110" s="176"/>
      <c r="H110" s="178"/>
      <c r="I110" s="181"/>
      <c r="J110" s="282">
        <v>4100.0</v>
      </c>
      <c r="K110" s="186">
        <f t="shared" si="20"/>
        <v>0</v>
      </c>
      <c r="L110" s="176"/>
      <c r="M110" s="176"/>
      <c r="N110" s="287"/>
      <c r="O110" s="287">
        <v>-700.0</v>
      </c>
      <c r="P110" s="190"/>
      <c r="Q110" s="71">
        <f t="shared" si="21"/>
        <v>4462.82</v>
      </c>
      <c r="R110" s="190"/>
      <c r="U110" s="117"/>
      <c r="V110" s="119"/>
      <c r="W110" s="122"/>
    </row>
    <row r="111" ht="14.25" customHeight="1">
      <c r="B111" s="171"/>
      <c r="C111" s="284" t="s">
        <v>32</v>
      </c>
      <c r="D111" s="284">
        <v>1.0</v>
      </c>
      <c r="E111" s="282">
        <v>2800.0</v>
      </c>
      <c r="F111" s="176"/>
      <c r="G111" s="176"/>
      <c r="H111" s="178"/>
      <c r="I111" s="181"/>
      <c r="J111" s="282">
        <v>1000.0</v>
      </c>
      <c r="K111" s="186">
        <f t="shared" si="20"/>
        <v>0</v>
      </c>
      <c r="L111" s="176"/>
      <c r="M111" s="176"/>
      <c r="N111" s="287">
        <v>1800.0</v>
      </c>
      <c r="O111" s="287">
        <v>-700.0</v>
      </c>
      <c r="P111" s="190"/>
      <c r="Q111" s="71">
        <f t="shared" si="21"/>
        <v>5562.82</v>
      </c>
      <c r="R111" s="190"/>
      <c r="U111" s="117"/>
      <c r="V111" s="119"/>
      <c r="W111" s="122"/>
    </row>
    <row r="112" ht="14.25" customHeight="1">
      <c r="B112" s="171"/>
      <c r="C112" s="284" t="s">
        <v>33</v>
      </c>
      <c r="D112" s="284">
        <v>1.0</v>
      </c>
      <c r="E112" s="282">
        <v>3000.0</v>
      </c>
      <c r="F112" s="176"/>
      <c r="G112" s="176"/>
      <c r="H112" s="178"/>
      <c r="I112" s="181"/>
      <c r="J112" s="282">
        <v>1000.0</v>
      </c>
      <c r="K112" s="186">
        <f t="shared" si="20"/>
        <v>0</v>
      </c>
      <c r="L112" s="176"/>
      <c r="M112" s="176"/>
      <c r="N112" s="287">
        <v>2000.0</v>
      </c>
      <c r="O112" s="287">
        <v>-700.0</v>
      </c>
      <c r="P112" s="190"/>
      <c r="Q112" s="71">
        <f t="shared" si="21"/>
        <v>6862.82</v>
      </c>
      <c r="R112" s="190"/>
      <c r="U112" s="117"/>
      <c r="V112" s="119"/>
      <c r="W112" s="122"/>
    </row>
    <row r="113" ht="14.25" customHeight="1">
      <c r="B113" s="171"/>
      <c r="C113" s="284" t="s">
        <v>34</v>
      </c>
      <c r="D113" s="284">
        <v>1.0</v>
      </c>
      <c r="E113" s="282">
        <v>3300.0</v>
      </c>
      <c r="F113" s="176"/>
      <c r="G113" s="176"/>
      <c r="H113" s="178"/>
      <c r="I113" s="181"/>
      <c r="J113" s="282">
        <v>1000.0</v>
      </c>
      <c r="K113" s="186">
        <f t="shared" si="20"/>
        <v>0</v>
      </c>
      <c r="L113" s="176"/>
      <c r="M113" s="282">
        <v>2300.0</v>
      </c>
      <c r="N113" s="287"/>
      <c r="O113" s="287">
        <v>-700.0</v>
      </c>
      <c r="P113" s="190"/>
      <c r="Q113" s="71">
        <f t="shared" si="21"/>
        <v>6162.82</v>
      </c>
      <c r="R113" s="190"/>
      <c r="U113" s="117"/>
      <c r="V113" s="119"/>
      <c r="W113" s="122"/>
    </row>
    <row r="114" ht="14.25" customHeight="1">
      <c r="B114" s="171"/>
      <c r="C114" s="284" t="s">
        <v>138</v>
      </c>
      <c r="D114" s="284">
        <f>7+3</f>
        <v>10</v>
      </c>
      <c r="E114" s="282">
        <f>17300+500+7100</f>
        <v>24900</v>
      </c>
      <c r="F114" s="176"/>
      <c r="G114" s="176"/>
      <c r="H114" s="178"/>
      <c r="I114" s="181"/>
      <c r="J114" s="282">
        <v>3500.0</v>
      </c>
      <c r="K114" s="186">
        <f t="shared" si="20"/>
        <v>0</v>
      </c>
      <c r="L114" s="176"/>
      <c r="M114" s="282">
        <f>13800+500+7100</f>
        <v>21400</v>
      </c>
      <c r="N114" s="287"/>
      <c r="O114" s="287">
        <v>-700.0</v>
      </c>
      <c r="P114" s="190"/>
      <c r="Q114" s="71">
        <f t="shared" si="21"/>
        <v>5462.82</v>
      </c>
      <c r="R114" s="190"/>
      <c r="U114" s="117"/>
      <c r="V114" s="119"/>
      <c r="W114" s="122"/>
    </row>
    <row r="115" ht="14.25" customHeight="1">
      <c r="B115" s="227"/>
      <c r="C115" s="308" t="s">
        <v>75</v>
      </c>
      <c r="D115" s="308"/>
      <c r="E115" s="309"/>
      <c r="F115" s="194"/>
      <c r="G115" s="194"/>
      <c r="H115" s="196"/>
      <c r="I115" s="198"/>
      <c r="J115" s="309"/>
      <c r="K115" s="199">
        <f t="shared" si="20"/>
        <v>0</v>
      </c>
      <c r="L115" s="194"/>
      <c r="M115" s="194"/>
      <c r="N115" s="310"/>
      <c r="O115" s="200"/>
      <c r="P115" s="200"/>
      <c r="Q115" s="88">
        <f t="shared" si="21"/>
        <v>5462.82</v>
      </c>
      <c r="R115" s="200"/>
      <c r="U115" s="117"/>
      <c r="V115" s="119"/>
      <c r="W115" s="122"/>
    </row>
    <row r="116" ht="14.25" customHeight="1">
      <c r="B116" s="171"/>
      <c r="C116" s="173"/>
      <c r="D116" s="173"/>
      <c r="E116" s="176"/>
      <c r="F116" s="176"/>
      <c r="G116" s="176"/>
      <c r="H116" s="178"/>
      <c r="I116" s="181"/>
      <c r="J116" s="176"/>
      <c r="K116" s="186">
        <f t="shared" si="20"/>
        <v>0</v>
      </c>
      <c r="L116" s="176"/>
      <c r="M116" s="176"/>
      <c r="N116" s="190"/>
      <c r="O116" s="190"/>
      <c r="P116" s="287">
        <v>-5217.9</v>
      </c>
      <c r="Q116" s="71">
        <f t="shared" si="21"/>
        <v>244.92</v>
      </c>
      <c r="R116" s="287" t="s">
        <v>59</v>
      </c>
      <c r="U116" s="117"/>
      <c r="V116" s="119"/>
      <c r="W116" s="122"/>
    </row>
    <row r="117" ht="14.25" customHeight="1">
      <c r="B117" s="171"/>
      <c r="C117" s="173"/>
      <c r="D117" s="173"/>
      <c r="E117" s="176"/>
      <c r="F117" s="176"/>
      <c r="G117" s="176"/>
      <c r="H117" s="178"/>
      <c r="I117" s="181"/>
      <c r="J117" s="176"/>
      <c r="K117" s="186"/>
      <c r="L117" s="176"/>
      <c r="M117" s="176"/>
      <c r="N117" s="190"/>
      <c r="O117" s="190"/>
      <c r="P117" s="287">
        <v>-500.0</v>
      </c>
      <c r="Q117" s="71">
        <f t="shared" si="21"/>
        <v>-255.08</v>
      </c>
      <c r="R117" s="287" t="s">
        <v>140</v>
      </c>
      <c r="U117" s="117"/>
      <c r="V117" s="119"/>
      <c r="W117" s="122"/>
    </row>
    <row r="118" ht="14.25" customHeight="1">
      <c r="B118" s="171"/>
      <c r="C118" s="173"/>
      <c r="D118" s="173"/>
      <c r="E118" s="176"/>
      <c r="F118" s="176"/>
      <c r="G118" s="176"/>
      <c r="H118" s="178"/>
      <c r="I118" s="181"/>
      <c r="J118" s="176"/>
      <c r="K118" s="186">
        <f>E118-J118-L118-M118-N118-I118+F118</f>
        <v>0</v>
      </c>
      <c r="L118" s="176"/>
      <c r="M118" s="176"/>
      <c r="N118" s="190"/>
      <c r="O118" s="190"/>
      <c r="P118" s="287">
        <v>-1200.0</v>
      </c>
      <c r="Q118" s="71">
        <f t="shared" si="21"/>
        <v>-1455.08</v>
      </c>
      <c r="R118" s="287" t="s">
        <v>109</v>
      </c>
      <c r="U118" s="117"/>
      <c r="V118" s="119"/>
      <c r="W118" s="122"/>
    </row>
    <row r="119" ht="14.25" customHeight="1">
      <c r="B119" s="297" t="s">
        <v>132</v>
      </c>
      <c r="C119" s="246" t="s">
        <v>80</v>
      </c>
      <c r="D119" s="246">
        <f t="shared" ref="D119:E119" si="22">sum(D104:D118)</f>
        <v>19</v>
      </c>
      <c r="E119" s="247">
        <f t="shared" si="22"/>
        <v>49336.65</v>
      </c>
      <c r="F119" s="247"/>
      <c r="G119" s="247">
        <f t="shared" ref="G119:P119" si="23">sum(G104:G118)</f>
        <v>0</v>
      </c>
      <c r="H119" s="247">
        <f t="shared" si="23"/>
        <v>0</v>
      </c>
      <c r="I119" s="249">
        <f t="shared" si="23"/>
        <v>0</v>
      </c>
      <c r="J119" s="247">
        <f t="shared" si="23"/>
        <v>13600</v>
      </c>
      <c r="K119" s="247">
        <f t="shared" si="23"/>
        <v>0</v>
      </c>
      <c r="L119" s="247">
        <f t="shared" si="23"/>
        <v>1886.65</v>
      </c>
      <c r="M119" s="247">
        <f t="shared" si="23"/>
        <v>26000</v>
      </c>
      <c r="N119" s="247">
        <f t="shared" si="23"/>
        <v>7850</v>
      </c>
      <c r="O119" s="247">
        <f t="shared" si="23"/>
        <v>-6300</v>
      </c>
      <c r="P119" s="247">
        <f t="shared" si="23"/>
        <v>-7917.9</v>
      </c>
      <c r="Q119" s="247">
        <f>Q118</f>
        <v>-1455.08</v>
      </c>
      <c r="R119" s="250"/>
      <c r="U119" s="117"/>
      <c r="V119" s="119"/>
      <c r="W119" s="122"/>
    </row>
    <row r="120" ht="14.25" customHeight="1">
      <c r="B120" s="300" t="s">
        <v>141</v>
      </c>
      <c r="C120" s="301">
        <v>45659.0</v>
      </c>
      <c r="D120" s="284">
        <v>1.0</v>
      </c>
      <c r="E120" s="282">
        <v>2000.0</v>
      </c>
      <c r="F120" s="176"/>
      <c r="G120" s="176"/>
      <c r="H120" s="303"/>
      <c r="I120" s="181"/>
      <c r="J120" s="282"/>
      <c r="K120" s="186">
        <f t="shared" ref="K120:K142" si="24">E120-J120-L120-M120-N120-I120+F120</f>
        <v>0</v>
      </c>
      <c r="L120" s="282"/>
      <c r="M120" s="320"/>
      <c r="N120" s="287">
        <v>2000.0</v>
      </c>
      <c r="O120" s="287">
        <v>-700.0</v>
      </c>
      <c r="P120" s="190"/>
      <c r="Q120" s="71">
        <f t="shared" ref="Q120:Q140" si="25">Q119+N120+O120+P120</f>
        <v>-155.08</v>
      </c>
      <c r="R120" s="287"/>
      <c r="W120" s="122"/>
    </row>
    <row r="121" ht="14.25" customHeight="1">
      <c r="B121" s="300"/>
      <c r="C121" s="301">
        <v>45691.0</v>
      </c>
      <c r="D121" s="284">
        <v>1.0</v>
      </c>
      <c r="E121" s="282">
        <v>2000.0</v>
      </c>
      <c r="F121" s="176"/>
      <c r="G121" s="176"/>
      <c r="H121" s="303"/>
      <c r="I121" s="181"/>
      <c r="J121" s="282">
        <v>1000.0</v>
      </c>
      <c r="K121" s="186">
        <f t="shared" si="24"/>
        <v>0</v>
      </c>
      <c r="L121" s="282"/>
      <c r="M121" s="337">
        <v>1000.0</v>
      </c>
      <c r="N121" s="287"/>
      <c r="O121" s="287">
        <v>-700.0</v>
      </c>
      <c r="P121" s="190"/>
      <c r="Q121" s="71">
        <f t="shared" si="25"/>
        <v>-855.08</v>
      </c>
      <c r="R121" s="287"/>
      <c r="W121" s="122"/>
    </row>
    <row r="122" ht="14.25" customHeight="1">
      <c r="B122" s="300"/>
      <c r="C122" s="301">
        <v>45720.0</v>
      </c>
      <c r="D122" s="284">
        <v>1.0</v>
      </c>
      <c r="E122" s="282">
        <v>2800.0</v>
      </c>
      <c r="F122" s="176"/>
      <c r="G122" s="176"/>
      <c r="H122" s="303"/>
      <c r="I122" s="181"/>
      <c r="J122" s="282">
        <v>1000.0</v>
      </c>
      <c r="K122" s="186">
        <f t="shared" si="24"/>
        <v>0</v>
      </c>
      <c r="L122" s="282"/>
      <c r="M122" s="337"/>
      <c r="N122" s="287">
        <v>1800.0</v>
      </c>
      <c r="O122" s="287">
        <v>-700.0</v>
      </c>
      <c r="P122" s="190"/>
      <c r="Q122" s="71">
        <f t="shared" si="25"/>
        <v>244.92</v>
      </c>
      <c r="R122" s="287"/>
      <c r="W122" s="122"/>
    </row>
    <row r="123" ht="14.25" customHeight="1">
      <c r="B123" s="227"/>
      <c r="C123" s="304">
        <v>45753.0</v>
      </c>
      <c r="D123" s="308"/>
      <c r="E123" s="309"/>
      <c r="F123" s="194"/>
      <c r="G123" s="194"/>
      <c r="H123" s="196"/>
      <c r="I123" s="198"/>
      <c r="J123" s="309"/>
      <c r="K123" s="199">
        <f t="shared" si="24"/>
        <v>0</v>
      </c>
      <c r="L123" s="309"/>
      <c r="M123" s="309"/>
      <c r="N123" s="310"/>
      <c r="O123" s="310"/>
      <c r="P123" s="200"/>
      <c r="Q123" s="88">
        <f t="shared" si="25"/>
        <v>244.92</v>
      </c>
      <c r="R123" s="200"/>
      <c r="W123" s="122"/>
    </row>
    <row r="124" ht="14.25" customHeight="1">
      <c r="B124" s="171"/>
      <c r="C124" s="301">
        <v>45815.0</v>
      </c>
      <c r="D124" s="284">
        <v>1.0</v>
      </c>
      <c r="E124" s="282">
        <v>2300.0</v>
      </c>
      <c r="F124" s="176"/>
      <c r="G124" s="176"/>
      <c r="H124" s="178"/>
      <c r="I124" s="181"/>
      <c r="J124" s="282">
        <v>1000.0</v>
      </c>
      <c r="K124" s="186">
        <f t="shared" si="24"/>
        <v>0</v>
      </c>
      <c r="L124" s="282"/>
      <c r="M124" s="176"/>
      <c r="N124" s="287">
        <v>1300.0</v>
      </c>
      <c r="O124" s="287">
        <v>-700.0</v>
      </c>
      <c r="P124" s="190"/>
      <c r="Q124" s="71">
        <f t="shared" si="25"/>
        <v>844.92</v>
      </c>
      <c r="R124" s="190"/>
      <c r="W124" s="122"/>
    </row>
    <row r="125" ht="14.25" customHeight="1">
      <c r="B125" s="171"/>
      <c r="C125" s="301">
        <v>45846.0</v>
      </c>
      <c r="D125" s="284">
        <v>1.0</v>
      </c>
      <c r="E125" s="282">
        <f>2500</f>
        <v>2500</v>
      </c>
      <c r="F125" s="282">
        <v>250.0</v>
      </c>
      <c r="G125" s="176"/>
      <c r="H125" s="178"/>
      <c r="I125" s="181"/>
      <c r="J125" s="282">
        <v>1000.0</v>
      </c>
      <c r="K125" s="186">
        <f t="shared" si="24"/>
        <v>0</v>
      </c>
      <c r="L125" s="176"/>
      <c r="M125" s="176"/>
      <c r="N125" s="287">
        <f>1550+200</f>
        <v>1750</v>
      </c>
      <c r="O125" s="287">
        <v>-700.0</v>
      </c>
      <c r="P125" s="190"/>
      <c r="Q125" s="71">
        <f t="shared" si="25"/>
        <v>1894.92</v>
      </c>
      <c r="R125" s="287"/>
      <c r="U125" s="117"/>
      <c r="V125" s="119"/>
      <c r="W125" s="122"/>
    </row>
    <row r="126" ht="14.25" customHeight="1">
      <c r="B126" s="171"/>
      <c r="C126" s="301">
        <v>45879.0</v>
      </c>
      <c r="D126" s="284">
        <v>2.0</v>
      </c>
      <c r="E126" s="282">
        <v>4500.0</v>
      </c>
      <c r="F126" s="176"/>
      <c r="G126" s="176"/>
      <c r="H126" s="178"/>
      <c r="I126" s="181"/>
      <c r="J126" s="282">
        <v>1500.0</v>
      </c>
      <c r="K126" s="186">
        <f t="shared" si="24"/>
        <v>0</v>
      </c>
      <c r="L126" s="176"/>
      <c r="M126" s="176"/>
      <c r="N126" s="287">
        <v>3000.0</v>
      </c>
      <c r="O126" s="287">
        <v>-700.0</v>
      </c>
      <c r="P126" s="190"/>
      <c r="Q126" s="71">
        <f t="shared" si="25"/>
        <v>4194.92</v>
      </c>
      <c r="R126" s="190"/>
      <c r="U126" s="117"/>
      <c r="V126" s="119"/>
      <c r="W126" s="122"/>
    </row>
    <row r="127" ht="14.25" customHeight="1">
      <c r="B127" s="171"/>
      <c r="C127" s="301">
        <v>45941.0</v>
      </c>
      <c r="D127" s="284">
        <v>1.0</v>
      </c>
      <c r="E127" s="282">
        <v>2700.0</v>
      </c>
      <c r="F127" s="176"/>
      <c r="G127" s="176"/>
      <c r="H127" s="178"/>
      <c r="I127" s="181"/>
      <c r="J127" s="282">
        <v>1001.0</v>
      </c>
      <c r="K127" s="186">
        <f t="shared" si="24"/>
        <v>-1</v>
      </c>
      <c r="L127" s="176"/>
      <c r="M127" s="176"/>
      <c r="N127" s="287">
        <v>1700.0</v>
      </c>
      <c r="O127" s="287">
        <v>-700.0</v>
      </c>
      <c r="P127" s="190"/>
      <c r="Q127" s="71">
        <f t="shared" si="25"/>
        <v>5194.92</v>
      </c>
      <c r="R127" s="190"/>
      <c r="U127" s="117"/>
      <c r="V127" s="119"/>
      <c r="W127" s="122"/>
    </row>
    <row r="128" ht="14.25" customHeight="1">
      <c r="B128" s="227"/>
      <c r="C128" s="304">
        <v>45973.0</v>
      </c>
      <c r="D128" s="308"/>
      <c r="E128" s="309"/>
      <c r="F128" s="194"/>
      <c r="G128" s="194"/>
      <c r="H128" s="196"/>
      <c r="I128" s="198"/>
      <c r="J128" s="309"/>
      <c r="K128" s="199">
        <f t="shared" si="24"/>
        <v>0</v>
      </c>
      <c r="L128" s="194"/>
      <c r="M128" s="194"/>
      <c r="N128" s="310"/>
      <c r="O128" s="310"/>
      <c r="P128" s="200"/>
      <c r="Q128" s="88">
        <f t="shared" si="25"/>
        <v>5194.92</v>
      </c>
      <c r="R128" s="200"/>
      <c r="U128" s="117"/>
      <c r="V128" s="119"/>
      <c r="W128" s="122"/>
    </row>
    <row r="129" ht="14.25" customHeight="1">
      <c r="B129" s="171"/>
      <c r="C129" s="301">
        <v>46004.0</v>
      </c>
      <c r="D129" s="284">
        <v>1.0</v>
      </c>
      <c r="E129" s="282">
        <v>2300.0</v>
      </c>
      <c r="F129" s="176"/>
      <c r="G129" s="176"/>
      <c r="H129" s="178"/>
      <c r="I129" s="181"/>
      <c r="J129" s="282">
        <v>1000.0</v>
      </c>
      <c r="K129" s="186">
        <f t="shared" si="24"/>
        <v>0</v>
      </c>
      <c r="L129" s="176"/>
      <c r="M129" s="176"/>
      <c r="N129" s="287">
        <v>1300.0</v>
      </c>
      <c r="O129" s="287">
        <v>-700.0</v>
      </c>
      <c r="P129" s="190"/>
      <c r="Q129" s="71">
        <f t="shared" si="25"/>
        <v>5794.92</v>
      </c>
      <c r="R129" s="190"/>
      <c r="U129" s="117"/>
      <c r="V129" s="119"/>
      <c r="W129" s="122"/>
    </row>
    <row r="130" ht="14.25" customHeight="1">
      <c r="B130" s="227"/>
      <c r="C130" s="304">
        <v>46008.0</v>
      </c>
      <c r="D130" s="308"/>
      <c r="E130" s="309"/>
      <c r="F130" s="194"/>
      <c r="G130" s="194"/>
      <c r="H130" s="196"/>
      <c r="I130" s="198"/>
      <c r="J130" s="309"/>
      <c r="K130" s="199">
        <f t="shared" si="24"/>
        <v>0</v>
      </c>
      <c r="L130" s="194"/>
      <c r="M130" s="194"/>
      <c r="N130" s="310"/>
      <c r="O130" s="310"/>
      <c r="P130" s="200"/>
      <c r="Q130" s="88">
        <f t="shared" si="25"/>
        <v>5794.92</v>
      </c>
      <c r="R130" s="200"/>
      <c r="U130" s="117"/>
      <c r="V130" s="119"/>
      <c r="W130" s="122"/>
    </row>
    <row r="131" ht="14.25" customHeight="1">
      <c r="B131" s="171"/>
      <c r="C131" s="284" t="s">
        <v>32</v>
      </c>
      <c r="D131" s="284">
        <v>1.0</v>
      </c>
      <c r="E131" s="282">
        <v>3000.0</v>
      </c>
      <c r="F131" s="176"/>
      <c r="G131" s="176"/>
      <c r="H131" s="178"/>
      <c r="I131" s="181"/>
      <c r="J131" s="282">
        <v>1000.0</v>
      </c>
      <c r="K131" s="186">
        <f t="shared" si="24"/>
        <v>0</v>
      </c>
      <c r="L131" s="176"/>
      <c r="M131" s="176"/>
      <c r="N131" s="287">
        <v>2000.0</v>
      </c>
      <c r="O131" s="287">
        <v>-700.0</v>
      </c>
      <c r="P131" s="190"/>
      <c r="Q131" s="71">
        <f t="shared" si="25"/>
        <v>7094.92</v>
      </c>
      <c r="R131" s="190"/>
      <c r="U131" s="117"/>
      <c r="V131" s="119"/>
      <c r="W131" s="122"/>
    </row>
    <row r="132" ht="14.25" customHeight="1">
      <c r="B132" s="227"/>
      <c r="C132" s="308" t="s">
        <v>33</v>
      </c>
      <c r="D132" s="308"/>
      <c r="E132" s="309"/>
      <c r="F132" s="194"/>
      <c r="G132" s="194"/>
      <c r="H132" s="196"/>
      <c r="I132" s="198"/>
      <c r="J132" s="309"/>
      <c r="K132" s="199">
        <f t="shared" si="24"/>
        <v>0</v>
      </c>
      <c r="L132" s="194"/>
      <c r="M132" s="309"/>
      <c r="N132" s="310"/>
      <c r="O132" s="310"/>
      <c r="P132" s="200"/>
      <c r="Q132" s="88">
        <f t="shared" si="25"/>
        <v>7094.92</v>
      </c>
      <c r="R132" s="200"/>
      <c r="U132" s="117"/>
      <c r="V132" s="119"/>
      <c r="W132" s="122"/>
    </row>
    <row r="133" ht="14.25" customHeight="1">
      <c r="B133" s="171"/>
      <c r="C133" s="284" t="s">
        <v>144</v>
      </c>
      <c r="D133" s="284">
        <v>3.0</v>
      </c>
      <c r="E133" s="282">
        <v>6650.0</v>
      </c>
      <c r="F133" s="176"/>
      <c r="G133" s="176"/>
      <c r="H133" s="178"/>
      <c r="I133" s="181"/>
      <c r="J133" s="282">
        <v>2000.0</v>
      </c>
      <c r="K133" s="186">
        <f t="shared" si="24"/>
        <v>0</v>
      </c>
      <c r="L133" s="176"/>
      <c r="M133" s="282"/>
      <c r="N133" s="287">
        <v>4650.0</v>
      </c>
      <c r="O133" s="287">
        <v>-700.0</v>
      </c>
      <c r="P133" s="190"/>
      <c r="Q133" s="71">
        <f t="shared" si="25"/>
        <v>11044.92</v>
      </c>
      <c r="R133" s="190"/>
      <c r="U133" s="117"/>
      <c r="V133" s="119"/>
      <c r="W133" s="122"/>
    </row>
    <row r="134" ht="14.25" customHeight="1">
      <c r="B134" s="171"/>
      <c r="C134" s="284" t="s">
        <v>37</v>
      </c>
      <c r="D134" s="284">
        <v>1.0</v>
      </c>
      <c r="E134" s="282">
        <v>2300.0</v>
      </c>
      <c r="F134" s="282">
        <v>350.0</v>
      </c>
      <c r="G134" s="176"/>
      <c r="H134" s="178"/>
      <c r="I134" s="181"/>
      <c r="J134" s="282">
        <v>1300.0</v>
      </c>
      <c r="K134" s="186">
        <f t="shared" si="24"/>
        <v>0</v>
      </c>
      <c r="L134" s="176"/>
      <c r="M134" s="176"/>
      <c r="N134" s="287">
        <v>1350.0</v>
      </c>
      <c r="O134" s="287">
        <v>-700.0</v>
      </c>
      <c r="P134" s="287"/>
      <c r="Q134" s="71">
        <f t="shared" si="25"/>
        <v>11694.92</v>
      </c>
      <c r="R134" s="287"/>
      <c r="U134" s="117"/>
      <c r="V134" s="119"/>
      <c r="W134" s="122"/>
    </row>
    <row r="135" ht="14.25" customHeight="1">
      <c r="B135" s="171"/>
      <c r="C135" s="284" t="s">
        <v>108</v>
      </c>
      <c r="D135" s="284">
        <v>2.0</v>
      </c>
      <c r="E135" s="282">
        <v>5000.0</v>
      </c>
      <c r="F135" s="176"/>
      <c r="G135" s="176"/>
      <c r="H135" s="178"/>
      <c r="I135" s="181"/>
      <c r="J135" s="282">
        <v>1500.0</v>
      </c>
      <c r="K135" s="186">
        <f t="shared" si="24"/>
        <v>0</v>
      </c>
      <c r="L135" s="176"/>
      <c r="M135" s="282">
        <v>3500.0</v>
      </c>
      <c r="N135" s="190"/>
      <c r="O135" s="287">
        <v>-700.0</v>
      </c>
      <c r="P135" s="287"/>
      <c r="Q135" s="71">
        <f t="shared" si="25"/>
        <v>10994.92</v>
      </c>
      <c r="R135" s="287"/>
      <c r="U135" s="117"/>
      <c r="V135" s="119"/>
      <c r="W135" s="122"/>
    </row>
    <row r="136" ht="14.25" customHeight="1">
      <c r="B136" s="171"/>
      <c r="C136" s="284" t="s">
        <v>45</v>
      </c>
      <c r="D136" s="284">
        <v>1.0</v>
      </c>
      <c r="E136" s="282">
        <v>2300.0</v>
      </c>
      <c r="F136" s="176"/>
      <c r="G136" s="176"/>
      <c r="H136" s="178"/>
      <c r="I136" s="181"/>
      <c r="J136" s="282">
        <v>1000.0</v>
      </c>
      <c r="K136" s="186">
        <f t="shared" si="24"/>
        <v>0</v>
      </c>
      <c r="L136" s="176"/>
      <c r="M136" s="176"/>
      <c r="N136" s="287">
        <v>1300.0</v>
      </c>
      <c r="O136" s="287">
        <v>-700.0</v>
      </c>
      <c r="P136" s="287"/>
      <c r="Q136" s="71">
        <f t="shared" si="25"/>
        <v>11594.92</v>
      </c>
      <c r="R136" s="287" t="s">
        <v>147</v>
      </c>
      <c r="U136" s="117"/>
      <c r="V136" s="119"/>
      <c r="W136" s="122"/>
    </row>
    <row r="137" ht="14.25" customHeight="1">
      <c r="B137" s="171"/>
      <c r="C137" s="284" t="s">
        <v>47</v>
      </c>
      <c r="D137" s="284">
        <v>1.0</v>
      </c>
      <c r="E137" s="282">
        <v>2300.0</v>
      </c>
      <c r="F137" s="282">
        <v>350.0</v>
      </c>
      <c r="G137" s="176"/>
      <c r="H137" s="178"/>
      <c r="I137" s="181"/>
      <c r="J137" s="282">
        <v>1000.0</v>
      </c>
      <c r="K137" s="186">
        <f t="shared" si="24"/>
        <v>0</v>
      </c>
      <c r="L137" s="176"/>
      <c r="M137" s="282">
        <v>1650.0</v>
      </c>
      <c r="N137" s="287"/>
      <c r="O137" s="287">
        <v>-700.0</v>
      </c>
      <c r="P137" s="287"/>
      <c r="Q137" s="71">
        <f t="shared" si="25"/>
        <v>10894.92</v>
      </c>
      <c r="R137" s="287"/>
      <c r="U137" s="117"/>
      <c r="V137" s="119"/>
      <c r="W137" s="122"/>
    </row>
    <row r="138" ht="14.25" customHeight="1">
      <c r="B138" s="227"/>
      <c r="C138" s="308" t="s">
        <v>72</v>
      </c>
      <c r="D138" s="193"/>
      <c r="E138" s="194"/>
      <c r="F138" s="194"/>
      <c r="G138" s="194"/>
      <c r="H138" s="196"/>
      <c r="I138" s="198"/>
      <c r="J138" s="194"/>
      <c r="K138" s="199">
        <f t="shared" si="24"/>
        <v>0</v>
      </c>
      <c r="L138" s="194"/>
      <c r="M138" s="194"/>
      <c r="N138" s="200"/>
      <c r="O138" s="200"/>
      <c r="P138" s="310"/>
      <c r="Q138" s="88">
        <f t="shared" si="25"/>
        <v>10894.92</v>
      </c>
      <c r="R138" s="310"/>
      <c r="U138" s="117"/>
      <c r="V138" s="119"/>
      <c r="W138" s="122"/>
    </row>
    <row r="139" ht="14.25" customHeight="1">
      <c r="B139" s="171"/>
      <c r="C139" s="284" t="s">
        <v>88</v>
      </c>
      <c r="D139" s="284">
        <v>2.0</v>
      </c>
      <c r="E139" s="282">
        <v>4100.0</v>
      </c>
      <c r="F139" s="176"/>
      <c r="G139" s="176"/>
      <c r="H139" s="178"/>
      <c r="I139" s="181"/>
      <c r="J139" s="282">
        <v>1500.0</v>
      </c>
      <c r="K139" s="186">
        <f t="shared" si="24"/>
        <v>0</v>
      </c>
      <c r="L139" s="176"/>
      <c r="M139" s="282">
        <v>2600.0</v>
      </c>
      <c r="N139" s="287"/>
      <c r="O139" s="287">
        <v>-700.0</v>
      </c>
      <c r="P139" s="287"/>
      <c r="Q139" s="71">
        <f t="shared" si="25"/>
        <v>10194.92</v>
      </c>
      <c r="R139" s="287"/>
      <c r="U139" s="117"/>
      <c r="V139" s="119"/>
      <c r="W139" s="122"/>
    </row>
    <row r="140" ht="14.25" customHeight="1">
      <c r="B140" s="227"/>
      <c r="C140" s="308" t="s">
        <v>50</v>
      </c>
      <c r="D140" s="193"/>
      <c r="E140" s="194"/>
      <c r="F140" s="194"/>
      <c r="G140" s="194"/>
      <c r="H140" s="196"/>
      <c r="I140" s="198"/>
      <c r="J140" s="194"/>
      <c r="K140" s="199">
        <f t="shared" si="24"/>
        <v>0</v>
      </c>
      <c r="L140" s="194"/>
      <c r="M140" s="194"/>
      <c r="N140" s="200"/>
      <c r="O140" s="200"/>
      <c r="P140" s="310"/>
      <c r="Q140" s="88">
        <f t="shared" si="25"/>
        <v>10194.92</v>
      </c>
      <c r="R140" s="310"/>
      <c r="U140" s="117"/>
      <c r="V140" s="119"/>
      <c r="W140" s="122"/>
    </row>
    <row r="141" ht="14.25" customHeight="1">
      <c r="B141" s="171"/>
      <c r="C141" s="284" t="s">
        <v>89</v>
      </c>
      <c r="D141" s="284">
        <v>1.0</v>
      </c>
      <c r="E141" s="282">
        <f>2800+500</f>
        <v>3300</v>
      </c>
      <c r="F141" s="176"/>
      <c r="G141" s="176"/>
      <c r="H141" s="178"/>
      <c r="I141" s="181"/>
      <c r="J141" s="282">
        <v>1500.0</v>
      </c>
      <c r="K141" s="186">
        <f t="shared" si="24"/>
        <v>0</v>
      </c>
      <c r="L141" s="176"/>
      <c r="M141" s="176"/>
      <c r="N141" s="287">
        <v>1800.0</v>
      </c>
      <c r="O141" s="287">
        <v>-700.0</v>
      </c>
      <c r="P141" s="287"/>
      <c r="Q141" s="71">
        <f>Q139+N141+O141+P141</f>
        <v>11294.92</v>
      </c>
      <c r="R141" s="287"/>
      <c r="U141" s="117"/>
      <c r="V141" s="119"/>
      <c r="W141" s="122"/>
    </row>
    <row r="142" ht="14.25" customHeight="1">
      <c r="B142" s="171"/>
      <c r="C142" s="173"/>
      <c r="D142" s="173"/>
      <c r="E142" s="176"/>
      <c r="F142" s="176"/>
      <c r="G142" s="176"/>
      <c r="H142" s="178"/>
      <c r="I142" s="181"/>
      <c r="J142" s="176"/>
      <c r="K142" s="186">
        <f t="shared" si="24"/>
        <v>0</v>
      </c>
      <c r="L142" s="176"/>
      <c r="M142" s="176"/>
      <c r="N142" s="190"/>
      <c r="O142" s="190"/>
      <c r="P142" s="287">
        <v>-5247.14</v>
      </c>
      <c r="Q142" s="71">
        <f t="shared" ref="Q142:Q145" si="26">Q141+N142+O142+P142</f>
        <v>6047.78</v>
      </c>
      <c r="R142" s="287" t="s">
        <v>59</v>
      </c>
      <c r="U142" s="117"/>
      <c r="V142" s="119"/>
      <c r="W142" s="122"/>
    </row>
    <row r="143" ht="14.25" customHeight="1">
      <c r="B143" s="171"/>
      <c r="C143" s="173"/>
      <c r="D143" s="173"/>
      <c r="E143" s="176"/>
      <c r="F143" s="176"/>
      <c r="G143" s="176"/>
      <c r="H143" s="178"/>
      <c r="I143" s="181"/>
      <c r="J143" s="176"/>
      <c r="K143" s="186"/>
      <c r="L143" s="176"/>
      <c r="M143" s="176"/>
      <c r="N143" s="190"/>
      <c r="O143" s="190"/>
      <c r="P143" s="287">
        <v>-500.0</v>
      </c>
      <c r="Q143" s="71">
        <f t="shared" si="26"/>
        <v>5547.78</v>
      </c>
      <c r="R143" s="287" t="s">
        <v>76</v>
      </c>
      <c r="U143" s="117"/>
      <c r="V143" s="119"/>
      <c r="W143" s="122"/>
    </row>
    <row r="144" ht="14.25" customHeight="1">
      <c r="B144" s="171"/>
      <c r="C144" s="173"/>
      <c r="D144" s="173"/>
      <c r="E144" s="176"/>
      <c r="F144" s="176"/>
      <c r="G144" s="176"/>
      <c r="H144" s="178"/>
      <c r="I144" s="181"/>
      <c r="J144" s="176"/>
      <c r="K144" s="186">
        <f>E144-J144-L144-M144-N144-I144+F144</f>
        <v>0</v>
      </c>
      <c r="L144" s="176"/>
      <c r="M144" s="176"/>
      <c r="N144" s="190"/>
      <c r="O144" s="190"/>
      <c r="P144" s="287">
        <v>-700.0</v>
      </c>
      <c r="Q144" s="71">
        <f t="shared" si="26"/>
        <v>4847.78</v>
      </c>
      <c r="R144" s="287" t="s">
        <v>152</v>
      </c>
      <c r="U144" s="117"/>
      <c r="V144" s="119"/>
      <c r="W144" s="122"/>
    </row>
    <row r="145" ht="14.25" customHeight="1">
      <c r="B145" s="171"/>
      <c r="C145" s="173"/>
      <c r="D145" s="173"/>
      <c r="E145" s="176"/>
      <c r="F145" s="176"/>
      <c r="G145" s="176"/>
      <c r="H145" s="178"/>
      <c r="I145" s="181"/>
      <c r="J145" s="176"/>
      <c r="K145" s="344"/>
      <c r="L145" s="176"/>
      <c r="M145" s="176"/>
      <c r="N145" s="214"/>
      <c r="O145" s="214"/>
      <c r="P145" s="346">
        <v>-4847.78</v>
      </c>
      <c r="Q145" s="71">
        <f t="shared" si="26"/>
        <v>0</v>
      </c>
      <c r="R145" s="346" t="s">
        <v>63</v>
      </c>
      <c r="U145" s="117"/>
      <c r="V145" s="119"/>
      <c r="W145" s="122"/>
    </row>
    <row r="146" ht="14.25" customHeight="1">
      <c r="B146" s="297" t="s">
        <v>127</v>
      </c>
      <c r="C146" s="246" t="s">
        <v>80</v>
      </c>
      <c r="D146" s="246">
        <f t="shared" ref="D146:E146" si="27">sum(D120:D144)</f>
        <v>21</v>
      </c>
      <c r="E146" s="247">
        <f t="shared" si="27"/>
        <v>50050</v>
      </c>
      <c r="F146" s="247"/>
      <c r="G146" s="247">
        <f t="shared" ref="G146:O146" si="28">sum(G120:G144)</f>
        <v>0</v>
      </c>
      <c r="H146" s="247">
        <f t="shared" si="28"/>
        <v>0</v>
      </c>
      <c r="I146" s="249">
        <f t="shared" si="28"/>
        <v>0</v>
      </c>
      <c r="J146" s="247">
        <f t="shared" si="28"/>
        <v>18301</v>
      </c>
      <c r="K146" s="247">
        <f t="shared" si="28"/>
        <v>-1</v>
      </c>
      <c r="L146" s="247">
        <f t="shared" si="28"/>
        <v>0</v>
      </c>
      <c r="M146" s="247">
        <f t="shared" si="28"/>
        <v>8750</v>
      </c>
      <c r="N146" s="247">
        <f t="shared" si="28"/>
        <v>23950</v>
      </c>
      <c r="O146" s="247">
        <f t="shared" si="28"/>
        <v>-11200</v>
      </c>
      <c r="P146" s="247">
        <f>sum(P120:P145)</f>
        <v>-11294.92</v>
      </c>
      <c r="Q146" s="247">
        <f>Q145</f>
        <v>0</v>
      </c>
      <c r="R146" s="250"/>
      <c r="U146" s="117"/>
      <c r="V146" s="119"/>
      <c r="W146" s="122"/>
    </row>
    <row r="147" ht="14.25" customHeight="1">
      <c r="B147" s="300" t="s">
        <v>154</v>
      </c>
      <c r="C147" s="301">
        <v>45659.0</v>
      </c>
      <c r="D147" s="284">
        <v>1.0</v>
      </c>
      <c r="E147" s="282"/>
      <c r="F147" s="176"/>
      <c r="G147" s="176"/>
      <c r="H147" s="303"/>
      <c r="I147" s="181"/>
      <c r="J147" s="282"/>
      <c r="K147" s="186">
        <f t="shared" ref="K147:K164" si="29">E147-J147-L147-M147-N147-I147+F147</f>
        <v>0</v>
      </c>
      <c r="L147" s="282"/>
      <c r="M147" s="320"/>
      <c r="N147" s="287"/>
      <c r="O147" s="287"/>
      <c r="P147" s="190"/>
      <c r="Q147" s="71">
        <f t="shared" ref="Q147:Q164" si="30">Q146+N147+O147+P147</f>
        <v>0</v>
      </c>
      <c r="R147" s="287" t="s">
        <v>155</v>
      </c>
      <c r="W147" s="122"/>
    </row>
    <row r="148" ht="14.25" hidden="1" customHeight="1">
      <c r="B148" s="316"/>
      <c r="C148" s="304">
        <v>45694.0</v>
      </c>
      <c r="D148" s="308"/>
      <c r="E148" s="309"/>
      <c r="F148" s="194"/>
      <c r="G148" s="194"/>
      <c r="H148" s="352"/>
      <c r="I148" s="198"/>
      <c r="J148" s="309"/>
      <c r="K148" s="199">
        <f t="shared" si="29"/>
        <v>0</v>
      </c>
      <c r="L148" s="309"/>
      <c r="M148" s="353"/>
      <c r="N148" s="310"/>
      <c r="O148" s="310"/>
      <c r="P148" s="200"/>
      <c r="Q148" s="88">
        <f t="shared" si="30"/>
        <v>0</v>
      </c>
      <c r="R148" s="310"/>
      <c r="W148" s="122"/>
    </row>
    <row r="149" ht="14.25" customHeight="1">
      <c r="B149" s="300"/>
      <c r="C149" s="301">
        <v>45815.0</v>
      </c>
      <c r="D149" s="284">
        <v>1.0</v>
      </c>
      <c r="E149" s="282">
        <v>2500.0</v>
      </c>
      <c r="F149" s="176"/>
      <c r="G149" s="176"/>
      <c r="H149" s="303"/>
      <c r="I149" s="181"/>
      <c r="J149" s="282">
        <v>1000.0</v>
      </c>
      <c r="K149" s="186">
        <f t="shared" si="29"/>
        <v>0</v>
      </c>
      <c r="L149" s="282"/>
      <c r="M149" s="337"/>
      <c r="N149" s="287">
        <v>1500.0</v>
      </c>
      <c r="O149" s="287">
        <v>-700.0</v>
      </c>
      <c r="P149" s="190"/>
      <c r="Q149" s="71">
        <f t="shared" si="30"/>
        <v>800</v>
      </c>
      <c r="R149" s="287"/>
      <c r="W149" s="122"/>
    </row>
    <row r="150" ht="14.25" customHeight="1">
      <c r="B150" s="300"/>
      <c r="C150" s="301">
        <v>45846.0</v>
      </c>
      <c r="D150" s="284">
        <v>1.0</v>
      </c>
      <c r="E150" s="282">
        <v>2800.0</v>
      </c>
      <c r="F150" s="176"/>
      <c r="G150" s="176"/>
      <c r="H150" s="303"/>
      <c r="I150" s="181"/>
      <c r="J150" s="282">
        <v>1000.0</v>
      </c>
      <c r="K150" s="186">
        <f t="shared" si="29"/>
        <v>0</v>
      </c>
      <c r="L150" s="282"/>
      <c r="M150" s="337">
        <v>1800.0</v>
      </c>
      <c r="N150" s="287"/>
      <c r="O150" s="287">
        <v>-700.0</v>
      </c>
      <c r="P150" s="190"/>
      <c r="Q150" s="71">
        <f t="shared" si="30"/>
        <v>100</v>
      </c>
      <c r="R150" s="287" t="s">
        <v>157</v>
      </c>
      <c r="W150" s="122"/>
    </row>
    <row r="151" ht="14.25" hidden="1" customHeight="1">
      <c r="B151" s="316"/>
      <c r="C151" s="304">
        <v>45878.0</v>
      </c>
      <c r="D151" s="308"/>
      <c r="E151" s="309">
        <v>1000.0</v>
      </c>
      <c r="F151" s="194"/>
      <c r="G151" s="194"/>
      <c r="H151" s="352"/>
      <c r="I151" s="198"/>
      <c r="J151" s="309">
        <v>1000.0</v>
      </c>
      <c r="K151" s="199">
        <f t="shared" si="29"/>
        <v>0</v>
      </c>
      <c r="L151" s="309"/>
      <c r="M151" s="353"/>
      <c r="N151" s="310"/>
      <c r="O151" s="310"/>
      <c r="P151" s="200"/>
      <c r="Q151" s="88">
        <f t="shared" si="30"/>
        <v>100</v>
      </c>
      <c r="R151" s="310" t="s">
        <v>98</v>
      </c>
      <c r="W151" s="122"/>
    </row>
    <row r="152" ht="14.25" hidden="1" customHeight="1">
      <c r="B152" s="316"/>
      <c r="C152" s="304">
        <v>45911.0</v>
      </c>
      <c r="D152" s="308"/>
      <c r="E152" s="309"/>
      <c r="F152" s="194"/>
      <c r="G152" s="194"/>
      <c r="H152" s="352"/>
      <c r="I152" s="198"/>
      <c r="J152" s="309"/>
      <c r="K152" s="199">
        <f t="shared" si="29"/>
        <v>0</v>
      </c>
      <c r="L152" s="309"/>
      <c r="M152" s="353"/>
      <c r="N152" s="310"/>
      <c r="O152" s="310"/>
      <c r="P152" s="200"/>
      <c r="Q152" s="88">
        <f t="shared" si="30"/>
        <v>100</v>
      </c>
      <c r="R152" s="310"/>
      <c r="W152" s="122"/>
    </row>
    <row r="153" ht="14.25" customHeight="1">
      <c r="B153" s="300"/>
      <c r="C153" s="301">
        <v>45973.0</v>
      </c>
      <c r="D153" s="284">
        <v>1.0</v>
      </c>
      <c r="E153" s="282">
        <v>2000.0</v>
      </c>
      <c r="F153" s="282">
        <v>450.0</v>
      </c>
      <c r="G153" s="176"/>
      <c r="H153" s="303"/>
      <c r="I153" s="181"/>
      <c r="J153" s="282">
        <v>1225.0</v>
      </c>
      <c r="K153" s="186">
        <f t="shared" si="29"/>
        <v>0</v>
      </c>
      <c r="L153" s="282"/>
      <c r="M153" s="337">
        <v>1225.0</v>
      </c>
      <c r="N153" s="287"/>
      <c r="O153" s="287">
        <v>-700.0</v>
      </c>
      <c r="P153" s="190"/>
      <c r="Q153" s="71">
        <f t="shared" si="30"/>
        <v>-600</v>
      </c>
      <c r="R153" s="287" t="s">
        <v>157</v>
      </c>
      <c r="W153" s="122"/>
    </row>
    <row r="154" ht="14.25" customHeight="1">
      <c r="B154" s="300"/>
      <c r="C154" s="301">
        <v>46005.0</v>
      </c>
      <c r="D154" s="284">
        <v>2.0</v>
      </c>
      <c r="E154" s="282">
        <v>4365.0</v>
      </c>
      <c r="F154" s="176"/>
      <c r="G154" s="176"/>
      <c r="H154" s="303" t="s">
        <v>42</v>
      </c>
      <c r="I154" s="181"/>
      <c r="J154" s="282"/>
      <c r="K154" s="186">
        <f t="shared" si="29"/>
        <v>0</v>
      </c>
      <c r="L154" s="282">
        <v>4365.0</v>
      </c>
      <c r="M154" s="337"/>
      <c r="N154" s="287"/>
      <c r="O154" s="287">
        <v>-700.0</v>
      </c>
      <c r="P154" s="190"/>
      <c r="Q154" s="71">
        <f t="shared" si="30"/>
        <v>-1300</v>
      </c>
      <c r="R154" s="287"/>
      <c r="W154" s="122"/>
    </row>
    <row r="155" ht="14.25" customHeight="1">
      <c r="B155" s="300"/>
      <c r="C155" s="284" t="s">
        <v>29</v>
      </c>
      <c r="D155" s="284"/>
      <c r="E155" s="282"/>
      <c r="F155" s="176"/>
      <c r="G155" s="176"/>
      <c r="H155" s="303"/>
      <c r="I155" s="181"/>
      <c r="J155" s="282"/>
      <c r="K155" s="186">
        <f t="shared" si="29"/>
        <v>0</v>
      </c>
      <c r="L155" s="282"/>
      <c r="M155" s="337"/>
      <c r="N155" s="287"/>
      <c r="O155" s="287">
        <v>-700.0</v>
      </c>
      <c r="P155" s="190"/>
      <c r="Q155" s="71">
        <f t="shared" si="30"/>
        <v>-2000</v>
      </c>
      <c r="R155" s="287" t="s">
        <v>161</v>
      </c>
      <c r="W155" s="122"/>
    </row>
    <row r="156" ht="14.25" hidden="1" customHeight="1">
      <c r="B156" s="316"/>
      <c r="C156" s="308" t="s">
        <v>162</v>
      </c>
      <c r="D156" s="308"/>
      <c r="E156" s="309"/>
      <c r="F156" s="194"/>
      <c r="G156" s="194"/>
      <c r="H156" s="352"/>
      <c r="I156" s="198"/>
      <c r="J156" s="309"/>
      <c r="K156" s="199">
        <f t="shared" si="29"/>
        <v>0</v>
      </c>
      <c r="L156" s="309"/>
      <c r="M156" s="353"/>
      <c r="N156" s="310"/>
      <c r="O156" s="310"/>
      <c r="P156" s="200"/>
      <c r="Q156" s="88">
        <f t="shared" si="30"/>
        <v>-2000</v>
      </c>
      <c r="R156" s="310"/>
      <c r="W156" s="122"/>
    </row>
    <row r="157" ht="14.25" customHeight="1">
      <c r="B157" s="300"/>
      <c r="C157" s="284" t="s">
        <v>68</v>
      </c>
      <c r="D157" s="284">
        <v>1.0</v>
      </c>
      <c r="E157" s="282">
        <v>2800.0</v>
      </c>
      <c r="F157" s="176"/>
      <c r="G157" s="176"/>
      <c r="H157" s="303"/>
      <c r="I157" s="181"/>
      <c r="J157" s="282">
        <v>1000.0</v>
      </c>
      <c r="K157" s="186">
        <f t="shared" si="29"/>
        <v>0</v>
      </c>
      <c r="L157" s="282"/>
      <c r="M157" s="337">
        <v>1800.0</v>
      </c>
      <c r="N157" s="287"/>
      <c r="O157" s="287">
        <v>-700.0</v>
      </c>
      <c r="P157" s="190"/>
      <c r="Q157" s="71">
        <f t="shared" si="30"/>
        <v>-2700</v>
      </c>
      <c r="R157" s="287"/>
      <c r="W157" s="122"/>
    </row>
    <row r="158" ht="14.25" hidden="1" customHeight="1">
      <c r="B158" s="316"/>
      <c r="C158" s="308" t="s">
        <v>164</v>
      </c>
      <c r="D158" s="308"/>
      <c r="E158" s="309"/>
      <c r="F158" s="194"/>
      <c r="G158" s="194"/>
      <c r="H158" s="352"/>
      <c r="I158" s="198"/>
      <c r="J158" s="309"/>
      <c r="K158" s="199">
        <f t="shared" si="29"/>
        <v>0</v>
      </c>
      <c r="L158" s="309"/>
      <c r="M158" s="353"/>
      <c r="N158" s="310"/>
      <c r="O158" s="310"/>
      <c r="P158" s="200"/>
      <c r="Q158" s="88">
        <f t="shared" si="30"/>
        <v>-2700</v>
      </c>
      <c r="R158" s="310"/>
      <c r="W158" s="122"/>
    </row>
    <row r="159" ht="14.25" customHeight="1">
      <c r="B159" s="300"/>
      <c r="C159" s="284" t="s">
        <v>99</v>
      </c>
      <c r="D159" s="284">
        <v>2.0</v>
      </c>
      <c r="E159" s="282">
        <v>3276.1</v>
      </c>
      <c r="F159" s="176"/>
      <c r="G159" s="176"/>
      <c r="H159" s="303" t="s">
        <v>42</v>
      </c>
      <c r="I159" s="181"/>
      <c r="J159" s="282"/>
      <c r="K159" s="186">
        <f t="shared" si="29"/>
        <v>0</v>
      </c>
      <c r="L159" s="282">
        <v>3276.1</v>
      </c>
      <c r="M159" s="337"/>
      <c r="N159" s="287"/>
      <c r="O159" s="287">
        <v>-700.0</v>
      </c>
      <c r="P159" s="190"/>
      <c r="Q159" s="71">
        <f t="shared" si="30"/>
        <v>-3400</v>
      </c>
      <c r="R159" s="287"/>
      <c r="W159" s="122"/>
    </row>
    <row r="160" ht="14.25" customHeight="1">
      <c r="B160" s="300"/>
      <c r="C160" s="284" t="s">
        <v>72</v>
      </c>
      <c r="D160" s="284">
        <v>1.0</v>
      </c>
      <c r="E160" s="282">
        <v>3800.0</v>
      </c>
      <c r="F160" s="176"/>
      <c r="G160" s="176"/>
      <c r="H160" s="303"/>
      <c r="I160" s="181"/>
      <c r="J160" s="282">
        <v>1000.0</v>
      </c>
      <c r="K160" s="186">
        <f t="shared" si="29"/>
        <v>0</v>
      </c>
      <c r="L160" s="282"/>
      <c r="M160" s="337"/>
      <c r="N160" s="287">
        <v>2800.0</v>
      </c>
      <c r="O160" s="287">
        <v>-700.0</v>
      </c>
      <c r="P160" s="287"/>
      <c r="Q160" s="71">
        <f t="shared" si="30"/>
        <v>-1300</v>
      </c>
      <c r="R160" s="287" t="s">
        <v>85</v>
      </c>
      <c r="W160" s="122"/>
    </row>
    <row r="161" ht="14.25" customHeight="1">
      <c r="B161" s="300"/>
      <c r="C161" s="284" t="s">
        <v>73</v>
      </c>
      <c r="D161" s="284">
        <v>1.0</v>
      </c>
      <c r="E161" s="282">
        <f>2800+300</f>
        <v>3100</v>
      </c>
      <c r="F161" s="176"/>
      <c r="G161" s="176"/>
      <c r="H161" s="303"/>
      <c r="I161" s="181"/>
      <c r="J161" s="282">
        <v>1000.0</v>
      </c>
      <c r="K161" s="186">
        <f t="shared" si="29"/>
        <v>0</v>
      </c>
      <c r="L161" s="282"/>
      <c r="M161" s="337"/>
      <c r="N161" s="287">
        <v>2100.0</v>
      </c>
      <c r="O161" s="287">
        <v>-700.0</v>
      </c>
      <c r="P161" s="190"/>
      <c r="Q161" s="71">
        <f t="shared" si="30"/>
        <v>100</v>
      </c>
      <c r="R161" s="287"/>
      <c r="W161" s="122"/>
    </row>
    <row r="162" ht="14.25" hidden="1" customHeight="1">
      <c r="B162" s="316"/>
      <c r="C162" s="308" t="s">
        <v>49</v>
      </c>
      <c r="D162" s="308"/>
      <c r="E162" s="309"/>
      <c r="F162" s="194"/>
      <c r="G162" s="194"/>
      <c r="H162" s="352"/>
      <c r="I162" s="198"/>
      <c r="J162" s="309"/>
      <c r="K162" s="199">
        <f t="shared" si="29"/>
        <v>0</v>
      </c>
      <c r="L162" s="309"/>
      <c r="M162" s="353"/>
      <c r="N162" s="310"/>
      <c r="O162" s="310"/>
      <c r="P162" s="200"/>
      <c r="Q162" s="88">
        <f t="shared" si="30"/>
        <v>100</v>
      </c>
      <c r="R162" s="310"/>
      <c r="W162" s="122"/>
    </row>
    <row r="163" ht="14.25" customHeight="1">
      <c r="B163" s="300"/>
      <c r="C163" s="301"/>
      <c r="D163" s="284"/>
      <c r="E163" s="282"/>
      <c r="F163" s="176"/>
      <c r="G163" s="176"/>
      <c r="H163" s="303"/>
      <c r="I163" s="181"/>
      <c r="J163" s="282"/>
      <c r="K163" s="186">
        <f t="shared" si="29"/>
        <v>0</v>
      </c>
      <c r="L163" s="282"/>
      <c r="M163" s="337"/>
      <c r="N163" s="287"/>
      <c r="O163" s="287"/>
      <c r="P163" s="287">
        <v>-5397.29</v>
      </c>
      <c r="Q163" s="71">
        <f t="shared" si="30"/>
        <v>-5297.29</v>
      </c>
      <c r="R163" s="287" t="s">
        <v>79</v>
      </c>
      <c r="W163" s="122"/>
    </row>
    <row r="164" ht="14.25" customHeight="1">
      <c r="B164" s="300"/>
      <c r="C164" s="301"/>
      <c r="D164" s="284"/>
      <c r="E164" s="282"/>
      <c r="F164" s="176"/>
      <c r="G164" s="176"/>
      <c r="H164" s="303"/>
      <c r="I164" s="181"/>
      <c r="J164" s="282"/>
      <c r="K164" s="186">
        <f t="shared" si="29"/>
        <v>0</v>
      </c>
      <c r="L164" s="282"/>
      <c r="M164" s="337"/>
      <c r="N164" s="287"/>
      <c r="O164" s="287"/>
      <c r="P164" s="190"/>
      <c r="Q164" s="71">
        <f t="shared" si="30"/>
        <v>-5297.29</v>
      </c>
      <c r="R164" s="287"/>
      <c r="W164" s="122"/>
    </row>
    <row r="165" ht="14.25" customHeight="1">
      <c r="B165" s="297" t="s">
        <v>154</v>
      </c>
      <c r="C165" s="246" t="s">
        <v>80</v>
      </c>
      <c r="D165" s="247">
        <f t="shared" ref="D165:P165" si="31">sum(D147:D164)</f>
        <v>11</v>
      </c>
      <c r="E165" s="247">
        <f t="shared" si="31"/>
        <v>25641.1</v>
      </c>
      <c r="F165" s="247">
        <f t="shared" si="31"/>
        <v>450</v>
      </c>
      <c r="G165" s="247">
        <f t="shared" si="31"/>
        <v>0</v>
      </c>
      <c r="H165" s="247">
        <f t="shared" si="31"/>
        <v>0</v>
      </c>
      <c r="I165" s="247">
        <f t="shared" si="31"/>
        <v>0</v>
      </c>
      <c r="J165" s="247">
        <f t="shared" si="31"/>
        <v>7225</v>
      </c>
      <c r="K165" s="247">
        <f t="shared" si="31"/>
        <v>0</v>
      </c>
      <c r="L165" s="247">
        <f t="shared" si="31"/>
        <v>7641.1</v>
      </c>
      <c r="M165" s="247">
        <f t="shared" si="31"/>
        <v>4825</v>
      </c>
      <c r="N165" s="247">
        <f t="shared" si="31"/>
        <v>6400</v>
      </c>
      <c r="O165" s="247">
        <f t="shared" si="31"/>
        <v>-6300</v>
      </c>
      <c r="P165" s="247">
        <f t="shared" si="31"/>
        <v>-5397.29</v>
      </c>
      <c r="Q165" s="365">
        <f>Q164</f>
        <v>-5297.29</v>
      </c>
      <c r="R165" s="250"/>
      <c r="U165" s="117"/>
      <c r="V165" s="119"/>
      <c r="W165" s="122"/>
    </row>
    <row r="166" ht="14.25" customHeight="1">
      <c r="B166" s="300" t="s">
        <v>172</v>
      </c>
      <c r="C166" s="301">
        <v>45659.0</v>
      </c>
      <c r="D166" s="284">
        <v>1.0</v>
      </c>
      <c r="E166" s="282">
        <v>3300.0</v>
      </c>
      <c r="F166" s="176"/>
      <c r="G166" s="176"/>
      <c r="H166" s="303"/>
      <c r="I166" s="181"/>
      <c r="J166" s="282"/>
      <c r="K166" s="186">
        <f t="shared" ref="K166:K172" si="32">E166-J166-L166-M166-N166-I166+F166</f>
        <v>0</v>
      </c>
      <c r="L166" s="282"/>
      <c r="M166" s="337"/>
      <c r="N166" s="287">
        <v>3300.0</v>
      </c>
      <c r="O166" s="287">
        <v>-700.0</v>
      </c>
      <c r="P166" s="287">
        <v>-500.0</v>
      </c>
      <c r="Q166" s="71">
        <f t="shared" ref="Q166:Q180" si="33">Q165+N166+O166+P166</f>
        <v>-3197.29</v>
      </c>
      <c r="R166" s="287" t="s">
        <v>85</v>
      </c>
      <c r="W166" s="122"/>
    </row>
    <row r="167" ht="14.25" hidden="1" customHeight="1">
      <c r="B167" s="316"/>
      <c r="C167" s="304">
        <v>45692.0</v>
      </c>
      <c r="D167" s="308"/>
      <c r="E167" s="309"/>
      <c r="F167" s="194"/>
      <c r="G167" s="194"/>
      <c r="H167" s="352"/>
      <c r="I167" s="198"/>
      <c r="J167" s="309"/>
      <c r="K167" s="199">
        <f t="shared" si="32"/>
        <v>0</v>
      </c>
      <c r="L167" s="309"/>
      <c r="M167" s="353"/>
      <c r="N167" s="310"/>
      <c r="O167" s="310"/>
      <c r="P167" s="200"/>
      <c r="Q167" s="88">
        <f t="shared" si="33"/>
        <v>-3197.29</v>
      </c>
      <c r="R167" s="310"/>
      <c r="W167" s="122"/>
    </row>
    <row r="168" ht="14.25" customHeight="1">
      <c r="B168" s="300"/>
      <c r="C168" s="301">
        <v>45752.0</v>
      </c>
      <c r="D168" s="284">
        <v>1.0</v>
      </c>
      <c r="E168" s="282">
        <v>3050.0</v>
      </c>
      <c r="F168" s="176"/>
      <c r="G168" s="176"/>
      <c r="H168" s="303"/>
      <c r="I168" s="181"/>
      <c r="J168" s="282">
        <v>1000.0</v>
      </c>
      <c r="K168" s="186">
        <f t="shared" si="32"/>
        <v>0</v>
      </c>
      <c r="L168" s="282"/>
      <c r="M168" s="337"/>
      <c r="N168" s="287">
        <v>2050.0</v>
      </c>
      <c r="O168" s="287">
        <v>-700.0</v>
      </c>
      <c r="P168" s="287">
        <v>-500.0</v>
      </c>
      <c r="Q168" s="71">
        <f t="shared" si="33"/>
        <v>-2347.29</v>
      </c>
      <c r="R168" s="287" t="s">
        <v>85</v>
      </c>
      <c r="S168" s="174" t="s">
        <v>157</v>
      </c>
      <c r="W168" s="122"/>
    </row>
    <row r="169" ht="14.25" customHeight="1">
      <c r="B169" s="300"/>
      <c r="C169" s="301">
        <v>45784.0</v>
      </c>
      <c r="D169" s="284">
        <v>2.0</v>
      </c>
      <c r="E169" s="282">
        <v>4015.39</v>
      </c>
      <c r="F169" s="176"/>
      <c r="G169" s="176"/>
      <c r="H169" s="303"/>
      <c r="I169" s="181"/>
      <c r="J169" s="282"/>
      <c r="K169" s="186">
        <f t="shared" si="32"/>
        <v>0</v>
      </c>
      <c r="L169" s="282">
        <v>4015.39</v>
      </c>
      <c r="M169" s="337"/>
      <c r="N169" s="287"/>
      <c r="O169" s="287">
        <v>-700.0</v>
      </c>
      <c r="P169" s="190"/>
      <c r="Q169" s="71">
        <f t="shared" si="33"/>
        <v>-3047.29</v>
      </c>
      <c r="R169" s="287"/>
      <c r="W169" s="122"/>
    </row>
    <row r="170" ht="14.25" hidden="1" customHeight="1">
      <c r="B170" s="316"/>
      <c r="C170" s="304">
        <v>45846.0</v>
      </c>
      <c r="D170" s="308"/>
      <c r="E170" s="309"/>
      <c r="F170" s="194"/>
      <c r="G170" s="194"/>
      <c r="H170" s="352"/>
      <c r="I170" s="198"/>
      <c r="J170" s="309"/>
      <c r="K170" s="199">
        <f t="shared" si="32"/>
        <v>0</v>
      </c>
      <c r="L170" s="309"/>
      <c r="M170" s="353"/>
      <c r="N170" s="310"/>
      <c r="O170" s="310"/>
      <c r="P170" s="200"/>
      <c r="Q170" s="88">
        <f t="shared" si="33"/>
        <v>-3047.29</v>
      </c>
      <c r="R170" s="310"/>
      <c r="W170" s="122"/>
    </row>
    <row r="171" ht="14.25" customHeight="1">
      <c r="B171" s="300"/>
      <c r="C171" s="301">
        <v>45878.0</v>
      </c>
      <c r="D171" s="284">
        <v>1.0</v>
      </c>
      <c r="E171" s="282">
        <v>2000.0</v>
      </c>
      <c r="F171" s="176"/>
      <c r="G171" s="176"/>
      <c r="H171" s="303"/>
      <c r="I171" s="181"/>
      <c r="J171" s="282">
        <v>1000.0</v>
      </c>
      <c r="K171" s="186">
        <f t="shared" si="32"/>
        <v>0</v>
      </c>
      <c r="L171" s="282"/>
      <c r="M171" s="337">
        <v>1000.0</v>
      </c>
      <c r="N171" s="287"/>
      <c r="O171" s="287">
        <v>-700.0</v>
      </c>
      <c r="P171" s="190"/>
      <c r="Q171" s="71">
        <f t="shared" si="33"/>
        <v>-3747.29</v>
      </c>
      <c r="R171" s="287"/>
      <c r="W171" s="122"/>
    </row>
    <row r="172" ht="14.25" hidden="1" customHeight="1">
      <c r="B172" s="316"/>
      <c r="C172" s="304">
        <v>45912.0</v>
      </c>
      <c r="D172" s="308"/>
      <c r="E172" s="309"/>
      <c r="F172" s="194"/>
      <c r="G172" s="194"/>
      <c r="H172" s="352"/>
      <c r="I172" s="198"/>
      <c r="J172" s="309"/>
      <c r="K172" s="199">
        <f t="shared" si="32"/>
        <v>0</v>
      </c>
      <c r="L172" s="309"/>
      <c r="M172" s="353"/>
      <c r="N172" s="310"/>
      <c r="O172" s="310"/>
      <c r="P172" s="200"/>
      <c r="Q172" s="88">
        <f t="shared" si="33"/>
        <v>-3747.29</v>
      </c>
      <c r="R172" s="310"/>
      <c r="W172" s="122"/>
    </row>
    <row r="173" ht="14.25" customHeight="1">
      <c r="B173" s="300"/>
      <c r="C173" s="301">
        <v>46004.0</v>
      </c>
      <c r="D173" s="284">
        <v>1.0</v>
      </c>
      <c r="E173" s="282">
        <v>3800.0</v>
      </c>
      <c r="F173" s="176"/>
      <c r="G173" s="176"/>
      <c r="H173" s="303"/>
      <c r="I173" s="181"/>
      <c r="J173" s="282">
        <v>1000.0</v>
      </c>
      <c r="K173" s="186"/>
      <c r="L173" s="282"/>
      <c r="M173" s="337">
        <v>2800.0</v>
      </c>
      <c r="N173" s="287"/>
      <c r="O173" s="287">
        <v>-700.0</v>
      </c>
      <c r="P173" s="287">
        <v>-500.0</v>
      </c>
      <c r="Q173" s="71">
        <f t="shared" si="33"/>
        <v>-4947.29</v>
      </c>
      <c r="R173" s="287" t="s">
        <v>85</v>
      </c>
      <c r="W173" s="122"/>
    </row>
    <row r="174" ht="14.25" hidden="1" customHeight="1">
      <c r="B174" s="316"/>
      <c r="C174" s="308" t="s">
        <v>180</v>
      </c>
      <c r="D174" s="308"/>
      <c r="E174" s="309"/>
      <c r="F174" s="194"/>
      <c r="G174" s="194"/>
      <c r="H174" s="352"/>
      <c r="I174" s="198"/>
      <c r="J174" s="309"/>
      <c r="K174" s="199"/>
      <c r="L174" s="309"/>
      <c r="M174" s="353"/>
      <c r="N174" s="310"/>
      <c r="O174" s="310"/>
      <c r="P174" s="200"/>
      <c r="Q174" s="88">
        <f t="shared" si="33"/>
        <v>-4947.29</v>
      </c>
      <c r="R174" s="310"/>
      <c r="W174" s="122"/>
    </row>
    <row r="175" ht="14.25" customHeight="1">
      <c r="B175" s="300"/>
      <c r="C175" s="284" t="s">
        <v>33</v>
      </c>
      <c r="D175" s="284">
        <v>1.0</v>
      </c>
      <c r="E175" s="282">
        <f>200+2500</f>
        <v>2700</v>
      </c>
      <c r="F175" s="176"/>
      <c r="G175" s="176"/>
      <c r="H175" s="303"/>
      <c r="I175" s="181"/>
      <c r="J175" s="282">
        <v>1000.0</v>
      </c>
      <c r="K175" s="186">
        <f t="shared" ref="K175:K180" si="34">E175-J175-L175-M175-N175-I175+F175</f>
        <v>0</v>
      </c>
      <c r="L175" s="282"/>
      <c r="M175" s="337"/>
      <c r="N175" s="287">
        <f>200+1500</f>
        <v>1700</v>
      </c>
      <c r="O175" s="287">
        <v>-700.0</v>
      </c>
      <c r="P175" s="190"/>
      <c r="Q175" s="71">
        <f t="shared" si="33"/>
        <v>-3947.29</v>
      </c>
      <c r="R175" s="287"/>
      <c r="W175" s="122"/>
    </row>
    <row r="176" ht="14.25" customHeight="1">
      <c r="B176" s="300"/>
      <c r="C176" s="284" t="s">
        <v>34</v>
      </c>
      <c r="D176" s="284">
        <v>1.0</v>
      </c>
      <c r="E176" s="282">
        <v>2800.0</v>
      </c>
      <c r="F176" s="176"/>
      <c r="G176" s="176"/>
      <c r="H176" s="303"/>
      <c r="I176" s="181"/>
      <c r="J176" s="282">
        <v>1000.0</v>
      </c>
      <c r="K176" s="186">
        <f t="shared" si="34"/>
        <v>0</v>
      </c>
      <c r="L176" s="282"/>
      <c r="M176" s="337"/>
      <c r="N176" s="287">
        <v>1800.0</v>
      </c>
      <c r="O176" s="287">
        <v>-700.0</v>
      </c>
      <c r="P176" s="190"/>
      <c r="Q176" s="71">
        <f t="shared" si="33"/>
        <v>-2847.29</v>
      </c>
      <c r="R176" s="287"/>
      <c r="W176" s="122"/>
    </row>
    <row r="177" ht="14.25" hidden="1" customHeight="1">
      <c r="B177" s="316"/>
      <c r="C177" s="308" t="s">
        <v>181</v>
      </c>
      <c r="D177" s="308"/>
      <c r="E177" s="309"/>
      <c r="F177" s="194"/>
      <c r="G177" s="194"/>
      <c r="H177" s="352"/>
      <c r="I177" s="198"/>
      <c r="J177" s="309"/>
      <c r="K177" s="199">
        <f t="shared" si="34"/>
        <v>0</v>
      </c>
      <c r="L177" s="309"/>
      <c r="M177" s="353"/>
      <c r="N177" s="310"/>
      <c r="O177" s="310"/>
      <c r="P177" s="200"/>
      <c r="Q177" s="88">
        <f t="shared" si="33"/>
        <v>-2847.29</v>
      </c>
      <c r="R177" s="310"/>
      <c r="W177" s="122"/>
    </row>
    <row r="178" ht="14.25" customHeight="1">
      <c r="B178" s="300"/>
      <c r="C178" s="284" t="s">
        <v>47</v>
      </c>
      <c r="D178" s="284">
        <v>1.0</v>
      </c>
      <c r="E178" s="282">
        <v>2800.0</v>
      </c>
      <c r="F178" s="176"/>
      <c r="G178" s="176"/>
      <c r="H178" s="303"/>
      <c r="I178" s="181"/>
      <c r="J178" s="282">
        <v>1000.0</v>
      </c>
      <c r="K178" s="186">
        <f t="shared" si="34"/>
        <v>0</v>
      </c>
      <c r="L178" s="282"/>
      <c r="M178" s="337">
        <v>1800.0</v>
      </c>
      <c r="N178" s="287"/>
      <c r="O178" s="287">
        <v>-700.0</v>
      </c>
      <c r="P178" s="190"/>
      <c r="Q178" s="71">
        <f t="shared" si="33"/>
        <v>-3547.29</v>
      </c>
      <c r="R178" s="287"/>
      <c r="W178" s="122"/>
    </row>
    <row r="179" ht="14.25" hidden="1" customHeight="1">
      <c r="B179" s="316"/>
      <c r="C179" s="308" t="s">
        <v>72</v>
      </c>
      <c r="D179" s="308"/>
      <c r="E179" s="309"/>
      <c r="F179" s="194"/>
      <c r="G179" s="194"/>
      <c r="H179" s="352"/>
      <c r="I179" s="198"/>
      <c r="J179" s="309"/>
      <c r="K179" s="199">
        <f t="shared" si="34"/>
        <v>0</v>
      </c>
      <c r="L179" s="309"/>
      <c r="M179" s="353"/>
      <c r="N179" s="310"/>
      <c r="O179" s="310"/>
      <c r="P179" s="200"/>
      <c r="Q179" s="88">
        <f t="shared" si="33"/>
        <v>-3547.29</v>
      </c>
      <c r="R179" s="310"/>
      <c r="W179" s="122"/>
    </row>
    <row r="180" ht="14.25" customHeight="1">
      <c r="B180" s="300"/>
      <c r="C180" s="284"/>
      <c r="D180" s="284"/>
      <c r="E180" s="282"/>
      <c r="F180" s="176"/>
      <c r="G180" s="176"/>
      <c r="H180" s="303"/>
      <c r="I180" s="181"/>
      <c r="J180" s="282"/>
      <c r="K180" s="186">
        <f t="shared" si="34"/>
        <v>0</v>
      </c>
      <c r="L180" s="282"/>
      <c r="M180" s="337"/>
      <c r="N180" s="287"/>
      <c r="O180" s="287"/>
      <c r="P180" s="287">
        <v>-4945.31</v>
      </c>
      <c r="Q180" s="71">
        <f t="shared" si="33"/>
        <v>-8492.6</v>
      </c>
      <c r="R180" s="287" t="s">
        <v>59</v>
      </c>
      <c r="W180" s="122"/>
    </row>
    <row r="181" ht="14.25" customHeight="1">
      <c r="B181" s="297" t="s">
        <v>172</v>
      </c>
      <c r="C181" s="246" t="s">
        <v>80</v>
      </c>
      <c r="D181" s="246">
        <f t="shared" ref="D181:P181" si="35">sum(D166:D180)</f>
        <v>9</v>
      </c>
      <c r="E181" s="247">
        <f t="shared" si="35"/>
        <v>24465.39</v>
      </c>
      <c r="F181" s="247">
        <f t="shared" si="35"/>
        <v>0</v>
      </c>
      <c r="G181" s="247">
        <f t="shared" si="35"/>
        <v>0</v>
      </c>
      <c r="H181" s="247">
        <f t="shared" si="35"/>
        <v>0</v>
      </c>
      <c r="I181" s="247">
        <f t="shared" si="35"/>
        <v>0</v>
      </c>
      <c r="J181" s="247">
        <f t="shared" si="35"/>
        <v>6000</v>
      </c>
      <c r="K181" s="247">
        <f t="shared" si="35"/>
        <v>0</v>
      </c>
      <c r="L181" s="247">
        <f t="shared" si="35"/>
        <v>4015.39</v>
      </c>
      <c r="M181" s="247">
        <f t="shared" si="35"/>
        <v>5600</v>
      </c>
      <c r="N181" s="247">
        <f t="shared" si="35"/>
        <v>8850</v>
      </c>
      <c r="O181" s="247">
        <f t="shared" si="35"/>
        <v>-5600</v>
      </c>
      <c r="P181" s="247">
        <f t="shared" si="35"/>
        <v>-6445.31</v>
      </c>
      <c r="Q181" s="365">
        <f>Q180</f>
        <v>-8492.6</v>
      </c>
      <c r="R181" s="250"/>
      <c r="U181" s="117"/>
      <c r="V181" s="119"/>
      <c r="W181" s="122"/>
    </row>
    <row r="182" ht="14.25" customHeight="1">
      <c r="B182" s="316" t="s">
        <v>166</v>
      </c>
      <c r="C182" s="304">
        <v>45659.0</v>
      </c>
      <c r="D182" s="308"/>
      <c r="E182" s="309"/>
      <c r="F182" s="194"/>
      <c r="G182" s="194"/>
      <c r="H182" s="352"/>
      <c r="I182" s="198"/>
      <c r="J182" s="309"/>
      <c r="K182" s="199">
        <f t="shared" ref="K182:K203" si="36">E182-J182-L182-M182-N182-I182+F182</f>
        <v>0</v>
      </c>
      <c r="L182" s="309"/>
      <c r="M182" s="353"/>
      <c r="N182" s="310"/>
      <c r="O182" s="310"/>
      <c r="P182" s="310"/>
      <c r="Q182" s="88">
        <f t="shared" ref="Q182:Q204" si="37">Q181+N182+O182+P182</f>
        <v>-8492.6</v>
      </c>
      <c r="R182" s="310"/>
      <c r="W182" s="122"/>
    </row>
    <row r="183" ht="14.25" customHeight="1">
      <c r="B183" s="300"/>
      <c r="C183" s="301">
        <v>45691.0</v>
      </c>
      <c r="D183" s="284">
        <v>1.0</v>
      </c>
      <c r="E183" s="282">
        <v>2800.0</v>
      </c>
      <c r="F183" s="176"/>
      <c r="G183" s="176"/>
      <c r="H183" s="303"/>
      <c r="I183" s="181"/>
      <c r="J183" s="282">
        <v>1000.0</v>
      </c>
      <c r="K183" s="186">
        <f t="shared" si="36"/>
        <v>0</v>
      </c>
      <c r="L183" s="282"/>
      <c r="M183" s="337">
        <v>1800.0</v>
      </c>
      <c r="N183" s="287"/>
      <c r="O183" s="287">
        <v>-700.0</v>
      </c>
      <c r="P183" s="287"/>
      <c r="Q183" s="71">
        <f t="shared" si="37"/>
        <v>-9192.6</v>
      </c>
      <c r="R183" s="287"/>
      <c r="W183" s="122"/>
    </row>
    <row r="184" ht="14.25" hidden="1" customHeight="1">
      <c r="B184" s="316"/>
      <c r="C184" s="304">
        <v>45725.0</v>
      </c>
      <c r="D184" s="308"/>
      <c r="E184" s="309"/>
      <c r="F184" s="194"/>
      <c r="G184" s="194"/>
      <c r="H184" s="352"/>
      <c r="I184" s="198"/>
      <c r="J184" s="309"/>
      <c r="K184" s="199">
        <f t="shared" si="36"/>
        <v>0</v>
      </c>
      <c r="L184" s="309"/>
      <c r="M184" s="353"/>
      <c r="N184" s="310"/>
      <c r="O184" s="310"/>
      <c r="P184" s="310"/>
      <c r="Q184" s="88">
        <f t="shared" si="37"/>
        <v>-9192.6</v>
      </c>
      <c r="R184" s="310"/>
      <c r="W184" s="122"/>
    </row>
    <row r="185" ht="14.25" customHeight="1">
      <c r="B185" s="300"/>
      <c r="C185" s="301">
        <v>45911.0</v>
      </c>
      <c r="D185" s="284">
        <v>2.0</v>
      </c>
      <c r="E185" s="282">
        <v>4800.0</v>
      </c>
      <c r="F185" s="176"/>
      <c r="G185" s="176"/>
      <c r="H185" s="303"/>
      <c r="I185" s="181"/>
      <c r="J185" s="282">
        <v>1500.0</v>
      </c>
      <c r="K185" s="186">
        <f t="shared" si="36"/>
        <v>0</v>
      </c>
      <c r="L185" s="282"/>
      <c r="M185" s="337"/>
      <c r="N185" s="287">
        <v>3300.0</v>
      </c>
      <c r="O185" s="287">
        <v>-700.0</v>
      </c>
      <c r="P185" s="287"/>
      <c r="Q185" s="71">
        <f t="shared" si="37"/>
        <v>-6592.6</v>
      </c>
      <c r="R185" s="287"/>
      <c r="W185" s="122"/>
    </row>
    <row r="186" ht="14.25" hidden="1" customHeight="1">
      <c r="B186" s="316"/>
      <c r="C186" s="304">
        <v>45973.0</v>
      </c>
      <c r="D186" s="308"/>
      <c r="E186" s="309"/>
      <c r="F186" s="194"/>
      <c r="G186" s="194"/>
      <c r="H186" s="352"/>
      <c r="I186" s="198"/>
      <c r="J186" s="309"/>
      <c r="K186" s="199">
        <f t="shared" si="36"/>
        <v>0</v>
      </c>
      <c r="L186" s="309"/>
      <c r="M186" s="353"/>
      <c r="N186" s="310"/>
      <c r="O186" s="310"/>
      <c r="P186" s="310"/>
      <c r="Q186" s="88">
        <f t="shared" si="37"/>
        <v>-6592.6</v>
      </c>
      <c r="R186" s="310"/>
      <c r="W186" s="122"/>
    </row>
    <row r="187" ht="14.25" customHeight="1">
      <c r="B187" s="300"/>
      <c r="C187" s="301">
        <v>46004.0</v>
      </c>
      <c r="D187" s="284">
        <v>1.0</v>
      </c>
      <c r="E187" s="282">
        <v>2000.0</v>
      </c>
      <c r="F187" s="176"/>
      <c r="G187" s="176"/>
      <c r="H187" s="303"/>
      <c r="I187" s="181"/>
      <c r="J187" s="282">
        <v>1000.0</v>
      </c>
      <c r="K187" s="186">
        <f t="shared" si="36"/>
        <v>0</v>
      </c>
      <c r="L187" s="282"/>
      <c r="M187" s="337"/>
      <c r="N187" s="287">
        <v>1000.0</v>
      </c>
      <c r="O187" s="287">
        <v>-700.0</v>
      </c>
      <c r="P187" s="287"/>
      <c r="Q187" s="71">
        <f t="shared" si="37"/>
        <v>-6292.6</v>
      </c>
      <c r="R187" s="287"/>
      <c r="W187" s="122"/>
    </row>
    <row r="188" ht="14.25" hidden="1" customHeight="1">
      <c r="B188" s="316"/>
      <c r="C188" s="308" t="s">
        <v>46</v>
      </c>
      <c r="D188" s="308"/>
      <c r="E188" s="309"/>
      <c r="F188" s="194"/>
      <c r="G188" s="194"/>
      <c r="H188" s="352"/>
      <c r="I188" s="198"/>
      <c r="J188" s="309"/>
      <c r="K188" s="199">
        <f t="shared" si="36"/>
        <v>0</v>
      </c>
      <c r="L188" s="309"/>
      <c r="M188" s="353"/>
      <c r="N188" s="310"/>
      <c r="O188" s="310"/>
      <c r="P188" s="310"/>
      <c r="Q188" s="88">
        <f t="shared" si="37"/>
        <v>-6292.6</v>
      </c>
      <c r="R188" s="310"/>
      <c r="W188" s="122"/>
    </row>
    <row r="189" ht="14.25" customHeight="1">
      <c r="B189" s="300"/>
      <c r="C189" s="284" t="s">
        <v>29</v>
      </c>
      <c r="D189" s="284">
        <v>1.0</v>
      </c>
      <c r="E189" s="282">
        <v>2000.0</v>
      </c>
      <c r="F189" s="176"/>
      <c r="G189" s="176"/>
      <c r="H189" s="303"/>
      <c r="I189" s="181"/>
      <c r="J189" s="282">
        <v>1000.0</v>
      </c>
      <c r="K189" s="186">
        <f t="shared" si="36"/>
        <v>0</v>
      </c>
      <c r="L189" s="282"/>
      <c r="M189" s="337"/>
      <c r="N189" s="287">
        <v>1000.0</v>
      </c>
      <c r="O189" s="287">
        <v>-700.0</v>
      </c>
      <c r="P189" s="287"/>
      <c r="Q189" s="71">
        <f t="shared" si="37"/>
        <v>-5992.6</v>
      </c>
      <c r="R189" s="287"/>
      <c r="W189" s="122"/>
    </row>
    <row r="190" ht="14.25" hidden="1" customHeight="1">
      <c r="B190" s="316"/>
      <c r="C190" s="308" t="s">
        <v>30</v>
      </c>
      <c r="D190" s="308"/>
      <c r="E190" s="309"/>
      <c r="F190" s="194"/>
      <c r="G190" s="194"/>
      <c r="H190" s="352"/>
      <c r="I190" s="198"/>
      <c r="J190" s="309"/>
      <c r="K190" s="199">
        <f t="shared" si="36"/>
        <v>0</v>
      </c>
      <c r="L190" s="309"/>
      <c r="M190" s="353"/>
      <c r="N190" s="310"/>
      <c r="O190" s="310"/>
      <c r="P190" s="310"/>
      <c r="Q190" s="88">
        <f t="shared" si="37"/>
        <v>-5992.6</v>
      </c>
      <c r="R190" s="310"/>
      <c r="W190" s="122"/>
    </row>
    <row r="191" ht="14.25" customHeight="1">
      <c r="B191" s="300"/>
      <c r="C191" s="284" t="s">
        <v>31</v>
      </c>
      <c r="D191" s="284">
        <v>1.0</v>
      </c>
      <c r="E191" s="282">
        <v>2800.0</v>
      </c>
      <c r="F191" s="176"/>
      <c r="G191" s="176"/>
      <c r="H191" s="303"/>
      <c r="I191" s="181"/>
      <c r="J191" s="282">
        <v>1000.0</v>
      </c>
      <c r="K191" s="186">
        <f t="shared" si="36"/>
        <v>0</v>
      </c>
      <c r="L191" s="282"/>
      <c r="M191" s="337">
        <v>1800.0</v>
      </c>
      <c r="N191" s="287"/>
      <c r="O191" s="287">
        <v>-700.0</v>
      </c>
      <c r="P191" s="287"/>
      <c r="Q191" s="71">
        <f t="shared" si="37"/>
        <v>-6692.6</v>
      </c>
      <c r="R191" s="287"/>
      <c r="U191" s="174" t="s">
        <v>17</v>
      </c>
      <c r="V191" s="174">
        <v>15000.0</v>
      </c>
      <c r="W191" s="358">
        <v>15000.0</v>
      </c>
      <c r="X191" s="174" t="s">
        <v>190</v>
      </c>
    </row>
    <row r="192" ht="14.25" hidden="1" customHeight="1">
      <c r="B192" s="316"/>
      <c r="C192" s="308" t="s">
        <v>32</v>
      </c>
      <c r="D192" s="308"/>
      <c r="E192" s="309"/>
      <c r="F192" s="194"/>
      <c r="G192" s="194"/>
      <c r="H192" s="352"/>
      <c r="I192" s="198"/>
      <c r="J192" s="309"/>
      <c r="K192" s="199">
        <f t="shared" si="36"/>
        <v>0</v>
      </c>
      <c r="L192" s="309"/>
      <c r="M192" s="353"/>
      <c r="N192" s="310"/>
      <c r="O192" s="310"/>
      <c r="P192" s="310"/>
      <c r="Q192" s="88">
        <f t="shared" si="37"/>
        <v>-6692.6</v>
      </c>
      <c r="R192" s="310"/>
      <c r="U192" s="174" t="s">
        <v>191</v>
      </c>
      <c r="V192" s="206">
        <f>1250+16900+4000</f>
        <v>22150</v>
      </c>
      <c r="W192" s="358">
        <v>27368.0</v>
      </c>
      <c r="X192" s="174" t="s">
        <v>192</v>
      </c>
    </row>
    <row r="193" ht="14.25" customHeight="1">
      <c r="B193" s="300"/>
      <c r="C193" s="284" t="s">
        <v>120</v>
      </c>
      <c r="D193" s="284">
        <v>2.0</v>
      </c>
      <c r="E193" s="282">
        <v>3700.0</v>
      </c>
      <c r="F193" s="176"/>
      <c r="G193" s="176"/>
      <c r="H193" s="303"/>
      <c r="I193" s="181"/>
      <c r="J193" s="282">
        <v>1500.0</v>
      </c>
      <c r="K193" s="186">
        <f t="shared" si="36"/>
        <v>0</v>
      </c>
      <c r="L193" s="282"/>
      <c r="M193" s="337"/>
      <c r="N193" s="287">
        <v>2200.0</v>
      </c>
      <c r="O193" s="287">
        <v>-700.0</v>
      </c>
      <c r="P193" s="287"/>
      <c r="Q193" s="71">
        <f t="shared" si="37"/>
        <v>-5192.6</v>
      </c>
      <c r="R193" s="287"/>
      <c r="U193" s="174" t="s">
        <v>194</v>
      </c>
      <c r="W193" s="358">
        <v>4000.0</v>
      </c>
      <c r="X193" s="174" t="s">
        <v>195</v>
      </c>
    </row>
    <row r="194" ht="14.25" hidden="1" customHeight="1">
      <c r="B194" s="316"/>
      <c r="C194" s="308" t="s">
        <v>69</v>
      </c>
      <c r="D194" s="308"/>
      <c r="E194" s="309"/>
      <c r="F194" s="194"/>
      <c r="G194" s="194"/>
      <c r="H194" s="352"/>
      <c r="I194" s="198"/>
      <c r="J194" s="309"/>
      <c r="K194" s="199">
        <f t="shared" si="36"/>
        <v>0</v>
      </c>
      <c r="L194" s="309"/>
      <c r="M194" s="353"/>
      <c r="N194" s="310"/>
      <c r="O194" s="310"/>
      <c r="P194" s="310"/>
      <c r="Q194" s="88">
        <f t="shared" si="37"/>
        <v>-5192.6</v>
      </c>
      <c r="R194" s="310"/>
      <c r="W194" s="122"/>
      <c r="Y194" s="206">
        <f>27368-18000</f>
        <v>9368</v>
      </c>
    </row>
    <row r="195" ht="14.25" customHeight="1">
      <c r="B195" s="300"/>
      <c r="C195" s="284" t="s">
        <v>68</v>
      </c>
      <c r="D195" s="284">
        <v>1.0</v>
      </c>
      <c r="E195" s="282">
        <v>2300.0</v>
      </c>
      <c r="F195" s="176"/>
      <c r="G195" s="176"/>
      <c r="H195" s="303"/>
      <c r="I195" s="181"/>
      <c r="J195" s="282">
        <v>1000.0</v>
      </c>
      <c r="K195" s="186">
        <f t="shared" si="36"/>
        <v>0</v>
      </c>
      <c r="L195" s="282"/>
      <c r="M195" s="337"/>
      <c r="N195" s="287">
        <v>1300.0</v>
      </c>
      <c r="O195" s="287">
        <v>-700.0</v>
      </c>
      <c r="P195" s="287"/>
      <c r="Q195" s="71">
        <f t="shared" si="37"/>
        <v>-4592.6</v>
      </c>
      <c r="R195" s="287"/>
      <c r="W195" s="122"/>
    </row>
    <row r="196" ht="14.25" hidden="1" customHeight="1">
      <c r="B196" s="316"/>
      <c r="C196" s="308" t="s">
        <v>37</v>
      </c>
      <c r="D196" s="308"/>
      <c r="E196" s="309"/>
      <c r="F196" s="194"/>
      <c r="G196" s="194"/>
      <c r="H196" s="352"/>
      <c r="I196" s="198"/>
      <c r="J196" s="309"/>
      <c r="K196" s="199">
        <f t="shared" si="36"/>
        <v>0</v>
      </c>
      <c r="L196" s="309"/>
      <c r="M196" s="353"/>
      <c r="N196" s="310"/>
      <c r="O196" s="310"/>
      <c r="P196" s="310"/>
      <c r="Q196" s="88">
        <f t="shared" si="37"/>
        <v>-4592.6</v>
      </c>
      <c r="R196" s="310"/>
      <c r="W196" s="122"/>
    </row>
    <row r="197" ht="14.25" customHeight="1">
      <c r="B197" s="300"/>
      <c r="C197" s="284" t="s">
        <v>41</v>
      </c>
      <c r="D197" s="284">
        <v>1.0</v>
      </c>
      <c r="E197" s="282">
        <v>2800.0</v>
      </c>
      <c r="F197" s="176"/>
      <c r="G197" s="176"/>
      <c r="H197" s="303"/>
      <c r="I197" s="181"/>
      <c r="J197" s="282">
        <v>1000.0</v>
      </c>
      <c r="K197" s="186">
        <f t="shared" si="36"/>
        <v>0</v>
      </c>
      <c r="L197" s="282"/>
      <c r="M197" s="337"/>
      <c r="N197" s="287">
        <v>1800.0</v>
      </c>
      <c r="O197" s="287">
        <v>-700.0</v>
      </c>
      <c r="P197" s="287"/>
      <c r="Q197" s="71">
        <f t="shared" si="37"/>
        <v>-3492.6</v>
      </c>
      <c r="R197" s="287"/>
      <c r="W197" s="122"/>
    </row>
    <row r="198" ht="14.25" customHeight="1">
      <c r="B198" s="300"/>
      <c r="C198" s="284" t="s">
        <v>44</v>
      </c>
      <c r="D198" s="284">
        <v>1.0</v>
      </c>
      <c r="E198" s="282">
        <v>2800.0</v>
      </c>
      <c r="F198" s="176"/>
      <c r="G198" s="176"/>
      <c r="H198" s="303"/>
      <c r="I198" s="181"/>
      <c r="J198" s="282">
        <v>1000.0</v>
      </c>
      <c r="K198" s="186">
        <f t="shared" si="36"/>
        <v>0</v>
      </c>
      <c r="L198" s="282"/>
      <c r="M198" s="337">
        <v>1800.0</v>
      </c>
      <c r="N198" s="287"/>
      <c r="O198" s="287">
        <v>-700.0</v>
      </c>
      <c r="P198" s="287"/>
      <c r="Q198" s="71">
        <f t="shared" si="37"/>
        <v>-4192.6</v>
      </c>
      <c r="R198" s="287"/>
      <c r="U198" s="387"/>
      <c r="V198" s="387">
        <f t="shared" ref="V198:W198" si="38">SUM(V191:V193)</f>
        <v>37150</v>
      </c>
      <c r="W198" s="388">
        <f t="shared" si="38"/>
        <v>46368</v>
      </c>
      <c r="X198" s="387"/>
    </row>
    <row r="199" ht="14.25" customHeight="1">
      <c r="B199" s="300"/>
      <c r="C199" s="284" t="s">
        <v>45</v>
      </c>
      <c r="D199" s="284">
        <v>1.0</v>
      </c>
      <c r="E199" s="282">
        <v>2200.0</v>
      </c>
      <c r="F199" s="176"/>
      <c r="G199" s="176"/>
      <c r="H199" s="303"/>
      <c r="I199" s="181"/>
      <c r="J199" s="282">
        <v>1000.0</v>
      </c>
      <c r="K199" s="186">
        <f t="shared" si="36"/>
        <v>0</v>
      </c>
      <c r="L199" s="282"/>
      <c r="M199" s="337"/>
      <c r="N199" s="287">
        <v>1200.0</v>
      </c>
      <c r="O199" s="287">
        <v>-700.0</v>
      </c>
      <c r="P199" s="287"/>
      <c r="Q199" s="71">
        <f t="shared" si="37"/>
        <v>-3692.6</v>
      </c>
      <c r="R199" s="287"/>
      <c r="W199" s="358"/>
    </row>
    <row r="200" ht="14.25" customHeight="1">
      <c r="B200" s="316"/>
      <c r="C200" s="308" t="s">
        <v>199</v>
      </c>
      <c r="D200" s="308"/>
      <c r="E200" s="309"/>
      <c r="F200" s="194"/>
      <c r="G200" s="194"/>
      <c r="H200" s="352"/>
      <c r="I200" s="198"/>
      <c r="J200" s="309"/>
      <c r="K200" s="199">
        <f t="shared" si="36"/>
        <v>0</v>
      </c>
      <c r="L200" s="309"/>
      <c r="M200" s="353"/>
      <c r="N200" s="310"/>
      <c r="O200" s="310"/>
      <c r="P200" s="310"/>
      <c r="Q200" s="88">
        <f t="shared" si="37"/>
        <v>-3692.6</v>
      </c>
      <c r="R200" s="310"/>
      <c r="W200" s="358"/>
    </row>
    <row r="201" ht="14.25" customHeight="1">
      <c r="B201" s="300"/>
      <c r="C201" s="284" t="s">
        <v>49</v>
      </c>
      <c r="D201" s="284"/>
      <c r="E201" s="282">
        <v>1500.0</v>
      </c>
      <c r="F201" s="176"/>
      <c r="G201" s="176"/>
      <c r="H201" s="303"/>
      <c r="I201" s="181"/>
      <c r="J201" s="282">
        <v>1500.0</v>
      </c>
      <c r="K201" s="186">
        <f t="shared" si="36"/>
        <v>0</v>
      </c>
      <c r="L201" s="282"/>
      <c r="M201" s="337"/>
      <c r="N201" s="287"/>
      <c r="O201" s="287"/>
      <c r="P201" s="287"/>
      <c r="Q201" s="71">
        <f t="shared" si="37"/>
        <v>-3692.6</v>
      </c>
      <c r="R201" s="287" t="s">
        <v>81</v>
      </c>
      <c r="W201" s="358"/>
    </row>
    <row r="202" ht="14.25" customHeight="1">
      <c r="B202" s="300"/>
      <c r="C202" s="284" t="s">
        <v>50</v>
      </c>
      <c r="D202" s="284">
        <v>1.0</v>
      </c>
      <c r="E202" s="282">
        <v>3000.0</v>
      </c>
      <c r="F202" s="176"/>
      <c r="G202" s="176"/>
      <c r="H202" s="303"/>
      <c r="I202" s="181"/>
      <c r="J202" s="282"/>
      <c r="K202" s="186">
        <f t="shared" si="36"/>
        <v>0</v>
      </c>
      <c r="L202" s="282"/>
      <c r="M202" s="337">
        <v>3000.0</v>
      </c>
      <c r="N202" s="287"/>
      <c r="O202" s="287">
        <v>-700.0</v>
      </c>
      <c r="P202" s="287"/>
      <c r="Q202" s="71">
        <f t="shared" si="37"/>
        <v>-4392.6</v>
      </c>
      <c r="R202" s="287"/>
      <c r="W202" s="358">
        <f>W198-V198</f>
        <v>9218</v>
      </c>
    </row>
    <row r="203" ht="14.25" customHeight="1">
      <c r="B203" s="300"/>
      <c r="C203" s="284"/>
      <c r="D203" s="284"/>
      <c r="E203" s="282"/>
      <c r="F203" s="176"/>
      <c r="G203" s="176"/>
      <c r="H203" s="303"/>
      <c r="I203" s="181"/>
      <c r="J203" s="282"/>
      <c r="K203" s="186">
        <f t="shared" si="36"/>
        <v>0</v>
      </c>
      <c r="L203" s="282"/>
      <c r="M203" s="337"/>
      <c r="N203" s="287"/>
      <c r="O203" s="287"/>
      <c r="P203" s="287">
        <v>-4642.91</v>
      </c>
      <c r="Q203" s="71">
        <f t="shared" si="37"/>
        <v>-9035.51</v>
      </c>
      <c r="R203" s="287" t="s">
        <v>59</v>
      </c>
      <c r="W203" s="358"/>
    </row>
    <row r="204" ht="14.25" customHeight="1">
      <c r="B204" s="171"/>
      <c r="C204" s="173"/>
      <c r="D204" s="173"/>
      <c r="E204" s="176"/>
      <c r="F204" s="176"/>
      <c r="G204" s="176"/>
      <c r="H204" s="178"/>
      <c r="I204" s="181"/>
      <c r="J204" s="176"/>
      <c r="K204" s="186"/>
      <c r="L204" s="176"/>
      <c r="M204" s="176"/>
      <c r="N204" s="190"/>
      <c r="O204" s="190"/>
      <c r="P204" s="287">
        <v>-500.0</v>
      </c>
      <c r="Q204" s="71">
        <f t="shared" si="37"/>
        <v>-9535.51</v>
      </c>
      <c r="R204" s="287" t="s">
        <v>93</v>
      </c>
      <c r="U204" s="117"/>
      <c r="V204" s="119"/>
      <c r="W204" s="122"/>
    </row>
    <row r="205" ht="14.25" customHeight="1">
      <c r="B205" s="171"/>
      <c r="C205" s="173"/>
      <c r="D205" s="173"/>
      <c r="E205" s="176"/>
      <c r="F205" s="176"/>
      <c r="G205" s="176"/>
      <c r="H205" s="178"/>
      <c r="I205" s="181"/>
      <c r="J205" s="176"/>
      <c r="K205" s="186"/>
      <c r="L205" s="176"/>
      <c r="M205" s="176"/>
      <c r="N205" s="190"/>
      <c r="O205" s="190"/>
      <c r="P205" s="287">
        <v>-334.0</v>
      </c>
      <c r="Q205" s="71">
        <f t="shared" ref="Q205:Q206" si="39">Q203+N205+O205+P205</f>
        <v>-9369.51</v>
      </c>
      <c r="R205" s="287"/>
      <c r="U205" s="117"/>
      <c r="V205" s="119"/>
      <c r="W205" s="122"/>
    </row>
    <row r="206" ht="14.25" customHeight="1">
      <c r="B206" s="171"/>
      <c r="C206" s="173"/>
      <c r="D206" s="173"/>
      <c r="E206" s="176"/>
      <c r="F206" s="176"/>
      <c r="G206" s="176"/>
      <c r="H206" s="178"/>
      <c r="I206" s="181"/>
      <c r="J206" s="176"/>
      <c r="K206" s="186">
        <f>E206-J206-L206-M206-N206-I206+F206</f>
        <v>0</v>
      </c>
      <c r="L206" s="176"/>
      <c r="M206" s="176"/>
      <c r="N206" s="190"/>
      <c r="O206" s="190"/>
      <c r="P206" s="287">
        <v>9535.51</v>
      </c>
      <c r="Q206" s="71">
        <f t="shared" si="39"/>
        <v>0</v>
      </c>
      <c r="R206" s="287" t="s">
        <v>202</v>
      </c>
      <c r="U206" s="117"/>
      <c r="V206" s="119"/>
      <c r="W206" s="122"/>
    </row>
    <row r="207" ht="14.25" customHeight="1">
      <c r="B207" s="297" t="s">
        <v>166</v>
      </c>
      <c r="C207" s="246" t="s">
        <v>80</v>
      </c>
      <c r="D207" s="246">
        <f t="shared" ref="D207:P207" si="40">sum(D182:D206)</f>
        <v>13</v>
      </c>
      <c r="E207" s="247">
        <f t="shared" si="40"/>
        <v>32700</v>
      </c>
      <c r="F207" s="247">
        <f t="shared" si="40"/>
        <v>0</v>
      </c>
      <c r="G207" s="247">
        <f t="shared" si="40"/>
        <v>0</v>
      </c>
      <c r="H207" s="247">
        <f t="shared" si="40"/>
        <v>0</v>
      </c>
      <c r="I207" s="247">
        <f t="shared" si="40"/>
        <v>0</v>
      </c>
      <c r="J207" s="247">
        <f t="shared" si="40"/>
        <v>12500</v>
      </c>
      <c r="K207" s="247">
        <f t="shared" si="40"/>
        <v>0</v>
      </c>
      <c r="L207" s="247">
        <f t="shared" si="40"/>
        <v>0</v>
      </c>
      <c r="M207" s="247">
        <f t="shared" si="40"/>
        <v>8400</v>
      </c>
      <c r="N207" s="247">
        <f t="shared" si="40"/>
        <v>11800</v>
      </c>
      <c r="O207" s="247">
        <f t="shared" si="40"/>
        <v>-7700</v>
      </c>
      <c r="P207" s="247">
        <f t="shared" si="40"/>
        <v>4058.6</v>
      </c>
      <c r="Q207" s="365">
        <f>Q206</f>
        <v>0</v>
      </c>
      <c r="R207" s="250"/>
      <c r="U207" s="117"/>
      <c r="V207" s="119"/>
      <c r="W207" s="122"/>
    </row>
    <row r="208" ht="14.25" customHeight="1">
      <c r="B208" s="316" t="s">
        <v>179</v>
      </c>
      <c r="C208" s="304">
        <v>45659.0</v>
      </c>
      <c r="D208" s="308"/>
      <c r="E208" s="309"/>
      <c r="F208" s="194"/>
      <c r="G208" s="194"/>
      <c r="H208" s="352"/>
      <c r="I208" s="198"/>
      <c r="J208" s="309"/>
      <c r="K208" s="199">
        <f t="shared" ref="K208:K226" si="41">E208-J208-L208-M208-N208-I208+F208</f>
        <v>0</v>
      </c>
      <c r="L208" s="309"/>
      <c r="M208" s="353"/>
      <c r="N208" s="310"/>
      <c r="O208" s="310"/>
      <c r="P208" s="310"/>
      <c r="Q208" s="88">
        <f t="shared" ref="Q208:Q226" si="42">Q207+N208+O208+P208</f>
        <v>0</v>
      </c>
      <c r="R208" s="310"/>
      <c r="W208" s="122"/>
    </row>
    <row r="209" ht="14.25" customHeight="1">
      <c r="B209" s="300"/>
      <c r="C209" s="301">
        <v>45691.0</v>
      </c>
      <c r="D209" s="284">
        <v>1.0</v>
      </c>
      <c r="E209" s="282">
        <v>2000.0</v>
      </c>
      <c r="F209" s="176"/>
      <c r="G209" s="176"/>
      <c r="H209" s="303"/>
      <c r="I209" s="181"/>
      <c r="J209" s="282">
        <v>1000.0</v>
      </c>
      <c r="K209" s="186">
        <f t="shared" si="41"/>
        <v>0</v>
      </c>
      <c r="L209" s="282"/>
      <c r="M209" s="320"/>
      <c r="N209" s="287">
        <v>1000.0</v>
      </c>
      <c r="O209" s="287">
        <v>-700.0</v>
      </c>
      <c r="P209" s="287"/>
      <c r="Q209" s="71">
        <f t="shared" si="42"/>
        <v>300</v>
      </c>
      <c r="R209" s="287"/>
      <c r="W209" s="122"/>
    </row>
    <row r="210" ht="14.25" customHeight="1">
      <c r="B210" s="300"/>
      <c r="C210" s="301">
        <v>45721.0</v>
      </c>
      <c r="D210" s="284">
        <v>2.0</v>
      </c>
      <c r="E210" s="282">
        <v>4100.0</v>
      </c>
      <c r="F210" s="176"/>
      <c r="G210" s="176"/>
      <c r="H210" s="303"/>
      <c r="I210" s="181"/>
      <c r="J210" s="282">
        <v>1000.0</v>
      </c>
      <c r="K210" s="186">
        <f t="shared" si="41"/>
        <v>0</v>
      </c>
      <c r="L210" s="282"/>
      <c r="M210" s="337">
        <v>3100.0</v>
      </c>
      <c r="N210" s="287"/>
      <c r="O210" s="287">
        <v>-700.0</v>
      </c>
      <c r="P210" s="287"/>
      <c r="Q210" s="71">
        <f t="shared" si="42"/>
        <v>-400</v>
      </c>
      <c r="R210" s="287"/>
      <c r="W210" s="122"/>
    </row>
    <row r="211" ht="14.25" customHeight="1">
      <c r="B211" s="316"/>
      <c r="C211" s="304">
        <v>45783.0</v>
      </c>
      <c r="D211" s="308"/>
      <c r="E211" s="309"/>
      <c r="F211" s="194"/>
      <c r="G211" s="194"/>
      <c r="H211" s="352"/>
      <c r="I211" s="198"/>
      <c r="J211" s="309"/>
      <c r="K211" s="199">
        <f t="shared" si="41"/>
        <v>0</v>
      </c>
      <c r="L211" s="309"/>
      <c r="M211" s="353"/>
      <c r="N211" s="310"/>
      <c r="O211" s="310"/>
      <c r="P211" s="310"/>
      <c r="Q211" s="88">
        <f t="shared" si="42"/>
        <v>-400</v>
      </c>
      <c r="R211" s="310"/>
      <c r="W211" s="122"/>
    </row>
    <row r="212" ht="14.25" customHeight="1">
      <c r="B212" s="300"/>
      <c r="C212" s="301">
        <v>45815.0</v>
      </c>
      <c r="D212" s="284">
        <v>1.0</v>
      </c>
      <c r="E212" s="282">
        <v>2000.0</v>
      </c>
      <c r="F212" s="176"/>
      <c r="G212" s="176"/>
      <c r="H212" s="303"/>
      <c r="I212" s="181"/>
      <c r="J212" s="282"/>
      <c r="K212" s="186">
        <f t="shared" si="41"/>
        <v>0</v>
      </c>
      <c r="L212" s="282"/>
      <c r="M212" s="337"/>
      <c r="N212" s="287">
        <v>2000.0</v>
      </c>
      <c r="O212" s="287">
        <v>-700.0</v>
      </c>
      <c r="P212" s="287"/>
      <c r="Q212" s="71">
        <f t="shared" si="42"/>
        <v>900</v>
      </c>
      <c r="R212" s="287"/>
      <c r="W212" s="122"/>
    </row>
    <row r="213" ht="14.25" customHeight="1">
      <c r="B213" s="316"/>
      <c r="C213" s="304">
        <v>45851.0</v>
      </c>
      <c r="D213" s="308"/>
      <c r="E213" s="309"/>
      <c r="F213" s="194"/>
      <c r="G213" s="194"/>
      <c r="H213" s="352"/>
      <c r="I213" s="198"/>
      <c r="J213" s="309"/>
      <c r="K213" s="199">
        <f t="shared" si="41"/>
        <v>0</v>
      </c>
      <c r="L213" s="309"/>
      <c r="M213" s="353"/>
      <c r="N213" s="310"/>
      <c r="O213" s="310"/>
      <c r="P213" s="310"/>
      <c r="Q213" s="88">
        <f t="shared" si="42"/>
        <v>900</v>
      </c>
      <c r="R213" s="310"/>
      <c r="W213" s="122"/>
    </row>
    <row r="214" ht="14.25" customHeight="1">
      <c r="B214" s="300"/>
      <c r="C214" s="284" t="s">
        <v>46</v>
      </c>
      <c r="D214" s="284">
        <v>1.0</v>
      </c>
      <c r="E214" s="282">
        <v>2800.0</v>
      </c>
      <c r="F214" s="176"/>
      <c r="G214" s="176"/>
      <c r="H214" s="303"/>
      <c r="I214" s="181"/>
      <c r="J214" s="282">
        <v>1000.0</v>
      </c>
      <c r="K214" s="186">
        <f t="shared" si="41"/>
        <v>0</v>
      </c>
      <c r="L214" s="282"/>
      <c r="M214" s="320">
        <v>1800.0</v>
      </c>
      <c r="N214" s="287"/>
      <c r="O214" s="287">
        <v>-700.0</v>
      </c>
      <c r="P214" s="287"/>
      <c r="Q214" s="71">
        <f t="shared" si="42"/>
        <v>200</v>
      </c>
      <c r="R214" s="287"/>
      <c r="W214" s="122"/>
    </row>
    <row r="215" ht="14.25" customHeight="1">
      <c r="B215" s="316"/>
      <c r="C215" s="308" t="s">
        <v>204</v>
      </c>
      <c r="D215" s="308"/>
      <c r="E215" s="309"/>
      <c r="F215" s="194"/>
      <c r="G215" s="194"/>
      <c r="H215" s="352"/>
      <c r="I215" s="198"/>
      <c r="J215" s="309"/>
      <c r="K215" s="199">
        <f t="shared" si="41"/>
        <v>0</v>
      </c>
      <c r="L215" s="309"/>
      <c r="M215" s="353"/>
      <c r="N215" s="310"/>
      <c r="O215" s="310"/>
      <c r="P215" s="310"/>
      <c r="Q215" s="88">
        <f t="shared" si="42"/>
        <v>200</v>
      </c>
      <c r="R215" s="310"/>
      <c r="W215" s="122"/>
    </row>
    <row r="216" ht="14.25" customHeight="1">
      <c r="B216" s="300"/>
      <c r="C216" s="284" t="s">
        <v>33</v>
      </c>
      <c r="D216" s="284">
        <v>1.0</v>
      </c>
      <c r="E216" s="282">
        <v>2000.0</v>
      </c>
      <c r="F216" s="176"/>
      <c r="G216" s="176"/>
      <c r="H216" s="303"/>
      <c r="I216" s="181"/>
      <c r="J216" s="282">
        <v>1000.0</v>
      </c>
      <c r="K216" s="186">
        <f t="shared" si="41"/>
        <v>0</v>
      </c>
      <c r="L216" s="282"/>
      <c r="M216" s="337"/>
      <c r="N216" s="287">
        <v>1000.0</v>
      </c>
      <c r="O216" s="287">
        <v>-700.0</v>
      </c>
      <c r="P216" s="287"/>
      <c r="Q216" s="71">
        <f t="shared" si="42"/>
        <v>500</v>
      </c>
      <c r="R216" s="287"/>
      <c r="W216" s="358"/>
    </row>
    <row r="217" ht="14.25" customHeight="1">
      <c r="B217" s="316"/>
      <c r="C217" s="308" t="s">
        <v>34</v>
      </c>
      <c r="D217" s="308"/>
      <c r="E217" s="309"/>
      <c r="F217" s="194"/>
      <c r="G217" s="194"/>
      <c r="H217" s="352"/>
      <c r="I217" s="198"/>
      <c r="J217" s="309"/>
      <c r="K217" s="199">
        <f t="shared" si="41"/>
        <v>0</v>
      </c>
      <c r="L217" s="309"/>
      <c r="M217" s="353"/>
      <c r="N217" s="310"/>
      <c r="O217" s="310"/>
      <c r="P217" s="310"/>
      <c r="Q217" s="88">
        <f t="shared" si="42"/>
        <v>500</v>
      </c>
      <c r="R217" s="310"/>
      <c r="W217" s="358"/>
    </row>
    <row r="218" ht="14.25" customHeight="1">
      <c r="B218" s="300"/>
      <c r="C218" s="284" t="s">
        <v>69</v>
      </c>
      <c r="D218" s="284">
        <v>1.0</v>
      </c>
      <c r="E218" s="282">
        <v>2800.0</v>
      </c>
      <c r="F218" s="176"/>
      <c r="G218" s="176"/>
      <c r="H218" s="303"/>
      <c r="I218" s="181"/>
      <c r="J218" s="282">
        <v>1000.0</v>
      </c>
      <c r="K218" s="186">
        <f t="shared" si="41"/>
        <v>0</v>
      </c>
      <c r="L218" s="282"/>
      <c r="M218" s="337"/>
      <c r="N218" s="287">
        <v>1800.0</v>
      </c>
      <c r="O218" s="287">
        <v>-700.0</v>
      </c>
      <c r="P218" s="287"/>
      <c r="Q218" s="71">
        <f t="shared" si="42"/>
        <v>1600</v>
      </c>
      <c r="R218" s="287"/>
      <c r="W218" s="358"/>
    </row>
    <row r="219" ht="14.25" customHeight="1">
      <c r="B219" s="300"/>
      <c r="C219" s="284" t="s">
        <v>68</v>
      </c>
      <c r="D219" s="284">
        <v>1.0</v>
      </c>
      <c r="E219" s="282">
        <v>2200.0</v>
      </c>
      <c r="F219" s="176"/>
      <c r="G219" s="176"/>
      <c r="H219" s="303"/>
      <c r="I219" s="181"/>
      <c r="J219" s="282">
        <v>500.0</v>
      </c>
      <c r="K219" s="186">
        <f t="shared" si="41"/>
        <v>0</v>
      </c>
      <c r="L219" s="282"/>
      <c r="M219" s="337"/>
      <c r="N219" s="287">
        <v>1700.0</v>
      </c>
      <c r="O219" s="287">
        <v>-700.0</v>
      </c>
      <c r="P219" s="287"/>
      <c r="Q219" s="71">
        <f t="shared" si="42"/>
        <v>2600</v>
      </c>
      <c r="R219" s="287"/>
      <c r="W219" s="358"/>
    </row>
    <row r="220" ht="14.25" customHeight="1">
      <c r="B220" s="300"/>
      <c r="C220" s="284" t="s">
        <v>70</v>
      </c>
      <c r="D220" s="284">
        <v>2.0</v>
      </c>
      <c r="E220" s="282">
        <v>4100.0</v>
      </c>
      <c r="F220" s="176"/>
      <c r="G220" s="176"/>
      <c r="H220" s="303"/>
      <c r="I220" s="181"/>
      <c r="J220" s="282">
        <v>1500.0</v>
      </c>
      <c r="K220" s="186">
        <f t="shared" si="41"/>
        <v>0</v>
      </c>
      <c r="L220" s="282"/>
      <c r="M220" s="337">
        <v>2600.0</v>
      </c>
      <c r="N220" s="287"/>
      <c r="O220" s="287">
        <v>-700.0</v>
      </c>
      <c r="P220" s="287"/>
      <c r="Q220" s="71">
        <f t="shared" si="42"/>
        <v>1900</v>
      </c>
      <c r="R220" s="287"/>
      <c r="W220" s="122"/>
    </row>
    <row r="221" ht="14.25" customHeight="1">
      <c r="B221" s="300"/>
      <c r="C221" s="284" t="s">
        <v>44</v>
      </c>
      <c r="D221" s="284">
        <v>1.0</v>
      </c>
      <c r="E221" s="282">
        <v>2000.0</v>
      </c>
      <c r="F221" s="176"/>
      <c r="G221" s="176"/>
      <c r="H221" s="303"/>
      <c r="I221" s="181"/>
      <c r="J221" s="282">
        <v>1000.0</v>
      </c>
      <c r="K221" s="186">
        <f t="shared" si="41"/>
        <v>0</v>
      </c>
      <c r="L221" s="282"/>
      <c r="M221" s="337"/>
      <c r="N221" s="287">
        <v>1000.0</v>
      </c>
      <c r="O221" s="287">
        <v>-700.0</v>
      </c>
      <c r="P221" s="287"/>
      <c r="Q221" s="71">
        <f t="shared" si="42"/>
        <v>2200</v>
      </c>
      <c r="R221" s="287"/>
      <c r="W221" s="122"/>
    </row>
    <row r="222" ht="14.25" customHeight="1">
      <c r="B222" s="316"/>
      <c r="C222" s="308" t="s">
        <v>99</v>
      </c>
      <c r="D222" s="308"/>
      <c r="E222" s="309"/>
      <c r="F222" s="194"/>
      <c r="G222" s="194"/>
      <c r="H222" s="352"/>
      <c r="I222" s="198"/>
      <c r="J222" s="309"/>
      <c r="K222" s="199">
        <f t="shared" si="41"/>
        <v>0</v>
      </c>
      <c r="L222" s="309"/>
      <c r="M222" s="353"/>
      <c r="N222" s="310"/>
      <c r="O222" s="310"/>
      <c r="P222" s="310"/>
      <c r="Q222" s="88">
        <f t="shared" si="42"/>
        <v>2200</v>
      </c>
      <c r="R222" s="310"/>
      <c r="S222" s="342"/>
      <c r="W222" s="122"/>
    </row>
    <row r="223" ht="14.25" customHeight="1">
      <c r="B223" s="300"/>
      <c r="C223" s="284" t="s">
        <v>72</v>
      </c>
      <c r="D223" s="284">
        <v>1.0</v>
      </c>
      <c r="E223" s="282">
        <v>3200.0</v>
      </c>
      <c r="F223" s="176"/>
      <c r="G223" s="282">
        <v>-500.0</v>
      </c>
      <c r="H223" s="303"/>
      <c r="I223" s="181"/>
      <c r="J223" s="282">
        <v>1000.0</v>
      </c>
      <c r="K223" s="186">
        <f t="shared" si="41"/>
        <v>0</v>
      </c>
      <c r="L223" s="282"/>
      <c r="M223" s="337"/>
      <c r="N223" s="287">
        <v>2200.0</v>
      </c>
      <c r="O223" s="287">
        <v>-700.0</v>
      </c>
      <c r="P223" s="287"/>
      <c r="Q223" s="71">
        <f t="shared" si="42"/>
        <v>3700</v>
      </c>
      <c r="R223" s="287"/>
      <c r="U223" s="387"/>
      <c r="V223" s="387"/>
      <c r="W223" s="388"/>
      <c r="X223" s="387"/>
    </row>
    <row r="224" ht="14.25" customHeight="1">
      <c r="B224" s="316"/>
      <c r="C224" s="308" t="s">
        <v>88</v>
      </c>
      <c r="D224" s="308"/>
      <c r="E224" s="309"/>
      <c r="F224" s="194"/>
      <c r="G224" s="194"/>
      <c r="H224" s="352"/>
      <c r="I224" s="198"/>
      <c r="J224" s="309"/>
      <c r="K224" s="199">
        <f t="shared" si="41"/>
        <v>0</v>
      </c>
      <c r="L224" s="309"/>
      <c r="M224" s="353"/>
      <c r="N224" s="310"/>
      <c r="O224" s="310"/>
      <c r="P224" s="310"/>
      <c r="Q224" s="88">
        <f t="shared" si="42"/>
        <v>3700</v>
      </c>
      <c r="R224" s="310"/>
      <c r="W224" s="358"/>
    </row>
    <row r="225" ht="14.25" customHeight="1">
      <c r="B225" s="300"/>
      <c r="C225" s="284"/>
      <c r="D225" s="284"/>
      <c r="E225" s="282"/>
      <c r="F225" s="176"/>
      <c r="G225" s="176"/>
      <c r="H225" s="303"/>
      <c r="I225" s="181"/>
      <c r="J225" s="282"/>
      <c r="K225" s="186">
        <f t="shared" si="41"/>
        <v>0</v>
      </c>
      <c r="L225" s="282"/>
      <c r="M225" s="337"/>
      <c r="N225" s="287"/>
      <c r="O225" s="287"/>
      <c r="P225" s="287">
        <v>-3700.0</v>
      </c>
      <c r="Q225" s="71">
        <f t="shared" si="42"/>
        <v>0</v>
      </c>
      <c r="R225" s="287" t="s">
        <v>110</v>
      </c>
      <c r="W225" s="358"/>
    </row>
    <row r="226" ht="14.25" customHeight="1">
      <c r="B226" s="300"/>
      <c r="C226" s="284"/>
      <c r="D226" s="284"/>
      <c r="E226" s="282"/>
      <c r="F226" s="176"/>
      <c r="G226" s="176"/>
      <c r="H226" s="303"/>
      <c r="I226" s="181"/>
      <c r="J226" s="282"/>
      <c r="K226" s="186">
        <f t="shared" si="41"/>
        <v>0</v>
      </c>
      <c r="L226" s="282"/>
      <c r="M226" s="337"/>
      <c r="N226" s="287"/>
      <c r="O226" s="287"/>
      <c r="P226" s="287"/>
      <c r="Q226" s="71">
        <f t="shared" si="42"/>
        <v>0</v>
      </c>
      <c r="R226" s="287"/>
      <c r="T226" s="287" t="s">
        <v>208</v>
      </c>
      <c r="U226" s="287">
        <v>4995.46</v>
      </c>
      <c r="W226" s="358"/>
    </row>
    <row r="227" ht="14.25" customHeight="1">
      <c r="B227" s="297" t="s">
        <v>179</v>
      </c>
      <c r="C227" s="246" t="s">
        <v>80</v>
      </c>
      <c r="D227" s="246">
        <f t="shared" ref="D227:P227" si="43">sum(D208:D226)</f>
        <v>12</v>
      </c>
      <c r="E227" s="247">
        <f t="shared" si="43"/>
        <v>27200</v>
      </c>
      <c r="F227" s="247">
        <f t="shared" si="43"/>
        <v>0</v>
      </c>
      <c r="G227" s="247">
        <f t="shared" si="43"/>
        <v>-500</v>
      </c>
      <c r="H227" s="247">
        <f t="shared" si="43"/>
        <v>0</v>
      </c>
      <c r="I227" s="247">
        <f t="shared" si="43"/>
        <v>0</v>
      </c>
      <c r="J227" s="247">
        <f t="shared" si="43"/>
        <v>9000</v>
      </c>
      <c r="K227" s="247">
        <f t="shared" si="43"/>
        <v>0</v>
      </c>
      <c r="L227" s="247">
        <f t="shared" si="43"/>
        <v>0</v>
      </c>
      <c r="M227" s="247">
        <f t="shared" si="43"/>
        <v>7500</v>
      </c>
      <c r="N227" s="247">
        <f t="shared" si="43"/>
        <v>10700</v>
      </c>
      <c r="O227" s="247">
        <f t="shared" si="43"/>
        <v>-7000</v>
      </c>
      <c r="P227" s="247">
        <f t="shared" si="43"/>
        <v>-3700</v>
      </c>
      <c r="Q227" s="365">
        <f>Q226</f>
        <v>0</v>
      </c>
      <c r="R227" s="250"/>
      <c r="U227" s="117"/>
      <c r="V227" s="119"/>
      <c r="W227" s="122"/>
    </row>
    <row r="228" ht="14.25" customHeight="1">
      <c r="B228" s="316" t="s">
        <v>186</v>
      </c>
      <c r="C228" s="304">
        <v>45660.0</v>
      </c>
      <c r="D228" s="308"/>
      <c r="E228" s="309"/>
      <c r="F228" s="194"/>
      <c r="G228" s="194"/>
      <c r="H228" s="352"/>
      <c r="I228" s="198"/>
      <c r="J228" s="309"/>
      <c r="K228" s="199">
        <f t="shared" ref="K228:K242" si="44">E228-J228-L228-M228-N228-I228+F228</f>
        <v>0</v>
      </c>
      <c r="L228" s="309"/>
      <c r="M228" s="353"/>
      <c r="N228" s="310"/>
      <c r="O228" s="310"/>
      <c r="P228" s="310"/>
      <c r="Q228" s="88">
        <f t="shared" ref="Q228:Q242" si="45">Q227+N228+O228+P228</f>
        <v>0</v>
      </c>
      <c r="R228" s="310"/>
      <c r="W228" s="122"/>
    </row>
    <row r="229" ht="14.25" customHeight="1">
      <c r="B229" s="300"/>
      <c r="C229" s="301">
        <v>45721.0</v>
      </c>
      <c r="D229" s="284">
        <v>2.0</v>
      </c>
      <c r="E229" s="282">
        <v>5100.0</v>
      </c>
      <c r="F229" s="176"/>
      <c r="G229" s="176"/>
      <c r="H229" s="303"/>
      <c r="I229" s="181"/>
      <c r="J229" s="282">
        <v>1500.0</v>
      </c>
      <c r="K229" s="186">
        <f t="shared" si="44"/>
        <v>0</v>
      </c>
      <c r="L229" s="282"/>
      <c r="M229" s="337">
        <v>3600.0</v>
      </c>
      <c r="N229" s="287"/>
      <c r="O229" s="287">
        <v>-700.0</v>
      </c>
      <c r="P229" s="287"/>
      <c r="Q229" s="71">
        <f t="shared" si="45"/>
        <v>-700</v>
      </c>
      <c r="R229" s="287"/>
      <c r="W229" s="122"/>
    </row>
    <row r="230" ht="14.25" customHeight="1">
      <c r="B230" s="300"/>
      <c r="C230" s="301">
        <v>45817.0</v>
      </c>
      <c r="D230" s="284">
        <v>3.0</v>
      </c>
      <c r="E230" s="282">
        <v>5112.26</v>
      </c>
      <c r="F230" s="176"/>
      <c r="G230" s="176"/>
      <c r="H230" s="303" t="s">
        <v>42</v>
      </c>
      <c r="I230" s="181"/>
      <c r="J230" s="282"/>
      <c r="K230" s="186">
        <f t="shared" si="44"/>
        <v>0</v>
      </c>
      <c r="L230" s="282">
        <v>5112.26</v>
      </c>
      <c r="M230" s="337"/>
      <c r="N230" s="287"/>
      <c r="O230" s="287">
        <v>-700.0</v>
      </c>
      <c r="P230" s="287"/>
      <c r="Q230" s="71">
        <f t="shared" si="45"/>
        <v>-1400</v>
      </c>
      <c r="R230" s="287" t="s">
        <v>42</v>
      </c>
      <c r="W230" s="122"/>
    </row>
    <row r="231" ht="14.25" customHeight="1">
      <c r="B231" s="316"/>
      <c r="C231" s="304">
        <v>45911.0</v>
      </c>
      <c r="D231" s="308"/>
      <c r="E231" s="309"/>
      <c r="F231" s="194"/>
      <c r="G231" s="194"/>
      <c r="H231" s="352"/>
      <c r="I231" s="198"/>
      <c r="J231" s="309"/>
      <c r="K231" s="199">
        <f t="shared" si="44"/>
        <v>0</v>
      </c>
      <c r="L231" s="309"/>
      <c r="M231" s="353"/>
      <c r="N231" s="310"/>
      <c r="O231" s="310"/>
      <c r="P231" s="310"/>
      <c r="Q231" s="88">
        <f t="shared" si="45"/>
        <v>-1400</v>
      </c>
      <c r="R231" s="310"/>
      <c r="W231" s="122"/>
    </row>
    <row r="232" ht="14.25" customHeight="1">
      <c r="B232" s="300"/>
      <c r="C232" s="301">
        <v>45973.0</v>
      </c>
      <c r="D232" s="284">
        <v>1.0</v>
      </c>
      <c r="E232" s="282">
        <v>2700.0</v>
      </c>
      <c r="F232" s="176"/>
      <c r="G232" s="176"/>
      <c r="H232" s="303"/>
      <c r="I232" s="181"/>
      <c r="J232" s="282">
        <v>500.0</v>
      </c>
      <c r="K232" s="186">
        <f t="shared" si="44"/>
        <v>0</v>
      </c>
      <c r="L232" s="282"/>
      <c r="M232" s="337"/>
      <c r="N232" s="287">
        <v>2200.0</v>
      </c>
      <c r="O232" s="287">
        <v>-700.0</v>
      </c>
      <c r="P232" s="287"/>
      <c r="Q232" s="71">
        <f t="shared" si="45"/>
        <v>100</v>
      </c>
      <c r="R232" s="287"/>
      <c r="W232" s="122"/>
    </row>
    <row r="233" ht="14.25" customHeight="1">
      <c r="B233" s="316"/>
      <c r="C233" s="304">
        <v>46374.0</v>
      </c>
      <c r="D233" s="308"/>
      <c r="E233" s="309"/>
      <c r="F233" s="194"/>
      <c r="G233" s="194"/>
      <c r="H233" s="352"/>
      <c r="I233" s="198"/>
      <c r="J233" s="309"/>
      <c r="K233" s="199">
        <f t="shared" si="44"/>
        <v>0</v>
      </c>
      <c r="L233" s="309"/>
      <c r="M233" s="353"/>
      <c r="N233" s="310"/>
      <c r="O233" s="310"/>
      <c r="P233" s="310"/>
      <c r="Q233" s="88">
        <f t="shared" si="45"/>
        <v>100</v>
      </c>
      <c r="R233" s="310"/>
      <c r="W233" s="122"/>
    </row>
    <row r="234" ht="14.25" customHeight="1">
      <c r="B234" s="300"/>
      <c r="C234" s="284" t="s">
        <v>120</v>
      </c>
      <c r="D234" s="284">
        <v>2.0</v>
      </c>
      <c r="E234" s="282">
        <v>4700.0</v>
      </c>
      <c r="F234" s="176"/>
      <c r="G234" s="176"/>
      <c r="H234" s="303"/>
      <c r="I234" s="181"/>
      <c r="J234" s="282">
        <v>1500.0</v>
      </c>
      <c r="K234" s="186">
        <f t="shared" si="44"/>
        <v>0</v>
      </c>
      <c r="L234" s="282"/>
      <c r="M234" s="337">
        <v>3200.0</v>
      </c>
      <c r="N234" s="287"/>
      <c r="O234" s="287">
        <v>-700.0</v>
      </c>
      <c r="P234" s="287"/>
      <c r="Q234" s="71">
        <f t="shared" si="45"/>
        <v>-600</v>
      </c>
      <c r="R234" s="287"/>
      <c r="W234" s="122"/>
    </row>
    <row r="235" ht="14.25" customHeight="1">
      <c r="B235" s="316"/>
      <c r="C235" s="308" t="s">
        <v>211</v>
      </c>
      <c r="D235" s="308"/>
      <c r="E235" s="309"/>
      <c r="F235" s="194"/>
      <c r="G235" s="194"/>
      <c r="H235" s="352"/>
      <c r="I235" s="198"/>
      <c r="J235" s="309"/>
      <c r="K235" s="199">
        <f t="shared" si="44"/>
        <v>0</v>
      </c>
      <c r="L235" s="309"/>
      <c r="M235" s="353"/>
      <c r="N235" s="310"/>
      <c r="O235" s="310"/>
      <c r="P235" s="310"/>
      <c r="Q235" s="88">
        <f t="shared" si="45"/>
        <v>-600</v>
      </c>
      <c r="R235" s="310"/>
      <c r="W235" s="122"/>
    </row>
    <row r="236" ht="14.25" customHeight="1">
      <c r="B236" s="300"/>
      <c r="C236" s="284" t="s">
        <v>71</v>
      </c>
      <c r="D236" s="284">
        <v>2.0</v>
      </c>
      <c r="E236" s="282">
        <v>4455.1</v>
      </c>
      <c r="F236" s="282">
        <v>900.0</v>
      </c>
      <c r="G236" s="176"/>
      <c r="H236" s="303" t="s">
        <v>42</v>
      </c>
      <c r="I236" s="181"/>
      <c r="J236" s="282"/>
      <c r="K236" s="186">
        <f t="shared" si="44"/>
        <v>0</v>
      </c>
      <c r="L236" s="282">
        <v>4455.1</v>
      </c>
      <c r="M236" s="337">
        <v>900.0</v>
      </c>
      <c r="N236" s="287"/>
      <c r="O236" s="287">
        <v>-700.0</v>
      </c>
      <c r="P236" s="287"/>
      <c r="Q236" s="71">
        <f t="shared" si="45"/>
        <v>-1300</v>
      </c>
      <c r="R236" s="287"/>
      <c r="W236" s="358"/>
    </row>
    <row r="237" ht="14.25" customHeight="1">
      <c r="B237" s="300"/>
      <c r="C237" s="284" t="s">
        <v>72</v>
      </c>
      <c r="D237" s="284">
        <v>1.0</v>
      </c>
      <c r="E237" s="282">
        <v>2000.0</v>
      </c>
      <c r="F237" s="176"/>
      <c r="G237" s="176"/>
      <c r="H237" s="303"/>
      <c r="I237" s="181"/>
      <c r="J237" s="282"/>
      <c r="K237" s="186">
        <f t="shared" si="44"/>
        <v>0</v>
      </c>
      <c r="L237" s="282"/>
      <c r="M237" s="337"/>
      <c r="N237" s="287">
        <v>2000.0</v>
      </c>
      <c r="O237" s="287">
        <v>-700.0</v>
      </c>
      <c r="P237" s="287"/>
      <c r="Q237" s="71">
        <f t="shared" si="45"/>
        <v>0</v>
      </c>
      <c r="R237" s="287"/>
      <c r="W237" s="358"/>
    </row>
    <row r="238" ht="14.25" customHeight="1">
      <c r="B238" s="316"/>
      <c r="C238" s="308" t="s">
        <v>49</v>
      </c>
      <c r="D238" s="308"/>
      <c r="E238" s="309"/>
      <c r="F238" s="194"/>
      <c r="G238" s="194"/>
      <c r="H238" s="352"/>
      <c r="I238" s="198"/>
      <c r="J238" s="309"/>
      <c r="K238" s="199">
        <f t="shared" si="44"/>
        <v>0</v>
      </c>
      <c r="L238" s="309"/>
      <c r="M238" s="353"/>
      <c r="N238" s="310"/>
      <c r="O238" s="310"/>
      <c r="P238" s="310"/>
      <c r="Q238" s="88">
        <f t="shared" si="45"/>
        <v>0</v>
      </c>
      <c r="R238" s="310"/>
      <c r="W238" s="358"/>
    </row>
    <row r="239" ht="14.25" customHeight="1">
      <c r="B239" s="300"/>
      <c r="C239" s="284" t="s">
        <v>50</v>
      </c>
      <c r="D239" s="284">
        <v>1.0</v>
      </c>
      <c r="E239" s="282">
        <v>2000.0</v>
      </c>
      <c r="F239" s="282">
        <v>350.0</v>
      </c>
      <c r="G239" s="176"/>
      <c r="H239" s="303"/>
      <c r="I239" s="181"/>
      <c r="J239" s="282">
        <v>1175.0</v>
      </c>
      <c r="K239" s="186">
        <f t="shared" si="44"/>
        <v>0</v>
      </c>
      <c r="L239" s="282"/>
      <c r="M239" s="337">
        <v>1175.0</v>
      </c>
      <c r="N239" s="287"/>
      <c r="O239" s="287">
        <v>-700.0</v>
      </c>
      <c r="P239" s="287"/>
      <c r="Q239" s="71">
        <f t="shared" si="45"/>
        <v>-700</v>
      </c>
      <c r="R239" s="287"/>
      <c r="W239" s="358"/>
    </row>
    <row r="240" ht="14.25" customHeight="1">
      <c r="B240" s="300"/>
      <c r="C240" s="284" t="s">
        <v>89</v>
      </c>
      <c r="D240" s="284">
        <v>1.0</v>
      </c>
      <c r="E240" s="282">
        <v>5300.0</v>
      </c>
      <c r="F240" s="282">
        <v>700.0</v>
      </c>
      <c r="G240" s="176"/>
      <c r="H240" s="303"/>
      <c r="I240" s="181"/>
      <c r="J240" s="282">
        <v>2200.0</v>
      </c>
      <c r="K240" s="186">
        <f t="shared" si="44"/>
        <v>0</v>
      </c>
      <c r="L240" s="282"/>
      <c r="M240" s="337"/>
      <c r="N240" s="287">
        <v>3800.0</v>
      </c>
      <c r="O240" s="287">
        <v>-700.0</v>
      </c>
      <c r="P240" s="287">
        <v>-400.0</v>
      </c>
      <c r="Q240" s="71">
        <f t="shared" si="45"/>
        <v>2000</v>
      </c>
      <c r="R240" s="287" t="s">
        <v>213</v>
      </c>
      <c r="W240" s="358"/>
    </row>
    <row r="241" ht="14.25" customHeight="1">
      <c r="B241" s="300"/>
      <c r="C241" s="284"/>
      <c r="D241" s="284"/>
      <c r="E241" s="282"/>
      <c r="F241" s="176"/>
      <c r="G241" s="176"/>
      <c r="H241" s="303"/>
      <c r="I241" s="181"/>
      <c r="J241" s="282"/>
      <c r="K241" s="186">
        <f t="shared" si="44"/>
        <v>0</v>
      </c>
      <c r="L241" s="282"/>
      <c r="M241" s="337"/>
      <c r="N241" s="287"/>
      <c r="O241" s="287"/>
      <c r="P241" s="287">
        <v>-4824.04</v>
      </c>
      <c r="Q241" s="71">
        <f t="shared" si="45"/>
        <v>-2824.04</v>
      </c>
      <c r="R241" s="287" t="s">
        <v>208</v>
      </c>
      <c r="W241" s="358"/>
    </row>
    <row r="242" ht="14.25" customHeight="1">
      <c r="B242" s="300"/>
      <c r="C242" s="284"/>
      <c r="D242" s="284"/>
      <c r="E242" s="282"/>
      <c r="F242" s="176"/>
      <c r="G242" s="176"/>
      <c r="H242" s="303"/>
      <c r="I242" s="181"/>
      <c r="J242" s="282"/>
      <c r="K242" s="186">
        <f t="shared" si="44"/>
        <v>0</v>
      </c>
      <c r="L242" s="282"/>
      <c r="M242" s="337"/>
      <c r="N242" s="287"/>
      <c r="O242" s="287"/>
      <c r="P242" s="287">
        <v>-720.0</v>
      </c>
      <c r="Q242" s="71">
        <f t="shared" si="45"/>
        <v>-3544.04</v>
      </c>
      <c r="R242" s="287" t="s">
        <v>84</v>
      </c>
      <c r="T242" s="287" t="s">
        <v>208</v>
      </c>
      <c r="U242" s="287">
        <v>4995.46</v>
      </c>
      <c r="W242" s="358"/>
    </row>
    <row r="243" ht="14.25" customHeight="1">
      <c r="B243" s="297" t="s">
        <v>186</v>
      </c>
      <c r="C243" s="246" t="s">
        <v>80</v>
      </c>
      <c r="D243" s="246">
        <f t="shared" ref="D243:P243" si="46">sum(D228:D242)</f>
        <v>13</v>
      </c>
      <c r="E243" s="247">
        <f t="shared" si="46"/>
        <v>31367.36</v>
      </c>
      <c r="F243" s="247">
        <f t="shared" si="46"/>
        <v>1950</v>
      </c>
      <c r="G243" s="247">
        <f t="shared" si="46"/>
        <v>0</v>
      </c>
      <c r="H243" s="247">
        <f t="shared" si="46"/>
        <v>0</v>
      </c>
      <c r="I243" s="247">
        <f t="shared" si="46"/>
        <v>0</v>
      </c>
      <c r="J243" s="247">
        <f t="shared" si="46"/>
        <v>6875</v>
      </c>
      <c r="K243" s="247">
        <f t="shared" si="46"/>
        <v>0</v>
      </c>
      <c r="L243" s="247">
        <f t="shared" si="46"/>
        <v>9567.36</v>
      </c>
      <c r="M243" s="247">
        <f t="shared" si="46"/>
        <v>8875</v>
      </c>
      <c r="N243" s="247">
        <f t="shared" si="46"/>
        <v>8000</v>
      </c>
      <c r="O243" s="247">
        <f t="shared" si="46"/>
        <v>-5600</v>
      </c>
      <c r="P243" s="247">
        <f t="shared" si="46"/>
        <v>-5944.04</v>
      </c>
      <c r="Q243" s="365">
        <f>Q242</f>
        <v>-3544.04</v>
      </c>
      <c r="R243" s="250"/>
      <c r="U243" s="117"/>
      <c r="V243" s="119"/>
      <c r="W243" s="122"/>
    </row>
    <row r="244" ht="14.25" customHeight="1">
      <c r="B244" s="316" t="s">
        <v>214</v>
      </c>
      <c r="C244" s="392">
        <v>45693.0</v>
      </c>
      <c r="D244" s="393"/>
      <c r="E244" s="353"/>
      <c r="F244" s="394"/>
      <c r="G244" s="394"/>
      <c r="H244" s="395"/>
      <c r="I244" s="396"/>
      <c r="J244" s="353"/>
      <c r="K244" s="199">
        <f t="shared" ref="K244:K249" si="47">E244-J244-L244-M244-N244-I244+F244</f>
        <v>0</v>
      </c>
      <c r="L244" s="353"/>
      <c r="M244" s="353"/>
      <c r="N244" s="397"/>
      <c r="O244" s="397"/>
      <c r="P244" s="398"/>
      <c r="Q244" s="88">
        <f t="shared" ref="Q244:Q264" si="48">Q243+N244+O244+P244</f>
        <v>-3544.04</v>
      </c>
      <c r="R244" s="310"/>
      <c r="W244" s="122"/>
    </row>
    <row r="245" ht="14.25" customHeight="1">
      <c r="B245" s="300"/>
      <c r="C245" s="399">
        <v>45783.0</v>
      </c>
      <c r="D245" s="400">
        <v>1.0</v>
      </c>
      <c r="E245" s="337">
        <v>2000.0</v>
      </c>
      <c r="F245" s="401"/>
      <c r="G245" s="401"/>
      <c r="H245" s="402"/>
      <c r="I245" s="403"/>
      <c r="J245" s="337">
        <v>1000.0</v>
      </c>
      <c r="K245" s="404">
        <f t="shared" si="47"/>
        <v>0</v>
      </c>
      <c r="L245" s="337"/>
      <c r="M245" s="337"/>
      <c r="N245" s="405">
        <v>1000.0</v>
      </c>
      <c r="O245" s="405">
        <v>-700.0</v>
      </c>
      <c r="P245" s="406"/>
      <c r="Q245" s="71">
        <f t="shared" si="48"/>
        <v>-3244.04</v>
      </c>
      <c r="R245" s="287"/>
      <c r="W245" s="122"/>
    </row>
    <row r="246" ht="14.25" customHeight="1">
      <c r="B246" s="316"/>
      <c r="C246" s="392">
        <v>45815.0</v>
      </c>
      <c r="D246" s="393"/>
      <c r="E246" s="353"/>
      <c r="F246" s="394"/>
      <c r="G246" s="394"/>
      <c r="H246" s="395"/>
      <c r="I246" s="396"/>
      <c r="J246" s="353"/>
      <c r="K246" s="199">
        <f t="shared" si="47"/>
        <v>0</v>
      </c>
      <c r="L246" s="353"/>
      <c r="M246" s="353"/>
      <c r="N246" s="397"/>
      <c r="O246" s="397"/>
      <c r="P246" s="398"/>
      <c r="Q246" s="88">
        <f t="shared" si="48"/>
        <v>-3244.04</v>
      </c>
      <c r="R246" s="310"/>
      <c r="W246" s="122"/>
    </row>
    <row r="247" ht="14.25" customHeight="1">
      <c r="B247" s="300"/>
      <c r="C247" s="399">
        <v>45846.0</v>
      </c>
      <c r="D247" s="400">
        <v>1.0</v>
      </c>
      <c r="E247" s="337">
        <v>2200.0</v>
      </c>
      <c r="F247" s="337">
        <v>450.0</v>
      </c>
      <c r="G247" s="401"/>
      <c r="H247" s="402"/>
      <c r="I247" s="403"/>
      <c r="J247" s="337">
        <v>1250.0</v>
      </c>
      <c r="K247" s="404">
        <f t="shared" si="47"/>
        <v>0</v>
      </c>
      <c r="L247" s="337"/>
      <c r="M247" s="337"/>
      <c r="N247" s="405">
        <v>1400.0</v>
      </c>
      <c r="O247" s="405">
        <v>-700.0</v>
      </c>
      <c r="P247" s="406"/>
      <c r="Q247" s="71">
        <f t="shared" si="48"/>
        <v>-2544.04</v>
      </c>
      <c r="R247" s="287"/>
      <c r="W247" s="122"/>
    </row>
    <row r="248" ht="14.25" customHeight="1">
      <c r="B248" s="316"/>
      <c r="C248" s="392">
        <v>45878.0</v>
      </c>
      <c r="D248" s="393"/>
      <c r="E248" s="353">
        <v>1000.0</v>
      </c>
      <c r="F248" s="394"/>
      <c r="G248" s="394"/>
      <c r="H248" s="395"/>
      <c r="I248" s="396"/>
      <c r="J248" s="353">
        <v>1000.0</v>
      </c>
      <c r="K248" s="199">
        <f t="shared" si="47"/>
        <v>0</v>
      </c>
      <c r="L248" s="353"/>
      <c r="M248" s="353"/>
      <c r="N248" s="397"/>
      <c r="O248" s="397"/>
      <c r="P248" s="398"/>
      <c r="Q248" s="88">
        <f t="shared" si="48"/>
        <v>-2544.04</v>
      </c>
      <c r="R248" s="310" t="s">
        <v>81</v>
      </c>
      <c r="W248" s="122"/>
    </row>
    <row r="249" ht="14.25" customHeight="1">
      <c r="B249" s="316"/>
      <c r="C249" s="392">
        <v>45914.0</v>
      </c>
      <c r="D249" s="393"/>
      <c r="E249" s="353"/>
      <c r="F249" s="394"/>
      <c r="G249" s="394"/>
      <c r="H249" s="395"/>
      <c r="I249" s="396"/>
      <c r="J249" s="353"/>
      <c r="K249" s="407">
        <f t="shared" si="47"/>
        <v>0</v>
      </c>
      <c r="L249" s="353"/>
      <c r="M249" s="353"/>
      <c r="N249" s="397"/>
      <c r="O249" s="397"/>
      <c r="P249" s="398"/>
      <c r="Q249" s="88">
        <f t="shared" si="48"/>
        <v>-2544.04</v>
      </c>
      <c r="R249" s="310"/>
      <c r="W249" s="122"/>
    </row>
    <row r="250" ht="14.25" customHeight="1">
      <c r="B250" s="300"/>
      <c r="C250" s="400" t="s">
        <v>29</v>
      </c>
      <c r="D250" s="400">
        <v>1.0</v>
      </c>
      <c r="E250" s="337">
        <v>2200.0</v>
      </c>
      <c r="F250" s="337">
        <v>350.0</v>
      </c>
      <c r="G250" s="401"/>
      <c r="H250" s="402"/>
      <c r="I250" s="403"/>
      <c r="J250" s="337">
        <v>1000.0</v>
      </c>
      <c r="K250" s="404">
        <f>E250-J250-L250-M250-N250-I250+F250-P250</f>
        <v>0</v>
      </c>
      <c r="L250" s="337"/>
      <c r="M250" s="337"/>
      <c r="N250" s="405">
        <v>1200.0</v>
      </c>
      <c r="O250" s="405">
        <v>-700.0</v>
      </c>
      <c r="P250" s="405">
        <v>350.0</v>
      </c>
      <c r="Q250" s="71">
        <f t="shared" si="48"/>
        <v>-1694.04</v>
      </c>
      <c r="R250" s="287"/>
      <c r="W250" s="122"/>
    </row>
    <row r="251" ht="14.25" customHeight="1">
      <c r="B251" s="300"/>
      <c r="C251" s="400" t="s">
        <v>30</v>
      </c>
      <c r="D251" s="400">
        <v>1.0</v>
      </c>
      <c r="E251" s="337">
        <v>2800.0</v>
      </c>
      <c r="F251" s="401"/>
      <c r="G251" s="401"/>
      <c r="H251" s="402"/>
      <c r="I251" s="403"/>
      <c r="J251" s="337">
        <v>1000.0</v>
      </c>
      <c r="K251" s="404">
        <f t="shared" ref="K251:K254" si="49">E251-J251-L251-M251-N251-I251+F251</f>
        <v>0</v>
      </c>
      <c r="L251" s="337"/>
      <c r="M251" s="337">
        <v>1800.0</v>
      </c>
      <c r="N251" s="405"/>
      <c r="O251" s="405">
        <v>-700.0</v>
      </c>
      <c r="P251" s="406"/>
      <c r="Q251" s="71">
        <f t="shared" si="48"/>
        <v>-2394.04</v>
      </c>
      <c r="R251" s="287"/>
      <c r="W251" s="358"/>
    </row>
    <row r="252" ht="14.25" customHeight="1">
      <c r="B252" s="300"/>
      <c r="C252" s="400" t="s">
        <v>31</v>
      </c>
      <c r="D252" s="400">
        <v>1.0</v>
      </c>
      <c r="E252" s="337">
        <v>2500.0</v>
      </c>
      <c r="F252" s="401"/>
      <c r="G252" s="401"/>
      <c r="H252" s="402"/>
      <c r="I252" s="403"/>
      <c r="J252" s="337">
        <v>500.0</v>
      </c>
      <c r="K252" s="404">
        <f t="shared" si="49"/>
        <v>0</v>
      </c>
      <c r="L252" s="337"/>
      <c r="M252" s="337">
        <v>2000.0</v>
      </c>
      <c r="N252" s="405"/>
      <c r="O252" s="405">
        <v>-700.0</v>
      </c>
      <c r="P252" s="406"/>
      <c r="Q252" s="71">
        <f t="shared" si="48"/>
        <v>-3094.04</v>
      </c>
      <c r="R252" s="287"/>
      <c r="W252" s="358"/>
    </row>
    <row r="253" ht="14.25" customHeight="1">
      <c r="B253" s="316"/>
      <c r="C253" s="393" t="s">
        <v>32</v>
      </c>
      <c r="D253" s="393"/>
      <c r="E253" s="353"/>
      <c r="F253" s="394"/>
      <c r="G253" s="394"/>
      <c r="H253" s="395"/>
      <c r="I253" s="396"/>
      <c r="J253" s="353"/>
      <c r="K253" s="407">
        <f t="shared" si="49"/>
        <v>0</v>
      </c>
      <c r="L253" s="353"/>
      <c r="M253" s="353"/>
      <c r="N253" s="397"/>
      <c r="O253" s="397"/>
      <c r="P253" s="398"/>
      <c r="Q253" s="88">
        <f t="shared" si="48"/>
        <v>-3094.04</v>
      </c>
      <c r="R253" s="310"/>
      <c r="W253" s="358"/>
    </row>
    <row r="254" ht="14.25" customHeight="1">
      <c r="B254" s="300"/>
      <c r="C254" s="400" t="s">
        <v>33</v>
      </c>
      <c r="D254" s="400">
        <v>1.0</v>
      </c>
      <c r="E254" s="337">
        <v>2700.0</v>
      </c>
      <c r="F254" s="401"/>
      <c r="G254" s="401"/>
      <c r="H254" s="402"/>
      <c r="I254" s="403"/>
      <c r="J254" s="337">
        <v>1000.0</v>
      </c>
      <c r="K254" s="404">
        <f t="shared" si="49"/>
        <v>0</v>
      </c>
      <c r="L254" s="337"/>
      <c r="M254" s="337"/>
      <c r="N254" s="405">
        <v>1700.0</v>
      </c>
      <c r="O254" s="405">
        <v>-700.0</v>
      </c>
      <c r="P254" s="406"/>
      <c r="Q254" s="71">
        <f t="shared" si="48"/>
        <v>-2094.04</v>
      </c>
      <c r="R254" s="287"/>
      <c r="W254" s="358"/>
    </row>
    <row r="255" ht="14.25" customHeight="1">
      <c r="B255" s="300"/>
      <c r="C255" s="400" t="s">
        <v>34</v>
      </c>
      <c r="D255" s="400">
        <v>1.0</v>
      </c>
      <c r="E255" s="337">
        <v>2500.0</v>
      </c>
      <c r="F255" s="401"/>
      <c r="G255" s="401"/>
      <c r="H255" s="402"/>
      <c r="I255" s="403"/>
      <c r="J255" s="337"/>
      <c r="K255" s="404"/>
      <c r="L255" s="337"/>
      <c r="M255" s="337">
        <v>2500.0</v>
      </c>
      <c r="N255" s="405"/>
      <c r="O255" s="405">
        <v>-700.0</v>
      </c>
      <c r="P255" s="406"/>
      <c r="Q255" s="71">
        <f t="shared" si="48"/>
        <v>-2794.04</v>
      </c>
      <c r="R255" s="287"/>
      <c r="W255" s="358"/>
    </row>
    <row r="256" ht="14.25" customHeight="1">
      <c r="B256" s="316"/>
      <c r="C256" s="393" t="s">
        <v>69</v>
      </c>
      <c r="D256" s="393"/>
      <c r="E256" s="353"/>
      <c r="F256" s="394"/>
      <c r="G256" s="394"/>
      <c r="H256" s="395"/>
      <c r="I256" s="396"/>
      <c r="J256" s="353"/>
      <c r="K256" s="407">
        <f t="shared" ref="K256:K264" si="50">E256-J256-L256-M256-N256-I256+F256</f>
        <v>0</v>
      </c>
      <c r="L256" s="353"/>
      <c r="M256" s="353"/>
      <c r="N256" s="397"/>
      <c r="O256" s="397"/>
      <c r="P256" s="398"/>
      <c r="Q256" s="88">
        <f t="shared" si="48"/>
        <v>-2794.04</v>
      </c>
      <c r="R256" s="310"/>
      <c r="W256" s="358"/>
    </row>
    <row r="257" ht="14.25" customHeight="1">
      <c r="B257" s="300"/>
      <c r="C257" s="400" t="s">
        <v>37</v>
      </c>
      <c r="D257" s="400">
        <v>1.0</v>
      </c>
      <c r="E257" s="337">
        <v>2800.0</v>
      </c>
      <c r="F257" s="401"/>
      <c r="G257" s="401"/>
      <c r="H257" s="402"/>
      <c r="I257" s="403"/>
      <c r="J257" s="337">
        <v>1000.0</v>
      </c>
      <c r="K257" s="404">
        <f t="shared" si="50"/>
        <v>0</v>
      </c>
      <c r="L257" s="337"/>
      <c r="M257" s="337"/>
      <c r="N257" s="405">
        <v>1800.0</v>
      </c>
      <c r="O257" s="405">
        <v>-700.0</v>
      </c>
      <c r="P257" s="406"/>
      <c r="Q257" s="71">
        <f t="shared" si="48"/>
        <v>-1694.04</v>
      </c>
      <c r="R257" s="287"/>
      <c r="W257" s="122"/>
    </row>
    <row r="258" ht="14.25" customHeight="1">
      <c r="B258" s="300"/>
      <c r="C258" s="400" t="s">
        <v>41</v>
      </c>
      <c r="D258" s="400">
        <v>1.0</v>
      </c>
      <c r="E258" s="337">
        <v>2300.0</v>
      </c>
      <c r="F258" s="401"/>
      <c r="G258" s="401"/>
      <c r="H258" s="402"/>
      <c r="I258" s="403"/>
      <c r="J258" s="337">
        <v>1000.0</v>
      </c>
      <c r="K258" s="404">
        <f t="shared" si="50"/>
        <v>0</v>
      </c>
      <c r="L258" s="337"/>
      <c r="M258" s="337">
        <v>1300.0</v>
      </c>
      <c r="N258" s="405"/>
      <c r="O258" s="405">
        <v>-700.0</v>
      </c>
      <c r="P258" s="406"/>
      <c r="Q258" s="71">
        <f t="shared" si="48"/>
        <v>-2394.04</v>
      </c>
      <c r="R258" s="287"/>
      <c r="W258" s="122"/>
    </row>
    <row r="259" ht="14.25" customHeight="1">
      <c r="B259" s="316"/>
      <c r="C259" s="393" t="s">
        <v>44</v>
      </c>
      <c r="D259" s="393"/>
      <c r="E259" s="353"/>
      <c r="F259" s="394"/>
      <c r="G259" s="394"/>
      <c r="H259" s="395"/>
      <c r="I259" s="396"/>
      <c r="J259" s="353"/>
      <c r="K259" s="407">
        <f t="shared" si="50"/>
        <v>0</v>
      </c>
      <c r="L259" s="353"/>
      <c r="M259" s="353"/>
      <c r="N259" s="397"/>
      <c r="O259" s="397"/>
      <c r="P259" s="398"/>
      <c r="Q259" s="88">
        <f t="shared" si="48"/>
        <v>-2394.04</v>
      </c>
      <c r="R259" s="310"/>
      <c r="S259" s="408"/>
      <c r="W259" s="122"/>
    </row>
    <row r="260" ht="14.25" customHeight="1">
      <c r="B260" s="300"/>
      <c r="C260" s="400" t="s">
        <v>201</v>
      </c>
      <c r="D260" s="400">
        <v>3.0</v>
      </c>
      <c r="E260" s="337">
        <v>8000.0</v>
      </c>
      <c r="F260" s="401"/>
      <c r="G260" s="337"/>
      <c r="H260" s="402"/>
      <c r="I260" s="403"/>
      <c r="J260" s="337">
        <v>2500.0</v>
      </c>
      <c r="K260" s="404">
        <f t="shared" si="50"/>
        <v>0</v>
      </c>
      <c r="L260" s="337"/>
      <c r="M260" s="337"/>
      <c r="N260" s="405">
        <v>5500.0</v>
      </c>
      <c r="O260" s="405">
        <v>-700.0</v>
      </c>
      <c r="P260" s="406"/>
      <c r="Q260" s="71">
        <f t="shared" si="48"/>
        <v>2405.96</v>
      </c>
      <c r="R260" s="287"/>
      <c r="U260" s="387"/>
      <c r="V260" s="387"/>
      <c r="W260" s="388"/>
      <c r="X260" s="387"/>
    </row>
    <row r="261" ht="14.25" customHeight="1">
      <c r="B261" s="300"/>
      <c r="C261" s="400" t="s">
        <v>73</v>
      </c>
      <c r="D261" s="400">
        <v>1.0</v>
      </c>
      <c r="E261" s="337">
        <v>2500.0</v>
      </c>
      <c r="F261" s="401"/>
      <c r="G261" s="337"/>
      <c r="H261" s="402"/>
      <c r="I261" s="403"/>
      <c r="J261" s="337">
        <v>1000.0</v>
      </c>
      <c r="K261" s="404">
        <f t="shared" si="50"/>
        <v>0</v>
      </c>
      <c r="L261" s="337"/>
      <c r="M261" s="337"/>
      <c r="N261" s="405">
        <v>1500.0</v>
      </c>
      <c r="O261" s="405">
        <v>-700.0</v>
      </c>
      <c r="P261" s="406"/>
      <c r="Q261" s="71">
        <f t="shared" si="48"/>
        <v>3205.96</v>
      </c>
      <c r="R261" s="287"/>
      <c r="U261" s="387"/>
      <c r="V261" s="387"/>
      <c r="W261" s="388"/>
      <c r="X261" s="387"/>
    </row>
    <row r="262" ht="14.25" customHeight="1">
      <c r="B262" s="300"/>
      <c r="C262" s="400" t="s">
        <v>49</v>
      </c>
      <c r="D262" s="400">
        <v>1.0</v>
      </c>
      <c r="E262" s="337">
        <v>4000.0</v>
      </c>
      <c r="F262" s="337">
        <v>400.0</v>
      </c>
      <c r="G262" s="401"/>
      <c r="H262" s="402"/>
      <c r="I262" s="403"/>
      <c r="J262" s="337">
        <v>900.0</v>
      </c>
      <c r="K262" s="404">
        <f t="shared" si="50"/>
        <v>0</v>
      </c>
      <c r="L262" s="337"/>
      <c r="M262" s="337">
        <v>3500.0</v>
      </c>
      <c r="N262" s="405"/>
      <c r="O262" s="405">
        <v>-700.0</v>
      </c>
      <c r="P262" s="405">
        <v>-500.0</v>
      </c>
      <c r="Q262" s="71">
        <f t="shared" si="48"/>
        <v>2005.96</v>
      </c>
      <c r="R262" s="287" t="s">
        <v>217</v>
      </c>
      <c r="W262" s="358"/>
    </row>
    <row r="263" ht="14.25" customHeight="1">
      <c r="B263" s="300"/>
      <c r="C263" s="400"/>
      <c r="D263" s="400"/>
      <c r="E263" s="337"/>
      <c r="F263" s="401"/>
      <c r="G263" s="401"/>
      <c r="H263" s="402"/>
      <c r="I263" s="403"/>
      <c r="J263" s="337"/>
      <c r="K263" s="404">
        <f t="shared" si="50"/>
        <v>0</v>
      </c>
      <c r="L263" s="337"/>
      <c r="M263" s="337"/>
      <c r="N263" s="405"/>
      <c r="O263" s="405"/>
      <c r="P263" s="406"/>
      <c r="Q263" s="71">
        <f t="shared" si="48"/>
        <v>2005.96</v>
      </c>
      <c r="R263" s="287" t="s">
        <v>218</v>
      </c>
      <c r="W263" s="358"/>
    </row>
    <row r="264" ht="14.25" customHeight="1">
      <c r="B264" s="300"/>
      <c r="C264" s="400"/>
      <c r="D264" s="400"/>
      <c r="E264" s="337"/>
      <c r="F264" s="401"/>
      <c r="G264" s="401"/>
      <c r="H264" s="402"/>
      <c r="I264" s="403"/>
      <c r="J264" s="337"/>
      <c r="K264" s="404">
        <f t="shared" si="50"/>
        <v>0</v>
      </c>
      <c r="L264" s="337"/>
      <c r="M264" s="337"/>
      <c r="N264" s="405"/>
      <c r="O264" s="405"/>
      <c r="P264" s="287">
        <v>-500.0</v>
      </c>
      <c r="Q264" s="71">
        <f t="shared" si="48"/>
        <v>1505.96</v>
      </c>
      <c r="R264" s="287" t="s">
        <v>93</v>
      </c>
      <c r="T264" s="287" t="s">
        <v>208</v>
      </c>
      <c r="U264" s="287"/>
      <c r="W264" s="358"/>
    </row>
    <row r="265" ht="14.25" customHeight="1">
      <c r="B265" s="297" t="s">
        <v>214</v>
      </c>
      <c r="C265" s="246" t="s">
        <v>80</v>
      </c>
      <c r="D265" s="246">
        <f t="shared" ref="D265:P265" si="51">sum(D244:D264)</f>
        <v>14</v>
      </c>
      <c r="E265" s="247">
        <f t="shared" si="51"/>
        <v>37500</v>
      </c>
      <c r="F265" s="247">
        <f t="shared" si="51"/>
        <v>1200</v>
      </c>
      <c r="G265" s="247">
        <f t="shared" si="51"/>
        <v>0</v>
      </c>
      <c r="H265" s="247">
        <f t="shared" si="51"/>
        <v>0</v>
      </c>
      <c r="I265" s="247">
        <f t="shared" si="51"/>
        <v>0</v>
      </c>
      <c r="J265" s="247">
        <f t="shared" si="51"/>
        <v>13150</v>
      </c>
      <c r="K265" s="247">
        <f t="shared" si="51"/>
        <v>0</v>
      </c>
      <c r="L265" s="247">
        <f t="shared" si="51"/>
        <v>0</v>
      </c>
      <c r="M265" s="247">
        <f t="shared" si="51"/>
        <v>11100</v>
      </c>
      <c r="N265" s="247">
        <f t="shared" si="51"/>
        <v>14100</v>
      </c>
      <c r="O265" s="247">
        <f t="shared" si="51"/>
        <v>-8400</v>
      </c>
      <c r="P265" s="247">
        <f t="shared" si="51"/>
        <v>-650</v>
      </c>
      <c r="Q265" s="365">
        <f>Q264</f>
        <v>1505.96</v>
      </c>
      <c r="R265" s="250"/>
      <c r="U265" s="117"/>
      <c r="V265" s="119"/>
      <c r="W265" s="122"/>
    </row>
    <row r="266" ht="14.25" customHeight="1">
      <c r="B266" s="409" t="s">
        <v>40</v>
      </c>
      <c r="C266" s="392">
        <v>46024.0</v>
      </c>
      <c r="D266" s="393"/>
      <c r="E266" s="353"/>
      <c r="F266" s="394"/>
      <c r="G266" s="394"/>
      <c r="H266" s="395"/>
      <c r="I266" s="396"/>
      <c r="J266" s="353"/>
      <c r="K266" s="199">
        <f t="shared" ref="K266:K288" si="52">E266-J266-L266-M266-N266-I266+F266</f>
        <v>0</v>
      </c>
      <c r="L266" s="353"/>
      <c r="M266" s="353"/>
      <c r="N266" s="397"/>
      <c r="O266" s="397"/>
      <c r="P266" s="397"/>
      <c r="Q266" s="410">
        <f t="shared" ref="Q266:Q288" si="53">Q265+N266+O266+P266</f>
        <v>1505.96</v>
      </c>
      <c r="R266" s="398"/>
      <c r="W266" s="122"/>
    </row>
    <row r="267" ht="14.25" customHeight="1">
      <c r="B267" s="411"/>
      <c r="C267" s="399">
        <v>46057.0</v>
      </c>
      <c r="D267" s="400">
        <v>2.0</v>
      </c>
      <c r="E267" s="337">
        <v>4500.0</v>
      </c>
      <c r="F267" s="401"/>
      <c r="G267" s="401"/>
      <c r="H267" s="402"/>
      <c r="I267" s="403"/>
      <c r="J267" s="337">
        <v>1500.0</v>
      </c>
      <c r="K267" s="404">
        <f t="shared" si="52"/>
        <v>0</v>
      </c>
      <c r="L267" s="337">
        <v>3000.0</v>
      </c>
      <c r="M267" s="337"/>
      <c r="N267" s="405"/>
      <c r="O267" s="405">
        <v>-700.0</v>
      </c>
      <c r="P267" s="405"/>
      <c r="Q267" s="412">
        <f t="shared" si="53"/>
        <v>805.96</v>
      </c>
      <c r="R267" s="406"/>
      <c r="W267" s="122"/>
    </row>
    <row r="268" ht="14.25" customHeight="1">
      <c r="B268" s="409"/>
      <c r="C268" s="392">
        <v>46117.0</v>
      </c>
      <c r="D268" s="393"/>
      <c r="E268" s="353"/>
      <c r="F268" s="394"/>
      <c r="G268" s="394"/>
      <c r="H268" s="395"/>
      <c r="I268" s="396"/>
      <c r="J268" s="353"/>
      <c r="K268" s="407">
        <f t="shared" si="52"/>
        <v>0</v>
      </c>
      <c r="L268" s="353"/>
      <c r="M268" s="353"/>
      <c r="N268" s="397"/>
      <c r="O268" s="397"/>
      <c r="P268" s="397"/>
      <c r="Q268" s="410">
        <f t="shared" si="53"/>
        <v>805.96</v>
      </c>
      <c r="R268" s="398"/>
      <c r="W268" s="122"/>
    </row>
    <row r="269" ht="14.25" customHeight="1">
      <c r="B269" s="411"/>
      <c r="C269" s="399">
        <v>46148.0</v>
      </c>
      <c r="D269" s="400">
        <v>1.0</v>
      </c>
      <c r="E269" s="337">
        <v>2000.0</v>
      </c>
      <c r="F269" s="337">
        <v>450.0</v>
      </c>
      <c r="G269" s="401"/>
      <c r="H269" s="402"/>
      <c r="I269" s="403"/>
      <c r="J269" s="337"/>
      <c r="K269" s="404">
        <f t="shared" si="52"/>
        <v>0</v>
      </c>
      <c r="L269" s="337"/>
      <c r="M269" s="337"/>
      <c r="N269" s="405">
        <v>2450.0</v>
      </c>
      <c r="O269" s="405">
        <v>-700.0</v>
      </c>
      <c r="P269" s="405"/>
      <c r="Q269" s="412">
        <f t="shared" si="53"/>
        <v>2555.96</v>
      </c>
      <c r="R269" s="406"/>
      <c r="W269" s="122"/>
    </row>
    <row r="270" ht="14.25" customHeight="1">
      <c r="B270" s="411"/>
      <c r="C270" s="399">
        <v>46180.0</v>
      </c>
      <c r="D270" s="400">
        <v>1.0</v>
      </c>
      <c r="E270" s="337">
        <v>3000.0</v>
      </c>
      <c r="F270" s="401"/>
      <c r="G270" s="401"/>
      <c r="H270" s="402"/>
      <c r="I270" s="403"/>
      <c r="J270" s="337">
        <v>1000.0</v>
      </c>
      <c r="K270" s="404">
        <f t="shared" si="52"/>
        <v>0</v>
      </c>
      <c r="L270" s="337"/>
      <c r="M270" s="337"/>
      <c r="N270" s="405">
        <v>2000.0</v>
      </c>
      <c r="O270" s="405">
        <v>-700.0</v>
      </c>
      <c r="P270" s="405"/>
      <c r="Q270" s="412">
        <f t="shared" si="53"/>
        <v>3855.96</v>
      </c>
      <c r="R270" s="406"/>
      <c r="W270" s="122"/>
    </row>
    <row r="271" ht="14.25" customHeight="1">
      <c r="B271" s="411"/>
      <c r="C271" s="399">
        <v>46211.0</v>
      </c>
      <c r="D271" s="400">
        <v>1.0</v>
      </c>
      <c r="E271" s="337">
        <v>2800.0</v>
      </c>
      <c r="F271" s="337"/>
      <c r="G271" s="401"/>
      <c r="H271" s="402"/>
      <c r="I271" s="403"/>
      <c r="J271" s="337">
        <v>1000.0</v>
      </c>
      <c r="K271" s="404">
        <f t="shared" si="52"/>
        <v>0</v>
      </c>
      <c r="L271" s="337"/>
      <c r="M271" s="337">
        <v>1800.0</v>
      </c>
      <c r="N271" s="405"/>
      <c r="O271" s="405">
        <v>-700.0</v>
      </c>
      <c r="P271" s="405"/>
      <c r="Q271" s="412">
        <f t="shared" si="53"/>
        <v>3155.96</v>
      </c>
      <c r="R271" s="406"/>
      <c r="W271" s="122"/>
    </row>
    <row r="272" ht="14.25" customHeight="1">
      <c r="B272" s="409"/>
      <c r="C272" s="392">
        <v>46246.0</v>
      </c>
      <c r="D272" s="393"/>
      <c r="E272" s="353"/>
      <c r="F272" s="394"/>
      <c r="G272" s="394"/>
      <c r="H272" s="395"/>
      <c r="I272" s="396"/>
      <c r="J272" s="353"/>
      <c r="K272" s="407">
        <f t="shared" si="52"/>
        <v>0</v>
      </c>
      <c r="L272" s="353"/>
      <c r="M272" s="353"/>
      <c r="N272" s="397"/>
      <c r="O272" s="397"/>
      <c r="P272" s="397"/>
      <c r="Q272" s="410">
        <f t="shared" si="53"/>
        <v>3155.96</v>
      </c>
      <c r="R272" s="398"/>
      <c r="W272" s="122"/>
    </row>
    <row r="273" ht="14.25" customHeight="1">
      <c r="B273" s="411"/>
      <c r="C273" s="399">
        <v>46369.0</v>
      </c>
      <c r="D273" s="400">
        <v>1.0</v>
      </c>
      <c r="E273" s="337">
        <v>2300.0</v>
      </c>
      <c r="F273" s="401"/>
      <c r="G273" s="401"/>
      <c r="H273" s="402"/>
      <c r="I273" s="403"/>
      <c r="J273" s="337">
        <v>500.0</v>
      </c>
      <c r="K273" s="404">
        <f t="shared" si="52"/>
        <v>0</v>
      </c>
      <c r="L273" s="337"/>
      <c r="M273" s="337"/>
      <c r="N273" s="405">
        <v>1800.0</v>
      </c>
      <c r="O273" s="405">
        <v>-700.0</v>
      </c>
      <c r="P273" s="405"/>
      <c r="Q273" s="412">
        <f t="shared" si="53"/>
        <v>4255.96</v>
      </c>
      <c r="R273" s="406"/>
      <c r="W273" s="358"/>
    </row>
    <row r="274" ht="14.25" customHeight="1">
      <c r="B274" s="411"/>
      <c r="C274" s="400" t="s">
        <v>117</v>
      </c>
      <c r="D274" s="400">
        <v>2.0</v>
      </c>
      <c r="E274" s="337">
        <v>4500.0</v>
      </c>
      <c r="F274" s="401"/>
      <c r="G274" s="401"/>
      <c r="H274" s="402"/>
      <c r="I274" s="403"/>
      <c r="J274" s="337">
        <v>1500.0</v>
      </c>
      <c r="K274" s="404">
        <f t="shared" si="52"/>
        <v>0</v>
      </c>
      <c r="L274" s="337"/>
      <c r="M274" s="337"/>
      <c r="N274" s="405">
        <v>3000.0</v>
      </c>
      <c r="O274" s="405">
        <v>-700.0</v>
      </c>
      <c r="P274" s="405"/>
      <c r="Q274" s="412">
        <f t="shared" si="53"/>
        <v>6555.96</v>
      </c>
      <c r="R274" s="406"/>
      <c r="W274" s="358"/>
    </row>
    <row r="275" ht="14.25" customHeight="1">
      <c r="B275" s="409"/>
      <c r="C275" s="393" t="s">
        <v>54</v>
      </c>
      <c r="D275" s="393"/>
      <c r="E275" s="353"/>
      <c r="F275" s="394"/>
      <c r="G275" s="394"/>
      <c r="H275" s="395"/>
      <c r="I275" s="396"/>
      <c r="J275" s="353"/>
      <c r="K275" s="407">
        <f t="shared" si="52"/>
        <v>0</v>
      </c>
      <c r="L275" s="353"/>
      <c r="M275" s="353"/>
      <c r="N275" s="397"/>
      <c r="O275" s="397"/>
      <c r="P275" s="397"/>
      <c r="Q275" s="410">
        <f t="shared" si="53"/>
        <v>6555.96</v>
      </c>
      <c r="R275" s="398"/>
      <c r="W275" s="358"/>
    </row>
    <row r="276" ht="14.25" customHeight="1">
      <c r="B276" s="411"/>
      <c r="C276" s="400" t="s">
        <v>32</v>
      </c>
      <c r="D276" s="400">
        <v>1.0</v>
      </c>
      <c r="E276" s="337">
        <v>2000.0</v>
      </c>
      <c r="F276" s="401"/>
      <c r="G276" s="401"/>
      <c r="H276" s="402"/>
      <c r="I276" s="403"/>
      <c r="J276" s="337">
        <v>1000.0</v>
      </c>
      <c r="K276" s="404">
        <f t="shared" si="52"/>
        <v>0</v>
      </c>
      <c r="L276" s="337"/>
      <c r="M276" s="337"/>
      <c r="N276" s="405">
        <v>1000.0</v>
      </c>
      <c r="O276" s="405">
        <v>-700.0</v>
      </c>
      <c r="P276" s="405"/>
      <c r="Q276" s="412">
        <f t="shared" si="53"/>
        <v>6855.96</v>
      </c>
      <c r="R276" s="406"/>
      <c r="W276" s="358"/>
    </row>
    <row r="277" ht="14.25" customHeight="1">
      <c r="B277" s="409"/>
      <c r="C277" s="393" t="s">
        <v>33</v>
      </c>
      <c r="D277" s="393"/>
      <c r="E277" s="353"/>
      <c r="F277" s="394"/>
      <c r="G277" s="394"/>
      <c r="H277" s="395"/>
      <c r="I277" s="396"/>
      <c r="J277" s="353"/>
      <c r="K277" s="407">
        <f t="shared" si="52"/>
        <v>0</v>
      </c>
      <c r="L277" s="353"/>
      <c r="M277" s="353"/>
      <c r="N277" s="397"/>
      <c r="O277" s="397"/>
      <c r="P277" s="397"/>
      <c r="Q277" s="410">
        <f t="shared" si="53"/>
        <v>6855.96</v>
      </c>
      <c r="R277" s="398"/>
      <c r="W277" s="358"/>
    </row>
    <row r="278" ht="14.25" customHeight="1">
      <c r="B278" s="411"/>
      <c r="C278" s="400" t="s">
        <v>64</v>
      </c>
      <c r="D278" s="400">
        <v>2.0</v>
      </c>
      <c r="E278" s="337">
        <v>6400.0</v>
      </c>
      <c r="F278" s="401"/>
      <c r="G278" s="401"/>
      <c r="H278" s="402"/>
      <c r="I278" s="403"/>
      <c r="J278" s="337">
        <v>1500.0</v>
      </c>
      <c r="K278" s="404">
        <f t="shared" si="52"/>
        <v>0</v>
      </c>
      <c r="L278" s="337"/>
      <c r="M278" s="337">
        <v>4900.0</v>
      </c>
      <c r="N278" s="405"/>
      <c r="O278" s="405">
        <v>-700.0</v>
      </c>
      <c r="P278" s="405"/>
      <c r="Q278" s="412">
        <f t="shared" si="53"/>
        <v>6155.96</v>
      </c>
      <c r="R278" s="406"/>
      <c r="W278" s="122"/>
    </row>
    <row r="279" ht="14.25" customHeight="1">
      <c r="B279" s="411"/>
      <c r="C279" s="400" t="s">
        <v>78</v>
      </c>
      <c r="D279" s="400">
        <v>2.0</v>
      </c>
      <c r="E279" s="337">
        <f>4700</f>
        <v>4700</v>
      </c>
      <c r="F279" s="401"/>
      <c r="G279" s="401"/>
      <c r="H279" s="402" t="s">
        <v>226</v>
      </c>
      <c r="I279" s="403"/>
      <c r="J279" s="337">
        <v>2000.0</v>
      </c>
      <c r="K279" s="404">
        <f t="shared" si="52"/>
        <v>0</v>
      </c>
      <c r="L279" s="337"/>
      <c r="M279" s="337"/>
      <c r="N279" s="405">
        <v>2700.0</v>
      </c>
      <c r="O279" s="405">
        <v>-700.0</v>
      </c>
      <c r="P279" s="405"/>
      <c r="Q279" s="412">
        <f t="shared" si="53"/>
        <v>8155.96</v>
      </c>
      <c r="R279" s="406"/>
      <c r="W279" s="122"/>
    </row>
    <row r="280" ht="14.25" customHeight="1">
      <c r="B280" s="411"/>
      <c r="C280" s="400" t="s">
        <v>41</v>
      </c>
      <c r="D280" s="400">
        <v>1.0</v>
      </c>
      <c r="E280" s="337">
        <v>2500.0</v>
      </c>
      <c r="F280" s="401"/>
      <c r="G280" s="401"/>
      <c r="H280" s="402"/>
      <c r="I280" s="403"/>
      <c r="J280" s="337">
        <v>1000.0</v>
      </c>
      <c r="K280" s="404">
        <f t="shared" si="52"/>
        <v>0</v>
      </c>
      <c r="L280" s="337"/>
      <c r="M280" s="337"/>
      <c r="N280" s="405">
        <v>1500.0</v>
      </c>
      <c r="O280" s="405">
        <v>-700.0</v>
      </c>
      <c r="P280" s="405"/>
      <c r="Q280" s="412">
        <f t="shared" si="53"/>
        <v>8955.96</v>
      </c>
      <c r="R280" s="406"/>
      <c r="W280" s="122"/>
    </row>
    <row r="281" ht="14.25" customHeight="1">
      <c r="B281" s="411"/>
      <c r="C281" s="400" t="s">
        <v>44</v>
      </c>
      <c r="D281" s="400">
        <v>1.0</v>
      </c>
      <c r="E281" s="337">
        <v>3285.76</v>
      </c>
      <c r="F281" s="401"/>
      <c r="G281" s="337"/>
      <c r="H281" s="402" t="s">
        <v>53</v>
      </c>
      <c r="I281" s="403"/>
      <c r="J281" s="337"/>
      <c r="K281" s="404">
        <f t="shared" si="52"/>
        <v>0</v>
      </c>
      <c r="L281" s="337">
        <v>3285.76</v>
      </c>
      <c r="M281" s="337"/>
      <c r="N281" s="405"/>
      <c r="O281" s="405">
        <v>-700.0</v>
      </c>
      <c r="P281" s="405"/>
      <c r="Q281" s="412">
        <f t="shared" si="53"/>
        <v>8255.96</v>
      </c>
      <c r="R281" s="406"/>
      <c r="U281" s="387"/>
      <c r="V281" s="387"/>
      <c r="W281" s="388"/>
      <c r="X281" s="387"/>
    </row>
    <row r="282" ht="14.25" customHeight="1">
      <c r="B282" s="411"/>
      <c r="C282" s="400" t="s">
        <v>45</v>
      </c>
      <c r="D282" s="400">
        <v>1.0</v>
      </c>
      <c r="E282" s="337">
        <v>3500.0</v>
      </c>
      <c r="F282" s="401"/>
      <c r="G282" s="337"/>
      <c r="H282" s="402"/>
      <c r="I282" s="403"/>
      <c r="J282" s="337">
        <v>1000.0</v>
      </c>
      <c r="K282" s="404">
        <f t="shared" si="52"/>
        <v>0</v>
      </c>
      <c r="L282" s="337"/>
      <c r="M282" s="337"/>
      <c r="N282" s="405">
        <v>2500.0</v>
      </c>
      <c r="O282" s="405">
        <v>-700.0</v>
      </c>
      <c r="P282" s="405"/>
      <c r="Q282" s="412">
        <f t="shared" si="53"/>
        <v>10055.96</v>
      </c>
      <c r="R282" s="406"/>
      <c r="U282" s="387"/>
      <c r="V282" s="387"/>
      <c r="W282" s="388"/>
      <c r="X282" s="387"/>
    </row>
    <row r="283" ht="14.25" customHeight="1">
      <c r="B283" s="411"/>
      <c r="C283" s="400" t="s">
        <v>47</v>
      </c>
      <c r="D283" s="400">
        <v>1.0</v>
      </c>
      <c r="E283" s="337">
        <v>2700.0</v>
      </c>
      <c r="F283" s="337"/>
      <c r="G283" s="401"/>
      <c r="H283" s="402"/>
      <c r="I283" s="403"/>
      <c r="J283" s="337">
        <v>1000.0</v>
      </c>
      <c r="K283" s="404">
        <f t="shared" si="52"/>
        <v>0</v>
      </c>
      <c r="L283" s="337"/>
      <c r="M283" s="337">
        <v>1700.0</v>
      </c>
      <c r="N283" s="405"/>
      <c r="O283" s="405">
        <v>-700.0</v>
      </c>
      <c r="P283" s="405"/>
      <c r="Q283" s="412">
        <f t="shared" si="53"/>
        <v>9355.96</v>
      </c>
      <c r="R283" s="406"/>
      <c r="W283" s="358"/>
    </row>
    <row r="284" ht="14.25" customHeight="1">
      <c r="B284" s="411"/>
      <c r="C284" s="400" t="s">
        <v>72</v>
      </c>
      <c r="D284" s="400">
        <v>1.0</v>
      </c>
      <c r="E284" s="337">
        <v>2800.0</v>
      </c>
      <c r="F284" s="401"/>
      <c r="G284" s="401"/>
      <c r="H284" s="402"/>
      <c r="I284" s="403"/>
      <c r="J284" s="337">
        <v>1000.0</v>
      </c>
      <c r="K284" s="404">
        <f t="shared" si="52"/>
        <v>0</v>
      </c>
      <c r="L284" s="337"/>
      <c r="M284" s="337"/>
      <c r="N284" s="405">
        <v>1800.0</v>
      </c>
      <c r="O284" s="405">
        <v>-700.0</v>
      </c>
      <c r="P284" s="405"/>
      <c r="Q284" s="412">
        <f t="shared" si="53"/>
        <v>10455.96</v>
      </c>
      <c r="R284" s="406"/>
      <c r="W284" s="358"/>
    </row>
    <row r="285" ht="14.25" customHeight="1">
      <c r="B285" s="411"/>
      <c r="C285" s="400" t="s">
        <v>88</v>
      </c>
      <c r="D285" s="400">
        <v>2.0</v>
      </c>
      <c r="E285" s="337">
        <v>5400.0</v>
      </c>
      <c r="F285" s="401"/>
      <c r="G285" s="401"/>
      <c r="H285" s="402" t="s">
        <v>230</v>
      </c>
      <c r="I285" s="403"/>
      <c r="J285" s="337">
        <v>2000.0</v>
      </c>
      <c r="K285" s="404">
        <f t="shared" si="52"/>
        <v>0</v>
      </c>
      <c r="L285" s="337"/>
      <c r="M285" s="337"/>
      <c r="N285" s="405">
        <v>3400.0</v>
      </c>
      <c r="O285" s="405">
        <v>-700.0</v>
      </c>
      <c r="P285" s="405"/>
      <c r="Q285" s="412">
        <f t="shared" si="53"/>
        <v>13155.96</v>
      </c>
      <c r="R285" s="406"/>
      <c r="W285" s="358"/>
    </row>
    <row r="286" ht="14.25" customHeight="1">
      <c r="B286" s="411"/>
      <c r="C286" s="400" t="s">
        <v>75</v>
      </c>
      <c r="D286" s="400">
        <v>2.0</v>
      </c>
      <c r="E286" s="337">
        <v>5112.26</v>
      </c>
      <c r="F286" s="401"/>
      <c r="G286" s="401"/>
      <c r="H286" s="402" t="s">
        <v>53</v>
      </c>
      <c r="I286" s="403"/>
      <c r="J286" s="337"/>
      <c r="K286" s="404">
        <f t="shared" si="52"/>
        <v>0</v>
      </c>
      <c r="L286" s="337">
        <v>5112.26</v>
      </c>
      <c r="M286" s="337"/>
      <c r="N286" s="405"/>
      <c r="O286" s="405">
        <v>-700.0</v>
      </c>
      <c r="P286" s="405"/>
      <c r="Q286" s="412">
        <f t="shared" si="53"/>
        <v>12455.96</v>
      </c>
      <c r="R286" s="406"/>
      <c r="S286" s="415"/>
      <c r="T286" s="415"/>
      <c r="U286" s="415"/>
      <c r="V286" s="415"/>
      <c r="W286" s="358"/>
    </row>
    <row r="287" ht="14.25" customHeight="1">
      <c r="B287" s="411"/>
      <c r="C287" s="400"/>
      <c r="D287" s="400"/>
      <c r="E287" s="337"/>
      <c r="F287" s="401"/>
      <c r="G287" s="401"/>
      <c r="H287" s="402"/>
      <c r="I287" s="403"/>
      <c r="J287" s="337"/>
      <c r="K287" s="404">
        <f t="shared" si="52"/>
        <v>0</v>
      </c>
      <c r="L287" s="337"/>
      <c r="M287" s="337"/>
      <c r="N287" s="405"/>
      <c r="O287" s="405"/>
      <c r="P287" s="405">
        <v>-5335.05</v>
      </c>
      <c r="Q287" s="412">
        <f t="shared" si="53"/>
        <v>7120.91</v>
      </c>
      <c r="R287" s="405" t="s">
        <v>208</v>
      </c>
      <c r="S287" s="415"/>
      <c r="T287" s="415"/>
      <c r="U287" s="415"/>
      <c r="V287" s="415"/>
      <c r="W287" s="358"/>
    </row>
    <row r="288" ht="14.25" customHeight="1">
      <c r="B288" s="411"/>
      <c r="C288" s="400"/>
      <c r="D288" s="400"/>
      <c r="E288" s="337"/>
      <c r="F288" s="401"/>
      <c r="G288" s="401"/>
      <c r="H288" s="402"/>
      <c r="I288" s="403"/>
      <c r="J288" s="337"/>
      <c r="K288" s="404">
        <f t="shared" si="52"/>
        <v>0</v>
      </c>
      <c r="L288" s="337"/>
      <c r="M288" s="337"/>
      <c r="N288" s="405"/>
      <c r="O288" s="405"/>
      <c r="P288" s="405">
        <v>-147.0</v>
      </c>
      <c r="Q288" s="412">
        <f t="shared" si="53"/>
        <v>6973.91</v>
      </c>
      <c r="R288" s="405" t="s">
        <v>113</v>
      </c>
      <c r="S288" s="415"/>
      <c r="T288" s="416" t="s">
        <v>208</v>
      </c>
      <c r="U288" s="416">
        <v>4995.46</v>
      </c>
      <c r="V288" s="415"/>
      <c r="W288" s="358"/>
    </row>
    <row r="289" ht="14.25" customHeight="1">
      <c r="B289" s="417" t="s">
        <v>40</v>
      </c>
      <c r="C289" s="418" t="s">
        <v>80</v>
      </c>
      <c r="D289" s="418">
        <f t="shared" ref="D289:P289" si="54">sum(D266:D288)</f>
        <v>22</v>
      </c>
      <c r="E289" s="419">
        <f t="shared" si="54"/>
        <v>57498.02</v>
      </c>
      <c r="F289" s="419">
        <f t="shared" si="54"/>
        <v>450</v>
      </c>
      <c r="G289" s="419">
        <f t="shared" si="54"/>
        <v>0</v>
      </c>
      <c r="H289" s="419">
        <f t="shared" si="54"/>
        <v>0</v>
      </c>
      <c r="I289" s="419">
        <f t="shared" si="54"/>
        <v>0</v>
      </c>
      <c r="J289" s="419">
        <f t="shared" si="54"/>
        <v>16000</v>
      </c>
      <c r="K289" s="419">
        <f t="shared" si="54"/>
        <v>0</v>
      </c>
      <c r="L289" s="419">
        <f t="shared" si="54"/>
        <v>11398.02</v>
      </c>
      <c r="M289" s="419">
        <f t="shared" si="54"/>
        <v>8400</v>
      </c>
      <c r="N289" s="419">
        <f t="shared" si="54"/>
        <v>22150</v>
      </c>
      <c r="O289" s="419">
        <f t="shared" si="54"/>
        <v>-11200</v>
      </c>
      <c r="P289" s="419">
        <f t="shared" si="54"/>
        <v>-5482.05</v>
      </c>
      <c r="Q289" s="419">
        <f>Q288</f>
        <v>6973.91</v>
      </c>
      <c r="R289" s="420"/>
      <c r="S289" s="415"/>
      <c r="T289" s="415"/>
      <c r="U289" s="421"/>
      <c r="V289" s="422"/>
      <c r="W289" s="122"/>
    </row>
    <row r="290" ht="14.25" customHeight="1">
      <c r="B290" s="411" t="s">
        <v>96</v>
      </c>
      <c r="C290" s="399">
        <v>46024.0</v>
      </c>
      <c r="D290" s="400">
        <v>1.0</v>
      </c>
      <c r="E290" s="337">
        <v>2800.0</v>
      </c>
      <c r="F290" s="401"/>
      <c r="G290" s="401"/>
      <c r="H290" s="402" t="s">
        <v>238</v>
      </c>
      <c r="I290" s="403"/>
      <c r="J290" s="337">
        <v>1000.0</v>
      </c>
      <c r="K290" s="404">
        <f t="shared" ref="K290:K293" si="55">E290-J290-L290-M290-N290-I290+F290</f>
        <v>-1050</v>
      </c>
      <c r="L290" s="337"/>
      <c r="M290" s="337"/>
      <c r="N290" s="405">
        <v>2850.0</v>
      </c>
      <c r="O290" s="405">
        <v>-700.0</v>
      </c>
      <c r="P290" s="405"/>
      <c r="Q290" s="412">
        <f t="shared" ref="Q290:Q308" si="56">Q289+N290+O290+P290</f>
        <v>9123.91</v>
      </c>
      <c r="R290" s="406"/>
      <c r="S290" s="415"/>
      <c r="T290" s="416"/>
      <c r="U290" s="416"/>
      <c r="V290" s="415"/>
      <c r="W290" s="358"/>
    </row>
    <row r="291" ht="14.25" customHeight="1">
      <c r="A291" s="423"/>
      <c r="B291" s="424"/>
      <c r="C291" s="425">
        <v>46056.0</v>
      </c>
      <c r="D291" s="426">
        <v>1.0</v>
      </c>
      <c r="E291" s="427">
        <v>4200.0</v>
      </c>
      <c r="F291" s="428"/>
      <c r="G291" s="428"/>
      <c r="H291" s="424"/>
      <c r="I291" s="429"/>
      <c r="J291" s="427">
        <v>1000.0</v>
      </c>
      <c r="K291" s="431">
        <f t="shared" si="55"/>
        <v>0</v>
      </c>
      <c r="L291" s="428"/>
      <c r="M291" s="428"/>
      <c r="N291" s="432">
        <v>3200.0</v>
      </c>
      <c r="O291" s="433">
        <v>-700.0</v>
      </c>
      <c r="P291" s="434"/>
      <c r="Q291" s="435">
        <f t="shared" si="56"/>
        <v>11623.91</v>
      </c>
      <c r="R291" s="434"/>
      <c r="S291" s="436"/>
      <c r="T291" s="436"/>
      <c r="U291" s="437"/>
      <c r="V291" s="437"/>
      <c r="W291" s="438"/>
      <c r="X291" s="423"/>
      <c r="Y291" s="423"/>
      <c r="Z291" s="423"/>
      <c r="AA291" s="423"/>
    </row>
    <row r="292" ht="14.25" customHeight="1">
      <c r="A292" s="423"/>
      <c r="B292" s="424"/>
      <c r="C292" s="425">
        <v>46085.0</v>
      </c>
      <c r="D292" s="426">
        <v>1.0</v>
      </c>
      <c r="E292" s="427">
        <v>2800.0</v>
      </c>
      <c r="F292" s="428"/>
      <c r="G292" s="428"/>
      <c r="H292" s="439"/>
      <c r="I292" s="429"/>
      <c r="J292" s="427">
        <v>1000.0</v>
      </c>
      <c r="K292" s="431">
        <f t="shared" si="55"/>
        <v>0</v>
      </c>
      <c r="L292" s="428"/>
      <c r="M292" s="428"/>
      <c r="N292" s="440">
        <v>1800.0</v>
      </c>
      <c r="O292" s="433">
        <v>-700.0</v>
      </c>
      <c r="P292" s="434"/>
      <c r="Q292" s="435">
        <f t="shared" si="56"/>
        <v>12723.91</v>
      </c>
      <c r="R292" s="434"/>
      <c r="S292" s="436"/>
      <c r="T292" s="436"/>
      <c r="U292" s="437"/>
      <c r="V292" s="437"/>
      <c r="W292" s="438"/>
      <c r="X292" s="423"/>
      <c r="Y292" s="423"/>
      <c r="Z292" s="423"/>
      <c r="AA292" s="423"/>
    </row>
    <row r="293" ht="14.25" customHeight="1">
      <c r="A293" s="423"/>
      <c r="B293" s="424"/>
      <c r="C293" s="425">
        <v>46117.0</v>
      </c>
      <c r="D293" s="426">
        <v>1.0</v>
      </c>
      <c r="E293" s="427">
        <v>2500.0</v>
      </c>
      <c r="F293" s="428"/>
      <c r="G293" s="428"/>
      <c r="H293" s="439"/>
      <c r="I293" s="429"/>
      <c r="J293" s="427">
        <v>1000.0</v>
      </c>
      <c r="K293" s="431">
        <f t="shared" si="55"/>
        <v>0</v>
      </c>
      <c r="L293" s="428"/>
      <c r="M293" s="441">
        <v>1500.0</v>
      </c>
      <c r="N293" s="432"/>
      <c r="O293" s="433">
        <v>-700.0</v>
      </c>
      <c r="P293" s="434"/>
      <c r="Q293" s="435">
        <f t="shared" si="56"/>
        <v>12023.91</v>
      </c>
      <c r="R293" s="434"/>
      <c r="S293" s="436"/>
      <c r="T293" s="436"/>
      <c r="U293" s="437"/>
      <c r="V293" s="437"/>
      <c r="W293" s="438"/>
      <c r="X293" s="423"/>
      <c r="Y293" s="423"/>
      <c r="Z293" s="423"/>
      <c r="AA293" s="423"/>
    </row>
    <row r="294" ht="14.25" customHeight="1">
      <c r="A294" s="423"/>
      <c r="B294" s="442"/>
      <c r="C294" s="443">
        <v>46148.0</v>
      </c>
      <c r="D294" s="444"/>
      <c r="E294" s="445"/>
      <c r="F294" s="445"/>
      <c r="G294" s="445"/>
      <c r="H294" s="442"/>
      <c r="I294" s="446"/>
      <c r="J294" s="445"/>
      <c r="K294" s="447"/>
      <c r="L294" s="445"/>
      <c r="M294" s="445"/>
      <c r="N294" s="448"/>
      <c r="O294" s="448"/>
      <c r="P294" s="448"/>
      <c r="Q294" s="449">
        <f t="shared" si="56"/>
        <v>12023.91</v>
      </c>
      <c r="R294" s="448"/>
      <c r="S294" s="436"/>
      <c r="T294" s="436"/>
      <c r="U294" s="437"/>
      <c r="V294" s="437"/>
      <c r="W294" s="438"/>
      <c r="X294" s="423"/>
      <c r="Y294" s="423"/>
      <c r="Z294" s="423"/>
      <c r="AA294" s="423"/>
    </row>
    <row r="295" ht="14.25" customHeight="1">
      <c r="A295" s="423"/>
      <c r="B295" s="424"/>
      <c r="C295" s="425">
        <v>46181.0</v>
      </c>
      <c r="D295" s="426">
        <v>2.0</v>
      </c>
      <c r="E295" s="427">
        <v>4100.0</v>
      </c>
      <c r="F295" s="428"/>
      <c r="G295" s="428"/>
      <c r="H295" s="424"/>
      <c r="I295" s="429"/>
      <c r="J295" s="427">
        <v>1500.0</v>
      </c>
      <c r="K295" s="431">
        <f t="shared" ref="K295:K308" si="57">E295-J295-L295-M295-N295-I295+F295</f>
        <v>0</v>
      </c>
      <c r="L295" s="428"/>
      <c r="M295" s="428"/>
      <c r="N295" s="432">
        <v>2600.0</v>
      </c>
      <c r="O295" s="433">
        <v>-700.0</v>
      </c>
      <c r="P295" s="434"/>
      <c r="Q295" s="435">
        <f t="shared" si="56"/>
        <v>13923.91</v>
      </c>
      <c r="R295" s="434"/>
      <c r="S295" s="436"/>
      <c r="T295" s="436"/>
      <c r="U295" s="437"/>
      <c r="V295" s="437"/>
      <c r="W295" s="438"/>
      <c r="X295" s="423"/>
      <c r="Y295" s="423"/>
      <c r="Z295" s="423"/>
      <c r="AA295" s="423"/>
    </row>
    <row r="296" ht="14.25" customHeight="1">
      <c r="A296" s="423"/>
      <c r="B296" s="442"/>
      <c r="C296" s="443">
        <v>46243.0</v>
      </c>
      <c r="D296" s="444"/>
      <c r="E296" s="445"/>
      <c r="F296" s="445"/>
      <c r="G296" s="445"/>
      <c r="H296" s="442"/>
      <c r="I296" s="446"/>
      <c r="J296" s="445"/>
      <c r="K296" s="447">
        <f t="shared" si="57"/>
        <v>0</v>
      </c>
      <c r="L296" s="445"/>
      <c r="M296" s="445"/>
      <c r="N296" s="448"/>
      <c r="O296" s="448"/>
      <c r="P296" s="448"/>
      <c r="Q296" s="449">
        <f t="shared" si="56"/>
        <v>13923.91</v>
      </c>
      <c r="R296" s="448"/>
      <c r="S296" s="436"/>
      <c r="T296" s="436"/>
      <c r="U296" s="437"/>
      <c r="V296" s="437"/>
      <c r="W296" s="438"/>
      <c r="X296" s="423"/>
      <c r="Y296" s="423"/>
      <c r="Z296" s="423"/>
      <c r="AA296" s="423"/>
    </row>
    <row r="297" ht="14.25" customHeight="1">
      <c r="A297" s="423"/>
      <c r="B297" s="424"/>
      <c r="C297" s="425">
        <v>46275.0</v>
      </c>
      <c r="D297" s="426">
        <v>1.0</v>
      </c>
      <c r="E297" s="427">
        <v>2300.0</v>
      </c>
      <c r="F297" s="427">
        <v>450.0</v>
      </c>
      <c r="G297" s="428"/>
      <c r="H297" s="439" t="s">
        <v>244</v>
      </c>
      <c r="I297" s="429"/>
      <c r="J297" s="427">
        <v>1000.0</v>
      </c>
      <c r="K297" s="431">
        <f t="shared" si="57"/>
        <v>0</v>
      </c>
      <c r="L297" s="428"/>
      <c r="M297" s="428"/>
      <c r="N297" s="432">
        <v>1750.0</v>
      </c>
      <c r="O297" s="433">
        <v>-700.0</v>
      </c>
      <c r="P297" s="434"/>
      <c r="Q297" s="435">
        <f t="shared" si="56"/>
        <v>14973.91</v>
      </c>
      <c r="R297" s="434"/>
      <c r="S297" s="436"/>
      <c r="T297" s="436"/>
      <c r="U297" s="437"/>
      <c r="V297" s="437"/>
      <c r="W297" s="438"/>
      <c r="X297" s="423"/>
      <c r="Y297" s="423"/>
      <c r="Z297" s="423"/>
      <c r="AA297" s="423"/>
    </row>
    <row r="298" ht="14.25" customHeight="1">
      <c r="A298" s="423"/>
      <c r="B298" s="424"/>
      <c r="C298" s="425">
        <v>46306.0</v>
      </c>
      <c r="D298" s="426">
        <v>1.0</v>
      </c>
      <c r="E298" s="427">
        <v>2800.0</v>
      </c>
      <c r="F298" s="451"/>
      <c r="G298" s="428"/>
      <c r="H298" s="424"/>
      <c r="I298" s="429"/>
      <c r="J298" s="427">
        <v>1000.0</v>
      </c>
      <c r="K298" s="431">
        <f t="shared" si="57"/>
        <v>0</v>
      </c>
      <c r="L298" s="428"/>
      <c r="M298" s="428"/>
      <c r="N298" s="432">
        <v>1800.0</v>
      </c>
      <c r="O298" s="433">
        <v>-700.0</v>
      </c>
      <c r="P298" s="434"/>
      <c r="Q298" s="435">
        <f t="shared" si="56"/>
        <v>16073.91</v>
      </c>
      <c r="R298" s="434"/>
      <c r="S298" s="436"/>
      <c r="T298" s="436"/>
      <c r="U298" s="437"/>
      <c r="V298" s="437"/>
      <c r="W298" s="438"/>
      <c r="X298" s="423"/>
      <c r="Y298" s="423"/>
      <c r="Z298" s="423"/>
      <c r="AA298" s="423"/>
    </row>
    <row r="299" ht="14.25" customHeight="1">
      <c r="A299" s="423"/>
      <c r="B299" s="442"/>
      <c r="C299" s="443">
        <v>46339.0</v>
      </c>
      <c r="D299" s="444"/>
      <c r="E299" s="445"/>
      <c r="F299" s="445"/>
      <c r="G299" s="445"/>
      <c r="H299" s="442"/>
      <c r="I299" s="446"/>
      <c r="J299" s="445"/>
      <c r="K299" s="447">
        <f t="shared" si="57"/>
        <v>0</v>
      </c>
      <c r="L299" s="445"/>
      <c r="M299" s="445"/>
      <c r="N299" s="448"/>
      <c r="O299" s="448"/>
      <c r="P299" s="448"/>
      <c r="Q299" s="449">
        <f t="shared" si="56"/>
        <v>16073.91</v>
      </c>
      <c r="R299" s="448"/>
      <c r="S299" s="436"/>
      <c r="T299" s="436"/>
      <c r="U299" s="437"/>
      <c r="V299" s="437"/>
      <c r="W299" s="438"/>
      <c r="X299" s="423"/>
      <c r="Y299" s="423"/>
      <c r="Z299" s="423"/>
      <c r="AA299" s="423"/>
    </row>
    <row r="300" ht="14.25" customHeight="1">
      <c r="A300" s="423"/>
      <c r="B300" s="424"/>
      <c r="C300" s="426" t="s">
        <v>246</v>
      </c>
      <c r="D300" s="426">
        <v>3.0</v>
      </c>
      <c r="E300" s="427">
        <v>5000.0</v>
      </c>
      <c r="F300" s="428"/>
      <c r="G300" s="428"/>
      <c r="H300" s="424"/>
      <c r="I300" s="429"/>
      <c r="J300" s="427">
        <v>2000.0</v>
      </c>
      <c r="K300" s="431">
        <f t="shared" si="57"/>
        <v>0</v>
      </c>
      <c r="L300" s="428"/>
      <c r="M300" s="451"/>
      <c r="N300" s="432">
        <v>3000.0</v>
      </c>
      <c r="O300" s="433">
        <v>-700.0</v>
      </c>
      <c r="P300" s="434"/>
      <c r="Q300" s="435">
        <f t="shared" si="56"/>
        <v>18373.91</v>
      </c>
      <c r="R300" s="434"/>
      <c r="S300" s="436"/>
      <c r="T300" s="436"/>
      <c r="U300" s="437"/>
      <c r="V300" s="437"/>
      <c r="W300" s="438"/>
      <c r="X300" s="423"/>
      <c r="Y300" s="423"/>
      <c r="Z300" s="423"/>
      <c r="AA300" s="423"/>
    </row>
    <row r="301" ht="14.25" customHeight="1">
      <c r="A301" s="423"/>
      <c r="B301" s="424"/>
      <c r="C301" s="426" t="s">
        <v>102</v>
      </c>
      <c r="D301" s="426">
        <v>2.0</v>
      </c>
      <c r="E301" s="427">
        <v>5000.0</v>
      </c>
      <c r="F301" s="428"/>
      <c r="G301" s="428"/>
      <c r="H301" s="424"/>
      <c r="I301" s="429"/>
      <c r="J301" s="427">
        <v>1500.0</v>
      </c>
      <c r="K301" s="431">
        <f t="shared" si="57"/>
        <v>0</v>
      </c>
      <c r="L301" s="428"/>
      <c r="M301" s="428"/>
      <c r="N301" s="432">
        <v>3500.0</v>
      </c>
      <c r="O301" s="433">
        <v>-700.0</v>
      </c>
      <c r="P301" s="434"/>
      <c r="Q301" s="435">
        <f t="shared" si="56"/>
        <v>21173.91</v>
      </c>
      <c r="R301" s="434"/>
      <c r="S301" s="436"/>
      <c r="T301" s="436"/>
      <c r="U301" s="437"/>
      <c r="V301" s="437"/>
      <c r="W301" s="438"/>
      <c r="X301" s="423"/>
      <c r="Y301" s="423"/>
      <c r="Z301" s="423"/>
      <c r="AA301" s="423"/>
    </row>
    <row r="302" ht="14.25" customHeight="1">
      <c r="A302" s="423"/>
      <c r="B302" s="424"/>
      <c r="C302" s="426" t="s">
        <v>33</v>
      </c>
      <c r="D302" s="426">
        <v>1.0</v>
      </c>
      <c r="E302" s="427">
        <v>1715.36</v>
      </c>
      <c r="F302" s="428"/>
      <c r="G302" s="428"/>
      <c r="H302" s="439" t="s">
        <v>42</v>
      </c>
      <c r="I302" s="429"/>
      <c r="J302" s="451"/>
      <c r="K302" s="431">
        <f t="shared" si="57"/>
        <v>0</v>
      </c>
      <c r="L302" s="441">
        <v>1715.36</v>
      </c>
      <c r="M302" s="428"/>
      <c r="N302" s="434"/>
      <c r="O302" s="433">
        <v>-700.0</v>
      </c>
      <c r="P302" s="434"/>
      <c r="Q302" s="435">
        <f t="shared" si="56"/>
        <v>20473.91</v>
      </c>
      <c r="R302" s="434"/>
      <c r="S302" s="436"/>
      <c r="T302" s="436"/>
      <c r="U302" s="437"/>
      <c r="V302" s="437"/>
      <c r="W302" s="438"/>
      <c r="X302" s="423"/>
      <c r="Y302" s="423"/>
      <c r="Z302" s="423"/>
      <c r="AA302" s="423"/>
    </row>
    <row r="303" ht="14.25" customHeight="1">
      <c r="A303" s="423"/>
      <c r="B303" s="442"/>
      <c r="C303" s="452" t="s">
        <v>249</v>
      </c>
      <c r="D303" s="444"/>
      <c r="E303" s="445"/>
      <c r="F303" s="445"/>
      <c r="G303" s="445"/>
      <c r="H303" s="442"/>
      <c r="I303" s="446"/>
      <c r="J303" s="445"/>
      <c r="K303" s="447">
        <f t="shared" si="57"/>
        <v>0</v>
      </c>
      <c r="L303" s="445"/>
      <c r="M303" s="445"/>
      <c r="N303" s="448"/>
      <c r="O303" s="448"/>
      <c r="P303" s="448"/>
      <c r="Q303" s="449">
        <f t="shared" si="56"/>
        <v>20473.91</v>
      </c>
      <c r="R303" s="448"/>
      <c r="S303" s="436"/>
      <c r="T303" s="436"/>
      <c r="U303" s="437"/>
      <c r="V303" s="437"/>
      <c r="W303" s="438"/>
      <c r="X303" s="423"/>
      <c r="Y303" s="423"/>
      <c r="Z303" s="423"/>
      <c r="AA303" s="423"/>
    </row>
    <row r="304" ht="14.25" customHeight="1">
      <c r="A304" s="423"/>
      <c r="B304" s="424"/>
      <c r="C304" s="426" t="s">
        <v>44</v>
      </c>
      <c r="D304" s="426">
        <v>1.0</v>
      </c>
      <c r="E304" s="427">
        <v>3150.0</v>
      </c>
      <c r="F304" s="428"/>
      <c r="G304" s="428"/>
      <c r="H304" s="424"/>
      <c r="I304" s="429"/>
      <c r="J304" s="427">
        <v>1000.0</v>
      </c>
      <c r="K304" s="431">
        <f t="shared" si="57"/>
        <v>0</v>
      </c>
      <c r="L304" s="428"/>
      <c r="M304" s="441">
        <v>2150.0</v>
      </c>
      <c r="N304" s="434"/>
      <c r="O304" s="433">
        <v>-700.0</v>
      </c>
      <c r="P304" s="434"/>
      <c r="Q304" s="435">
        <f t="shared" si="56"/>
        <v>19773.91</v>
      </c>
      <c r="R304" s="434"/>
      <c r="S304" s="436"/>
      <c r="T304" s="436"/>
      <c r="U304" s="437"/>
      <c r="V304" s="437"/>
      <c r="W304" s="438"/>
      <c r="X304" s="423"/>
      <c r="Y304" s="423"/>
      <c r="Z304" s="423"/>
      <c r="AA304" s="423"/>
    </row>
    <row r="305" ht="14.25" customHeight="1">
      <c r="A305" s="423"/>
      <c r="B305" s="442"/>
      <c r="C305" s="452" t="s">
        <v>251</v>
      </c>
      <c r="D305" s="444"/>
      <c r="E305" s="445"/>
      <c r="F305" s="445"/>
      <c r="G305" s="445"/>
      <c r="H305" s="442"/>
      <c r="I305" s="446"/>
      <c r="J305" s="445"/>
      <c r="K305" s="447">
        <f t="shared" si="57"/>
        <v>0</v>
      </c>
      <c r="L305" s="445"/>
      <c r="M305" s="445"/>
      <c r="N305" s="448"/>
      <c r="O305" s="448"/>
      <c r="P305" s="448"/>
      <c r="Q305" s="449">
        <f t="shared" si="56"/>
        <v>19773.91</v>
      </c>
      <c r="R305" s="448"/>
      <c r="S305" s="436"/>
      <c r="T305" s="436"/>
      <c r="U305" s="437"/>
      <c r="V305" s="437"/>
      <c r="W305" s="438"/>
      <c r="X305" s="423"/>
      <c r="Y305" s="423"/>
      <c r="Z305" s="423"/>
      <c r="AA305" s="423"/>
    </row>
    <row r="306" ht="14.25" customHeight="1">
      <c r="A306" s="423"/>
      <c r="B306" s="424"/>
      <c r="C306" s="426" t="s">
        <v>52</v>
      </c>
      <c r="D306" s="426">
        <v>1.0</v>
      </c>
      <c r="E306" s="427">
        <v>2800.0</v>
      </c>
      <c r="F306" s="428"/>
      <c r="G306" s="428"/>
      <c r="H306" s="424"/>
      <c r="I306" s="429"/>
      <c r="J306" s="427">
        <v>1000.0</v>
      </c>
      <c r="K306" s="431">
        <f t="shared" si="57"/>
        <v>0</v>
      </c>
      <c r="L306" s="428"/>
      <c r="M306" s="428"/>
      <c r="N306" s="433">
        <v>1800.0</v>
      </c>
      <c r="O306" s="433">
        <v>-700.0</v>
      </c>
      <c r="P306" s="434"/>
      <c r="Q306" s="435">
        <f t="shared" si="56"/>
        <v>20873.91</v>
      </c>
      <c r="R306" s="434"/>
      <c r="S306" s="436"/>
      <c r="T306" s="436"/>
      <c r="U306" s="437"/>
      <c r="V306" s="437"/>
      <c r="W306" s="454"/>
      <c r="X306" s="455"/>
      <c r="Y306" s="423"/>
      <c r="Z306" s="423"/>
      <c r="AA306" s="423"/>
    </row>
    <row r="307" ht="14.25" customHeight="1">
      <c r="A307" s="423"/>
      <c r="B307" s="424"/>
      <c r="C307" s="456"/>
      <c r="D307" s="456"/>
      <c r="E307" s="428"/>
      <c r="F307" s="428"/>
      <c r="G307" s="428"/>
      <c r="H307" s="424"/>
      <c r="I307" s="429"/>
      <c r="J307" s="428"/>
      <c r="K307" s="431">
        <f t="shared" si="57"/>
        <v>0</v>
      </c>
      <c r="L307" s="428"/>
      <c r="M307" s="428"/>
      <c r="N307" s="434"/>
      <c r="O307" s="434"/>
      <c r="P307" s="432">
        <v>-5949.0</v>
      </c>
      <c r="Q307" s="435">
        <f t="shared" si="56"/>
        <v>14924.91</v>
      </c>
      <c r="R307" s="432" t="s">
        <v>208</v>
      </c>
      <c r="S307" s="436"/>
      <c r="T307" s="436"/>
      <c r="U307" s="437"/>
      <c r="V307" s="437"/>
      <c r="W307" s="438"/>
      <c r="X307" s="423"/>
      <c r="Y307" s="423"/>
      <c r="Z307" s="423"/>
      <c r="AA307" s="423"/>
    </row>
    <row r="308" ht="14.25" customHeight="1">
      <c r="A308" s="423"/>
      <c r="B308" s="424"/>
      <c r="C308" s="456"/>
      <c r="D308" s="456"/>
      <c r="E308" s="428"/>
      <c r="F308" s="428"/>
      <c r="G308" s="428"/>
      <c r="H308" s="424"/>
      <c r="I308" s="429"/>
      <c r="J308" s="428"/>
      <c r="K308" s="431">
        <f t="shared" si="57"/>
        <v>0</v>
      </c>
      <c r="L308" s="428"/>
      <c r="M308" s="428"/>
      <c r="N308" s="434"/>
      <c r="O308" s="434"/>
      <c r="P308" s="432">
        <v>-500.0</v>
      </c>
      <c r="Q308" s="435">
        <f t="shared" si="56"/>
        <v>14424.91</v>
      </c>
      <c r="R308" s="432" t="s">
        <v>257</v>
      </c>
      <c r="S308" s="436"/>
      <c r="T308" s="459"/>
      <c r="U308" s="460"/>
      <c r="V308" s="437"/>
      <c r="W308" s="438"/>
      <c r="X308" s="423"/>
      <c r="Y308" s="423"/>
      <c r="Z308" s="423"/>
      <c r="AA308" s="423"/>
    </row>
    <row r="309" ht="14.25" customHeight="1">
      <c r="A309" s="423"/>
      <c r="B309" s="463" t="s">
        <v>96</v>
      </c>
      <c r="C309" s="464" t="s">
        <v>80</v>
      </c>
      <c r="D309" s="464">
        <f t="shared" ref="D309:P309" si="58">sum(D290:D308)</f>
        <v>16</v>
      </c>
      <c r="E309" s="465">
        <f t="shared" si="58"/>
        <v>39165.36</v>
      </c>
      <c r="F309" s="465">
        <f t="shared" si="58"/>
        <v>450</v>
      </c>
      <c r="G309" s="465">
        <f t="shared" si="58"/>
        <v>0</v>
      </c>
      <c r="H309" s="465">
        <f t="shared" si="58"/>
        <v>0</v>
      </c>
      <c r="I309" s="465">
        <f t="shared" si="58"/>
        <v>0</v>
      </c>
      <c r="J309" s="465">
        <f t="shared" si="58"/>
        <v>13000</v>
      </c>
      <c r="K309" s="465">
        <f t="shared" si="58"/>
        <v>-1050</v>
      </c>
      <c r="L309" s="465">
        <f t="shared" si="58"/>
        <v>1715.36</v>
      </c>
      <c r="M309" s="465">
        <f t="shared" si="58"/>
        <v>3650</v>
      </c>
      <c r="N309" s="465">
        <f t="shared" si="58"/>
        <v>22300</v>
      </c>
      <c r="O309" s="465">
        <f t="shared" si="58"/>
        <v>-8400</v>
      </c>
      <c r="P309" s="465">
        <f t="shared" si="58"/>
        <v>-6449</v>
      </c>
      <c r="Q309" s="467">
        <f>Q308</f>
        <v>14424.91</v>
      </c>
      <c r="R309" s="469"/>
      <c r="S309" s="436"/>
      <c r="T309" s="436"/>
      <c r="U309" s="437"/>
      <c r="V309" s="437"/>
      <c r="W309" s="438"/>
      <c r="X309" s="423"/>
      <c r="Y309" s="423"/>
      <c r="Z309" s="423"/>
      <c r="AA309" s="423"/>
    </row>
    <row r="310" ht="14.25" customHeight="1">
      <c r="A310" s="423"/>
      <c r="B310" s="442" t="s">
        <v>38</v>
      </c>
      <c r="C310" s="443">
        <v>46025.0</v>
      </c>
      <c r="D310" s="444"/>
      <c r="E310" s="445"/>
      <c r="F310" s="445"/>
      <c r="G310" s="445"/>
      <c r="H310" s="442"/>
      <c r="I310" s="446"/>
      <c r="J310" s="445"/>
      <c r="K310" s="447">
        <f t="shared" ref="K310:K324" si="59">E310-J310-L310-M310-N310-I310+F310</f>
        <v>0</v>
      </c>
      <c r="L310" s="445"/>
      <c r="M310" s="445"/>
      <c r="N310" s="448"/>
      <c r="O310" s="448"/>
      <c r="P310" s="448"/>
      <c r="Q310" s="449">
        <f t="shared" ref="Q310:Q349" si="60">Q309+N310+O310+P310</f>
        <v>14424.91</v>
      </c>
      <c r="R310" s="448"/>
      <c r="S310" s="436"/>
      <c r="T310" s="436"/>
      <c r="U310" s="437"/>
      <c r="V310" s="437"/>
      <c r="W310" s="438"/>
      <c r="X310" s="423"/>
      <c r="Y310" s="423"/>
      <c r="Z310" s="423"/>
      <c r="AA310" s="423"/>
    </row>
    <row r="311" ht="14.25" customHeight="1">
      <c r="A311" s="423"/>
      <c r="B311" s="424"/>
      <c r="C311" s="425">
        <v>46085.0</v>
      </c>
      <c r="D311" s="426">
        <v>1.0</v>
      </c>
      <c r="E311" s="427">
        <v>2000.0</v>
      </c>
      <c r="F311" s="428"/>
      <c r="G311" s="428"/>
      <c r="H311" s="424"/>
      <c r="I311" s="429"/>
      <c r="J311" s="427">
        <v>1000.0</v>
      </c>
      <c r="K311" s="431">
        <f t="shared" si="59"/>
        <v>0</v>
      </c>
      <c r="L311" s="428"/>
      <c r="M311" s="441">
        <v>1000.0</v>
      </c>
      <c r="N311" s="470"/>
      <c r="O311" s="433">
        <v>-700.0</v>
      </c>
      <c r="P311" s="434"/>
      <c r="Q311" s="435">
        <f t="shared" si="60"/>
        <v>13724.91</v>
      </c>
      <c r="R311" s="434"/>
      <c r="S311" s="436"/>
      <c r="T311" s="436"/>
      <c r="U311" s="437"/>
      <c r="V311" s="437"/>
      <c r="W311" s="438"/>
      <c r="X311" s="423"/>
      <c r="Y311" s="423"/>
      <c r="Z311" s="423"/>
      <c r="AA311" s="423"/>
    </row>
    <row r="312" ht="14.25" customHeight="1">
      <c r="A312" s="423"/>
      <c r="B312" s="424"/>
      <c r="C312" s="425">
        <v>46118.0</v>
      </c>
      <c r="D312" s="426">
        <v>2.0</v>
      </c>
      <c r="E312" s="427">
        <v>3500.0</v>
      </c>
      <c r="F312" s="428"/>
      <c r="G312" s="428"/>
      <c r="H312" s="439"/>
      <c r="I312" s="429"/>
      <c r="J312" s="427">
        <v>1500.0</v>
      </c>
      <c r="K312" s="431">
        <f t="shared" si="59"/>
        <v>0</v>
      </c>
      <c r="L312" s="428"/>
      <c r="M312" s="441">
        <v>2000.0</v>
      </c>
      <c r="N312" s="470"/>
      <c r="O312" s="433">
        <v>-700.0</v>
      </c>
      <c r="P312" s="434"/>
      <c r="Q312" s="435">
        <f t="shared" si="60"/>
        <v>13024.91</v>
      </c>
      <c r="R312" s="434"/>
      <c r="S312" s="436"/>
      <c r="T312" s="436"/>
      <c r="U312" s="437"/>
      <c r="V312" s="437"/>
      <c r="W312" s="438"/>
      <c r="X312" s="423"/>
      <c r="Y312" s="423"/>
      <c r="Z312" s="423"/>
      <c r="AA312" s="423"/>
    </row>
    <row r="313" ht="14.25" customHeight="1">
      <c r="A313" s="423"/>
      <c r="B313" s="424"/>
      <c r="C313" s="425">
        <v>46180.0</v>
      </c>
      <c r="D313" s="426">
        <v>1.0</v>
      </c>
      <c r="E313" s="427">
        <v>2200.0</v>
      </c>
      <c r="F313" s="428"/>
      <c r="G313" s="428"/>
      <c r="H313" s="439"/>
      <c r="I313" s="429"/>
      <c r="J313" s="427">
        <v>1000.0</v>
      </c>
      <c r="K313" s="431">
        <f t="shared" si="59"/>
        <v>0</v>
      </c>
      <c r="L313" s="428"/>
      <c r="M313" s="428"/>
      <c r="N313" s="471">
        <v>1200.0</v>
      </c>
      <c r="O313" s="433">
        <v>-700.0</v>
      </c>
      <c r="P313" s="434"/>
      <c r="Q313" s="435">
        <f t="shared" si="60"/>
        <v>13524.91</v>
      </c>
      <c r="R313" s="434"/>
      <c r="S313" s="436"/>
      <c r="T313" s="436"/>
      <c r="U313" s="437"/>
      <c r="V313" s="437"/>
      <c r="W313" s="438"/>
      <c r="X313" s="423"/>
      <c r="Y313" s="423"/>
      <c r="Z313" s="423"/>
      <c r="AA313" s="423"/>
    </row>
    <row r="314" ht="14.25" customHeight="1">
      <c r="A314" s="423"/>
      <c r="B314" s="424"/>
      <c r="C314" s="425">
        <v>46211.0</v>
      </c>
      <c r="D314" s="426">
        <v>1.0</v>
      </c>
      <c r="E314" s="427">
        <v>2800.0</v>
      </c>
      <c r="F314" s="428"/>
      <c r="G314" s="428"/>
      <c r="H314" s="439"/>
      <c r="I314" s="429"/>
      <c r="J314" s="427">
        <v>1000.0</v>
      </c>
      <c r="K314" s="431">
        <f t="shared" si="59"/>
        <v>0</v>
      </c>
      <c r="L314" s="428"/>
      <c r="M314" s="428"/>
      <c r="N314" s="471">
        <v>1800.0</v>
      </c>
      <c r="O314" s="433">
        <v>-700.0</v>
      </c>
      <c r="P314" s="434"/>
      <c r="Q314" s="435">
        <f t="shared" si="60"/>
        <v>14624.91</v>
      </c>
      <c r="R314" s="434"/>
      <c r="S314" s="436"/>
      <c r="T314" s="436"/>
      <c r="U314" s="437"/>
      <c r="V314" s="437"/>
      <c r="W314" s="438"/>
      <c r="X314" s="423"/>
      <c r="Y314" s="423"/>
      <c r="Z314" s="423"/>
      <c r="AA314" s="423"/>
    </row>
    <row r="315" ht="14.25" customHeight="1">
      <c r="A315" s="423"/>
      <c r="B315" s="424"/>
      <c r="C315" s="425">
        <v>46243.0</v>
      </c>
      <c r="D315" s="426">
        <v>1.0</v>
      </c>
      <c r="E315" s="427">
        <v>4800.0</v>
      </c>
      <c r="F315" s="428"/>
      <c r="G315" s="428"/>
      <c r="H315" s="424"/>
      <c r="I315" s="472">
        <v>1500.0</v>
      </c>
      <c r="J315" s="427"/>
      <c r="K315" s="431">
        <f t="shared" si="59"/>
        <v>0</v>
      </c>
      <c r="L315" s="428"/>
      <c r="M315" s="428"/>
      <c r="N315" s="471">
        <v>3300.0</v>
      </c>
      <c r="O315" s="433">
        <v>-700.0</v>
      </c>
      <c r="P315" s="434"/>
      <c r="Q315" s="435">
        <f t="shared" si="60"/>
        <v>17224.91</v>
      </c>
      <c r="R315" s="434"/>
      <c r="S315" s="436"/>
      <c r="T315" s="436"/>
      <c r="U315" s="437"/>
      <c r="V315" s="437"/>
      <c r="W315" s="438"/>
      <c r="X315" s="423"/>
      <c r="Y315" s="423"/>
      <c r="Z315" s="423"/>
      <c r="AA315" s="423"/>
    </row>
    <row r="316" ht="14.25" customHeight="1">
      <c r="A316" s="423"/>
      <c r="B316" s="442"/>
      <c r="C316" s="443">
        <v>46275.0</v>
      </c>
      <c r="D316" s="444"/>
      <c r="E316" s="445"/>
      <c r="F316" s="445"/>
      <c r="G316" s="445"/>
      <c r="H316" s="442"/>
      <c r="I316" s="446"/>
      <c r="J316" s="445"/>
      <c r="K316" s="447">
        <f t="shared" si="59"/>
        <v>0</v>
      </c>
      <c r="L316" s="445"/>
      <c r="M316" s="445"/>
      <c r="N316" s="473"/>
      <c r="O316" s="448"/>
      <c r="P316" s="448"/>
      <c r="Q316" s="449">
        <f t="shared" si="60"/>
        <v>17224.91</v>
      </c>
      <c r="R316" s="448"/>
      <c r="S316" s="436"/>
      <c r="T316" s="436"/>
      <c r="U316" s="437"/>
      <c r="V316" s="437"/>
      <c r="W316" s="438"/>
      <c r="X316" s="423"/>
      <c r="Y316" s="423"/>
      <c r="Z316" s="423"/>
      <c r="AA316" s="423"/>
    </row>
    <row r="317" ht="14.25" customHeight="1">
      <c r="A317" s="423"/>
      <c r="B317" s="424"/>
      <c r="C317" s="425">
        <v>46307.0</v>
      </c>
      <c r="D317" s="426">
        <v>2.0</v>
      </c>
      <c r="E317" s="427">
        <v>3469.8</v>
      </c>
      <c r="F317" s="451"/>
      <c r="G317" s="428"/>
      <c r="H317" s="439"/>
      <c r="I317" s="429"/>
      <c r="J317" s="427"/>
      <c r="K317" s="431">
        <f t="shared" si="59"/>
        <v>0</v>
      </c>
      <c r="L317" s="427">
        <v>3469.8</v>
      </c>
      <c r="M317" s="428"/>
      <c r="N317" s="471"/>
      <c r="O317" s="433">
        <v>-700.0</v>
      </c>
      <c r="P317" s="434"/>
      <c r="Q317" s="435">
        <f t="shared" si="60"/>
        <v>16524.91</v>
      </c>
      <c r="R317" s="434"/>
      <c r="S317" s="436"/>
      <c r="T317" s="436"/>
      <c r="U317" s="437"/>
      <c r="V317" s="437"/>
      <c r="W317" s="438"/>
      <c r="X317" s="423"/>
      <c r="Y317" s="423"/>
      <c r="Z317" s="423"/>
      <c r="AA317" s="423"/>
    </row>
    <row r="318" ht="14.25" customHeight="1">
      <c r="A318" s="423"/>
      <c r="B318" s="442"/>
      <c r="C318" s="443">
        <v>46369.0</v>
      </c>
      <c r="D318" s="444"/>
      <c r="E318" s="445"/>
      <c r="F318" s="445"/>
      <c r="G318" s="445"/>
      <c r="H318" s="442"/>
      <c r="I318" s="446"/>
      <c r="J318" s="445"/>
      <c r="K318" s="447">
        <f t="shared" si="59"/>
        <v>0</v>
      </c>
      <c r="L318" s="445"/>
      <c r="M318" s="445"/>
      <c r="N318" s="473"/>
      <c r="O318" s="448"/>
      <c r="P318" s="448"/>
      <c r="Q318" s="449">
        <f t="shared" si="60"/>
        <v>16524.91</v>
      </c>
      <c r="R318" s="448"/>
      <c r="S318" s="436"/>
      <c r="T318" s="436"/>
      <c r="U318" s="437"/>
      <c r="V318" s="437"/>
      <c r="W318" s="438"/>
      <c r="X318" s="423"/>
      <c r="Y318" s="423"/>
      <c r="Z318" s="423"/>
      <c r="AA318" s="423"/>
    </row>
    <row r="319" ht="14.25" customHeight="1">
      <c r="A319" s="423"/>
      <c r="B319" s="424"/>
      <c r="C319" s="426" t="s">
        <v>46</v>
      </c>
      <c r="D319" s="426">
        <v>1.0</v>
      </c>
      <c r="E319" s="427">
        <v>2500.0</v>
      </c>
      <c r="F319" s="428"/>
      <c r="G319" s="428"/>
      <c r="H319" s="424"/>
      <c r="I319" s="429"/>
      <c r="J319" s="427">
        <v>1000.0</v>
      </c>
      <c r="K319" s="431">
        <f t="shared" si="59"/>
        <v>0</v>
      </c>
      <c r="L319" s="428"/>
      <c r="M319" s="451"/>
      <c r="N319" s="471">
        <v>1500.0</v>
      </c>
      <c r="O319" s="433">
        <v>-700.0</v>
      </c>
      <c r="P319" s="434"/>
      <c r="Q319" s="435">
        <f t="shared" si="60"/>
        <v>17324.91</v>
      </c>
      <c r="R319" s="434"/>
      <c r="S319" s="436"/>
      <c r="T319" s="436"/>
      <c r="U319" s="437"/>
      <c r="V319" s="437"/>
      <c r="W319" s="438"/>
      <c r="X319" s="423"/>
      <c r="Y319" s="423"/>
      <c r="Z319" s="423"/>
      <c r="AA319" s="423"/>
    </row>
    <row r="320" ht="14.25" customHeight="1">
      <c r="A320" s="423"/>
      <c r="B320" s="424"/>
      <c r="C320" s="426" t="s">
        <v>29</v>
      </c>
      <c r="D320" s="426">
        <v>1.0</v>
      </c>
      <c r="E320" s="427">
        <v>2800.0</v>
      </c>
      <c r="F320" s="428"/>
      <c r="G320" s="428"/>
      <c r="H320" s="424"/>
      <c r="I320" s="429"/>
      <c r="J320" s="427">
        <v>1000.0</v>
      </c>
      <c r="K320" s="431">
        <f t="shared" si="59"/>
        <v>0</v>
      </c>
      <c r="L320" s="428"/>
      <c r="M320" s="427">
        <v>1800.0</v>
      </c>
      <c r="N320" s="470"/>
      <c r="O320" s="433">
        <v>-700.0</v>
      </c>
      <c r="P320" s="434"/>
      <c r="Q320" s="435">
        <f t="shared" si="60"/>
        <v>16624.91</v>
      </c>
      <c r="R320" s="434"/>
      <c r="S320" s="436"/>
      <c r="T320" s="436"/>
      <c r="U320" s="437"/>
      <c r="V320" s="437"/>
      <c r="W320" s="438"/>
      <c r="X320" s="423"/>
      <c r="Y320" s="423"/>
      <c r="Z320" s="423"/>
      <c r="AA320" s="423"/>
    </row>
    <row r="321" ht="14.25" customHeight="1">
      <c r="A321" s="423"/>
      <c r="B321" s="424"/>
      <c r="C321" s="426" t="s">
        <v>30</v>
      </c>
      <c r="D321" s="426">
        <v>1.0</v>
      </c>
      <c r="E321" s="427">
        <v>2300.0</v>
      </c>
      <c r="F321" s="428"/>
      <c r="G321" s="428"/>
      <c r="H321" s="424"/>
      <c r="I321" s="429"/>
      <c r="J321" s="427">
        <v>1000.0</v>
      </c>
      <c r="K321" s="431">
        <f t="shared" si="59"/>
        <v>0</v>
      </c>
      <c r="L321" s="428"/>
      <c r="M321" s="428"/>
      <c r="N321" s="440">
        <v>1300.0</v>
      </c>
      <c r="O321" s="475">
        <v>-700.0</v>
      </c>
      <c r="P321" s="434"/>
      <c r="Q321" s="435">
        <f t="shared" si="60"/>
        <v>17224.91</v>
      </c>
      <c r="R321" s="434"/>
      <c r="S321" s="436"/>
      <c r="T321" s="436"/>
      <c r="U321" s="437"/>
      <c r="V321" s="437"/>
      <c r="W321" s="438"/>
      <c r="X321" s="423"/>
      <c r="Y321" s="423"/>
      <c r="Z321" s="423"/>
      <c r="AA321" s="423"/>
    </row>
    <row r="322" ht="14.25" customHeight="1">
      <c r="A322" s="423"/>
      <c r="B322" s="424"/>
      <c r="C322" s="426" t="s">
        <v>31</v>
      </c>
      <c r="D322" s="426">
        <v>1.0</v>
      </c>
      <c r="E322" s="427">
        <v>2300.0</v>
      </c>
      <c r="F322" s="441">
        <v>500.0</v>
      </c>
      <c r="G322" s="428"/>
      <c r="H322" s="439"/>
      <c r="I322" s="429"/>
      <c r="J322" s="427">
        <v>1250.0</v>
      </c>
      <c r="K322" s="431">
        <f t="shared" si="59"/>
        <v>0</v>
      </c>
      <c r="L322" s="441"/>
      <c r="M322" s="428"/>
      <c r="N322" s="440">
        <v>1550.0</v>
      </c>
      <c r="O322" s="475">
        <v>-700.0</v>
      </c>
      <c r="P322" s="434"/>
      <c r="Q322" s="435">
        <f t="shared" si="60"/>
        <v>18074.91</v>
      </c>
      <c r="R322" s="434"/>
      <c r="S322" s="436"/>
      <c r="T322" s="436"/>
      <c r="U322" s="437"/>
      <c r="V322" s="437"/>
      <c r="W322" s="438"/>
      <c r="X322" s="423"/>
      <c r="Y322" s="423"/>
      <c r="Z322" s="423"/>
      <c r="AA322" s="423"/>
    </row>
    <row r="323" ht="14.25" customHeight="1">
      <c r="A323" s="423"/>
      <c r="B323" s="424"/>
      <c r="C323" s="426" t="s">
        <v>32</v>
      </c>
      <c r="D323" s="426">
        <v>1.0</v>
      </c>
      <c r="E323" s="427">
        <v>2300.0</v>
      </c>
      <c r="F323" s="428"/>
      <c r="G323" s="428"/>
      <c r="H323" s="424"/>
      <c r="I323" s="429"/>
      <c r="J323" s="427">
        <v>1000.0</v>
      </c>
      <c r="K323" s="431">
        <f t="shared" si="59"/>
        <v>0</v>
      </c>
      <c r="L323" s="428"/>
      <c r="M323" s="441">
        <v>1300.0</v>
      </c>
      <c r="N323" s="476"/>
      <c r="O323" s="433">
        <v>-700.0</v>
      </c>
      <c r="P323" s="434"/>
      <c r="Q323" s="435">
        <f t="shared" si="60"/>
        <v>17374.91</v>
      </c>
      <c r="R323" s="434"/>
      <c r="S323" s="436"/>
      <c r="T323" s="436"/>
      <c r="U323" s="437"/>
      <c r="V323" s="437"/>
      <c r="W323" s="438"/>
      <c r="X323" s="423"/>
      <c r="Y323" s="423"/>
      <c r="Z323" s="423"/>
      <c r="AA323" s="423"/>
    </row>
    <row r="324" ht="14.25" customHeight="1">
      <c r="A324" s="423"/>
      <c r="B324" s="442"/>
      <c r="C324" s="452" t="s">
        <v>120</v>
      </c>
      <c r="D324" s="444"/>
      <c r="E324" s="445"/>
      <c r="F324" s="445"/>
      <c r="G324" s="445"/>
      <c r="H324" s="442"/>
      <c r="I324" s="446"/>
      <c r="J324" s="445"/>
      <c r="K324" s="447">
        <f t="shared" si="59"/>
        <v>0</v>
      </c>
      <c r="L324" s="445"/>
      <c r="M324" s="445"/>
      <c r="N324" s="477"/>
      <c r="O324" s="448"/>
      <c r="P324" s="448"/>
      <c r="Q324" s="449">
        <f t="shared" si="60"/>
        <v>17374.91</v>
      </c>
      <c r="R324" s="448"/>
      <c r="S324" s="436"/>
      <c r="T324" s="436"/>
      <c r="U324" s="437"/>
      <c r="V324" s="437"/>
      <c r="W324" s="438"/>
      <c r="X324" s="423"/>
      <c r="Y324" s="423"/>
      <c r="Z324" s="423"/>
      <c r="AA324" s="423"/>
    </row>
    <row r="325" ht="14.25" customHeight="1">
      <c r="A325" s="423"/>
      <c r="B325" s="424"/>
      <c r="C325" s="426" t="s">
        <v>263</v>
      </c>
      <c r="D325" s="426">
        <v>5.0</v>
      </c>
      <c r="E325" s="427">
        <f>10800</f>
        <v>10800</v>
      </c>
      <c r="F325" s="441">
        <v>1600.0</v>
      </c>
      <c r="G325" s="428"/>
      <c r="H325" s="424"/>
      <c r="I325" s="429"/>
      <c r="J325" s="427">
        <v>5000.0</v>
      </c>
      <c r="K325" s="431">
        <f>E325-J325-L325-M325-N325-I325+F325-P325</f>
        <v>-1150</v>
      </c>
      <c r="L325" s="428"/>
      <c r="M325" s="441">
        <v>1150.0</v>
      </c>
      <c r="N325" s="475">
        <v>6250.0</v>
      </c>
      <c r="O325" s="433">
        <v>-700.0</v>
      </c>
      <c r="P325" s="432">
        <v>1150.0</v>
      </c>
      <c r="Q325" s="435">
        <f t="shared" si="60"/>
        <v>24074.91</v>
      </c>
      <c r="R325" s="432" t="s">
        <v>265</v>
      </c>
      <c r="S325" s="436"/>
      <c r="T325" s="436"/>
      <c r="U325" s="437"/>
      <c r="V325" s="437"/>
      <c r="W325" s="454"/>
      <c r="X325" s="455"/>
      <c r="Y325" s="423"/>
      <c r="Z325" s="423"/>
      <c r="AA325" s="423"/>
    </row>
    <row r="326" ht="14.25" customHeight="1">
      <c r="A326" s="423"/>
      <c r="B326" s="442"/>
      <c r="C326" s="452" t="s">
        <v>45</v>
      </c>
      <c r="D326" s="444"/>
      <c r="E326" s="445"/>
      <c r="F326" s="445"/>
      <c r="G326" s="445"/>
      <c r="H326" s="442"/>
      <c r="I326" s="446"/>
      <c r="J326" s="445"/>
      <c r="K326" s="447">
        <f t="shared" ref="K326:K329" si="61">E326-J326-L326-M326-N326-I326+F326</f>
        <v>0</v>
      </c>
      <c r="L326" s="445"/>
      <c r="M326" s="445"/>
      <c r="N326" s="477"/>
      <c r="O326" s="448"/>
      <c r="P326" s="448"/>
      <c r="Q326" s="449">
        <f t="shared" si="60"/>
        <v>24074.91</v>
      </c>
      <c r="R326" s="448"/>
      <c r="S326" s="436"/>
      <c r="T326" s="436"/>
      <c r="U326" s="437"/>
      <c r="V326" s="437"/>
      <c r="W326" s="438"/>
      <c r="X326" s="423"/>
      <c r="Y326" s="423"/>
      <c r="Z326" s="423"/>
      <c r="AA326" s="423"/>
    </row>
    <row r="327" ht="14.25" customHeight="1">
      <c r="A327" s="423"/>
      <c r="B327" s="424"/>
      <c r="C327" s="426" t="s">
        <v>86</v>
      </c>
      <c r="D327" s="426">
        <v>2.0</v>
      </c>
      <c r="E327" s="427">
        <v>4100.0</v>
      </c>
      <c r="F327" s="441"/>
      <c r="G327" s="428"/>
      <c r="H327" s="424"/>
      <c r="I327" s="429"/>
      <c r="J327" s="427">
        <v>1000.0</v>
      </c>
      <c r="K327" s="431">
        <f t="shared" si="61"/>
        <v>0</v>
      </c>
      <c r="L327" s="428"/>
      <c r="M327" s="428"/>
      <c r="N327" s="475">
        <v>3100.0</v>
      </c>
      <c r="O327" s="433">
        <v>-700.0</v>
      </c>
      <c r="P327" s="434"/>
      <c r="Q327" s="435">
        <f t="shared" si="60"/>
        <v>26474.91</v>
      </c>
      <c r="R327" s="434"/>
      <c r="S327" s="436"/>
      <c r="T327" s="436"/>
      <c r="U327" s="437"/>
      <c r="V327" s="437"/>
      <c r="W327" s="454"/>
      <c r="X327" s="455"/>
      <c r="Y327" s="423"/>
      <c r="Z327" s="423"/>
      <c r="AA327" s="423"/>
    </row>
    <row r="328" ht="14.25" customHeight="1">
      <c r="A328" s="423"/>
      <c r="B328" s="424"/>
      <c r="C328" s="426" t="s">
        <v>74</v>
      </c>
      <c r="D328" s="439">
        <v>1.0</v>
      </c>
      <c r="E328" s="441">
        <v>3000.0</v>
      </c>
      <c r="F328" s="428"/>
      <c r="G328" s="428"/>
      <c r="H328" s="424"/>
      <c r="I328" s="429"/>
      <c r="J328" s="441">
        <v>1000.0</v>
      </c>
      <c r="K328" s="431">
        <f t="shared" si="61"/>
        <v>0</v>
      </c>
      <c r="L328" s="428"/>
      <c r="M328" s="441">
        <v>2000.0</v>
      </c>
      <c r="N328" s="470"/>
      <c r="O328" s="432">
        <v>-700.0</v>
      </c>
      <c r="P328" s="432"/>
      <c r="Q328" s="435">
        <f t="shared" si="60"/>
        <v>25774.91</v>
      </c>
      <c r="R328" s="432"/>
      <c r="S328" s="436"/>
      <c r="T328" s="436"/>
      <c r="U328" s="437"/>
      <c r="V328" s="437"/>
      <c r="W328" s="438"/>
      <c r="X328" s="423"/>
      <c r="Y328" s="423"/>
      <c r="Z328" s="423"/>
      <c r="AA328" s="423"/>
    </row>
    <row r="329" ht="14.25" customHeight="1">
      <c r="A329" s="423"/>
      <c r="B329" s="424"/>
      <c r="C329" s="456"/>
      <c r="D329" s="456"/>
      <c r="E329" s="428"/>
      <c r="F329" s="428"/>
      <c r="G329" s="428"/>
      <c r="H329" s="424"/>
      <c r="I329" s="429"/>
      <c r="J329" s="428"/>
      <c r="K329" s="431">
        <f t="shared" si="61"/>
        <v>0</v>
      </c>
      <c r="L329" s="428"/>
      <c r="M329" s="428"/>
      <c r="N329" s="476"/>
      <c r="O329" s="434"/>
      <c r="P329" s="432">
        <v>-5245.47</v>
      </c>
      <c r="Q329" s="435">
        <f t="shared" si="60"/>
        <v>20529.44</v>
      </c>
      <c r="R329" s="432" t="s">
        <v>208</v>
      </c>
      <c r="S329" s="436"/>
      <c r="T329" s="436"/>
      <c r="U329" s="437"/>
      <c r="V329" s="437"/>
      <c r="W329" s="438"/>
      <c r="X329" s="423"/>
      <c r="Y329" s="423"/>
      <c r="Z329" s="423"/>
      <c r="AA329" s="423"/>
    </row>
    <row r="330" ht="14.25" customHeight="1">
      <c r="A330" s="423"/>
      <c r="B330" s="463" t="s">
        <v>38</v>
      </c>
      <c r="C330" s="464" t="s">
        <v>80</v>
      </c>
      <c r="D330" s="464">
        <f t="shared" ref="D330:P330" si="62">sum(D310:D329)</f>
        <v>21</v>
      </c>
      <c r="E330" s="465">
        <f t="shared" si="62"/>
        <v>48869.8</v>
      </c>
      <c r="F330" s="465">
        <f t="shared" si="62"/>
        <v>2100</v>
      </c>
      <c r="G330" s="465">
        <f t="shared" si="62"/>
        <v>0</v>
      </c>
      <c r="H330" s="465">
        <f t="shared" si="62"/>
        <v>0</v>
      </c>
      <c r="I330" s="465">
        <f t="shared" si="62"/>
        <v>1500</v>
      </c>
      <c r="J330" s="465">
        <f t="shared" si="62"/>
        <v>16750</v>
      </c>
      <c r="K330" s="465">
        <f t="shared" si="62"/>
        <v>-1150</v>
      </c>
      <c r="L330" s="465">
        <f t="shared" si="62"/>
        <v>3469.8</v>
      </c>
      <c r="M330" s="465">
        <f t="shared" si="62"/>
        <v>9250</v>
      </c>
      <c r="N330" s="465">
        <f t="shared" si="62"/>
        <v>20000</v>
      </c>
      <c r="O330" s="465">
        <f t="shared" si="62"/>
        <v>-9800</v>
      </c>
      <c r="P330" s="465">
        <f t="shared" si="62"/>
        <v>-4095.47</v>
      </c>
      <c r="Q330" s="467">
        <f t="shared" si="60"/>
        <v>26633.97</v>
      </c>
      <c r="R330" s="469"/>
      <c r="S330" s="436"/>
      <c r="T330" s="436"/>
      <c r="U330" s="437"/>
      <c r="V330" s="437"/>
      <c r="W330" s="438"/>
      <c r="X330" s="423"/>
      <c r="Y330" s="423"/>
      <c r="Z330" s="423"/>
      <c r="AA330" s="423"/>
    </row>
    <row r="331" ht="14.25" customHeight="1">
      <c r="A331" s="423"/>
      <c r="B331" s="442" t="s">
        <v>91</v>
      </c>
      <c r="C331" s="443">
        <v>46024.0</v>
      </c>
      <c r="D331" s="444">
        <v>1.0</v>
      </c>
      <c r="E331" s="480">
        <v>1000.0</v>
      </c>
      <c r="F331" s="445"/>
      <c r="G331" s="445"/>
      <c r="H331" s="442"/>
      <c r="I331" s="446"/>
      <c r="J331" s="445">
        <v>1000.0</v>
      </c>
      <c r="K331" s="447">
        <f t="shared" ref="K331:K334" si="63">E331-J331-L331-M331-N331-I331+F331</f>
        <v>0</v>
      </c>
      <c r="L331" s="445"/>
      <c r="M331" s="445"/>
      <c r="N331" s="477"/>
      <c r="O331" s="448"/>
      <c r="P331" s="448"/>
      <c r="Q331" s="449">
        <f t="shared" si="60"/>
        <v>26633.97</v>
      </c>
      <c r="R331" s="481" t="s">
        <v>81</v>
      </c>
      <c r="S331" s="436"/>
      <c r="T331" s="436"/>
      <c r="U331" s="437"/>
      <c r="V331" s="437"/>
      <c r="W331" s="438"/>
      <c r="X331" s="423"/>
      <c r="Y331" s="423"/>
      <c r="Z331" s="423"/>
      <c r="AA331" s="423"/>
    </row>
    <row r="332" ht="14.25" customHeight="1">
      <c r="A332" s="423"/>
      <c r="B332" s="442"/>
      <c r="C332" s="443">
        <v>46056.0</v>
      </c>
      <c r="D332" s="444"/>
      <c r="E332" s="445"/>
      <c r="F332" s="445"/>
      <c r="G332" s="445"/>
      <c r="H332" s="442"/>
      <c r="I332" s="446"/>
      <c r="J332" s="445"/>
      <c r="K332" s="447">
        <f t="shared" si="63"/>
        <v>0</v>
      </c>
      <c r="L332" s="445"/>
      <c r="M332" s="445"/>
      <c r="N332" s="477"/>
      <c r="O332" s="448"/>
      <c r="P332" s="448"/>
      <c r="Q332" s="449">
        <f t="shared" si="60"/>
        <v>26633.97</v>
      </c>
      <c r="R332" s="448"/>
      <c r="S332" s="436"/>
      <c r="T332" s="436"/>
      <c r="U332" s="437"/>
      <c r="V332" s="437"/>
      <c r="W332" s="438"/>
      <c r="X332" s="423"/>
      <c r="Y332" s="423"/>
      <c r="Z332" s="423"/>
      <c r="AA332" s="423"/>
    </row>
    <row r="333" ht="14.25" customHeight="1">
      <c r="A333" s="423"/>
      <c r="B333" s="424"/>
      <c r="C333" s="425">
        <v>46086.0</v>
      </c>
      <c r="D333" s="426">
        <v>2.0</v>
      </c>
      <c r="E333" s="427">
        <v>3500.0</v>
      </c>
      <c r="F333" s="428"/>
      <c r="G333" s="428"/>
      <c r="H333" s="439"/>
      <c r="I333" s="429"/>
      <c r="J333" s="427">
        <v>1500.0</v>
      </c>
      <c r="K333" s="431">
        <f t="shared" si="63"/>
        <v>0</v>
      </c>
      <c r="L333" s="428"/>
      <c r="M333" s="428"/>
      <c r="N333" s="440">
        <v>2000.0</v>
      </c>
      <c r="O333" s="433">
        <v>-700.0</v>
      </c>
      <c r="P333" s="434"/>
      <c r="Q333" s="435">
        <f t="shared" si="60"/>
        <v>27933.97</v>
      </c>
      <c r="R333" s="434"/>
      <c r="S333" s="436"/>
      <c r="T333" s="436"/>
      <c r="U333" s="437"/>
      <c r="V333" s="437"/>
      <c r="W333" s="438"/>
      <c r="X333" s="423"/>
      <c r="Y333" s="423"/>
      <c r="Z333" s="423"/>
      <c r="AA333" s="423"/>
    </row>
    <row r="334" ht="14.25" customHeight="1">
      <c r="A334" s="423"/>
      <c r="B334" s="442"/>
      <c r="C334" s="443">
        <v>46148.0</v>
      </c>
      <c r="D334" s="444"/>
      <c r="E334" s="445"/>
      <c r="F334" s="445"/>
      <c r="G334" s="445"/>
      <c r="H334" s="442"/>
      <c r="I334" s="446"/>
      <c r="J334" s="445"/>
      <c r="K334" s="447">
        <f t="shared" si="63"/>
        <v>0</v>
      </c>
      <c r="L334" s="445"/>
      <c r="M334" s="445"/>
      <c r="N334" s="482"/>
      <c r="O334" s="448"/>
      <c r="P334" s="448"/>
      <c r="Q334" s="449">
        <f t="shared" si="60"/>
        <v>27933.97</v>
      </c>
      <c r="R334" s="448"/>
      <c r="S334" s="436"/>
      <c r="T334" s="436"/>
      <c r="U334" s="437"/>
      <c r="V334" s="437"/>
      <c r="W334" s="438"/>
      <c r="X334" s="423"/>
      <c r="Y334" s="423"/>
      <c r="Z334" s="423"/>
      <c r="AA334" s="423"/>
    </row>
    <row r="335" ht="14.25" customHeight="1">
      <c r="A335" s="423"/>
      <c r="B335" s="424"/>
      <c r="C335" s="425">
        <v>46180.0</v>
      </c>
      <c r="D335" s="426">
        <v>1.0</v>
      </c>
      <c r="E335" s="427">
        <v>2500.0</v>
      </c>
      <c r="F335" s="428"/>
      <c r="G335" s="428"/>
      <c r="H335" s="424"/>
      <c r="I335" s="429"/>
      <c r="J335" s="427">
        <v>1000.0</v>
      </c>
      <c r="K335" s="431"/>
      <c r="L335" s="428"/>
      <c r="M335" s="428"/>
      <c r="N335" s="440">
        <v>1500.0</v>
      </c>
      <c r="O335" s="433">
        <v>-700.0</v>
      </c>
      <c r="P335" s="434"/>
      <c r="Q335" s="435">
        <f t="shared" si="60"/>
        <v>28733.97</v>
      </c>
      <c r="R335" s="434"/>
      <c r="S335" s="436"/>
      <c r="T335" s="436"/>
      <c r="U335" s="437"/>
      <c r="V335" s="437"/>
      <c r="W335" s="438"/>
      <c r="X335" s="423"/>
      <c r="Y335" s="423"/>
      <c r="Z335" s="423"/>
      <c r="AA335" s="423"/>
    </row>
    <row r="336" ht="14.25" customHeight="1">
      <c r="A336" s="423"/>
      <c r="B336" s="424"/>
      <c r="C336" s="425">
        <v>46211.0</v>
      </c>
      <c r="D336" s="426">
        <v>1.0</v>
      </c>
      <c r="E336" s="427">
        <v>3000.0</v>
      </c>
      <c r="F336" s="428"/>
      <c r="G336" s="428"/>
      <c r="H336" s="424"/>
      <c r="I336" s="429"/>
      <c r="J336" s="427">
        <v>1000.0</v>
      </c>
      <c r="K336" s="431">
        <f t="shared" ref="K336:K349" si="64">E336-J336-L336-M336-N336-I336+F336</f>
        <v>0</v>
      </c>
      <c r="L336" s="428"/>
      <c r="M336" s="428"/>
      <c r="N336" s="440">
        <v>2000.0</v>
      </c>
      <c r="O336" s="433">
        <v>-700.0</v>
      </c>
      <c r="P336" s="434"/>
      <c r="Q336" s="435">
        <f t="shared" si="60"/>
        <v>30033.97</v>
      </c>
      <c r="R336" s="434"/>
      <c r="S336" s="436"/>
      <c r="T336" s="436"/>
      <c r="U336" s="437"/>
      <c r="V336" s="437"/>
      <c r="W336" s="438"/>
      <c r="X336" s="423"/>
      <c r="Y336" s="423"/>
      <c r="Z336" s="423"/>
      <c r="AA336" s="423"/>
    </row>
    <row r="337" ht="14.25" customHeight="1">
      <c r="A337" s="423"/>
      <c r="B337" s="442"/>
      <c r="C337" s="443">
        <v>46246.0</v>
      </c>
      <c r="D337" s="444"/>
      <c r="E337" s="445"/>
      <c r="F337" s="445"/>
      <c r="G337" s="445"/>
      <c r="H337" s="442"/>
      <c r="I337" s="446"/>
      <c r="J337" s="445"/>
      <c r="K337" s="447">
        <f t="shared" si="64"/>
        <v>0</v>
      </c>
      <c r="L337" s="445"/>
      <c r="M337" s="445"/>
      <c r="N337" s="477"/>
      <c r="O337" s="448"/>
      <c r="P337" s="448"/>
      <c r="Q337" s="449">
        <f t="shared" si="60"/>
        <v>30033.97</v>
      </c>
      <c r="R337" s="448"/>
      <c r="S337" s="436"/>
      <c r="T337" s="436"/>
      <c r="U337" s="437"/>
      <c r="V337" s="437"/>
      <c r="W337" s="438"/>
      <c r="X337" s="423"/>
      <c r="Y337" s="423"/>
      <c r="Z337" s="423"/>
      <c r="AA337" s="423"/>
    </row>
    <row r="338" ht="14.25" customHeight="1">
      <c r="A338" s="423"/>
      <c r="B338" s="424"/>
      <c r="C338" s="425">
        <v>46369.0</v>
      </c>
      <c r="D338" s="426">
        <v>1.0</v>
      </c>
      <c r="E338" s="427">
        <v>1594.07</v>
      </c>
      <c r="F338" s="451"/>
      <c r="G338" s="428"/>
      <c r="H338" s="439"/>
      <c r="I338" s="429"/>
      <c r="J338" s="427"/>
      <c r="K338" s="431">
        <f t="shared" si="64"/>
        <v>0</v>
      </c>
      <c r="L338" s="427">
        <v>1594.07</v>
      </c>
      <c r="M338" s="428"/>
      <c r="N338" s="470"/>
      <c r="O338" s="433">
        <v>-700.0</v>
      </c>
      <c r="P338" s="434"/>
      <c r="Q338" s="435">
        <f t="shared" si="60"/>
        <v>29333.97</v>
      </c>
      <c r="R338" s="434"/>
      <c r="S338" s="436"/>
      <c r="T338" s="436"/>
      <c r="U338" s="437"/>
      <c r="V338" s="437"/>
      <c r="W338" s="438"/>
      <c r="X338" s="423"/>
      <c r="Y338" s="423"/>
      <c r="Z338" s="423"/>
      <c r="AA338" s="423"/>
    </row>
    <row r="339" ht="14.25" customHeight="1">
      <c r="A339" s="423"/>
      <c r="B339" s="442"/>
      <c r="C339" s="452" t="s">
        <v>46</v>
      </c>
      <c r="D339" s="444"/>
      <c r="E339" s="445"/>
      <c r="F339" s="445"/>
      <c r="G339" s="445"/>
      <c r="H339" s="442"/>
      <c r="I339" s="446"/>
      <c r="J339" s="445"/>
      <c r="K339" s="447">
        <f t="shared" si="64"/>
        <v>0</v>
      </c>
      <c r="L339" s="445"/>
      <c r="M339" s="445"/>
      <c r="N339" s="477"/>
      <c r="O339" s="448"/>
      <c r="P339" s="448"/>
      <c r="Q339" s="449">
        <f t="shared" si="60"/>
        <v>29333.97</v>
      </c>
      <c r="R339" s="448"/>
      <c r="S339" s="436"/>
      <c r="T339" s="436"/>
      <c r="U339" s="437"/>
      <c r="V339" s="437"/>
      <c r="W339" s="438"/>
      <c r="X339" s="423"/>
      <c r="Y339" s="423"/>
      <c r="Z339" s="423"/>
      <c r="AA339" s="423"/>
    </row>
    <row r="340" ht="14.25" customHeight="1">
      <c r="A340" s="423"/>
      <c r="B340" s="424"/>
      <c r="C340" s="426" t="s">
        <v>29</v>
      </c>
      <c r="D340" s="426">
        <v>1.0</v>
      </c>
      <c r="E340" s="427">
        <v>2440.16</v>
      </c>
      <c r="F340" s="428"/>
      <c r="G340" s="428"/>
      <c r="H340" s="424"/>
      <c r="I340" s="429"/>
      <c r="J340" s="427"/>
      <c r="K340" s="431">
        <f t="shared" si="64"/>
        <v>0</v>
      </c>
      <c r="L340" s="427">
        <v>2440.16</v>
      </c>
      <c r="M340" s="451"/>
      <c r="N340" s="470"/>
      <c r="O340" s="433">
        <v>-700.0</v>
      </c>
      <c r="P340" s="434"/>
      <c r="Q340" s="435">
        <f t="shared" si="60"/>
        <v>28633.97</v>
      </c>
      <c r="R340" s="434"/>
      <c r="S340" s="436"/>
      <c r="T340" s="436"/>
      <c r="U340" s="437"/>
      <c r="V340" s="437"/>
      <c r="W340" s="438"/>
      <c r="X340" s="423"/>
      <c r="Y340" s="423"/>
      <c r="Z340" s="423"/>
      <c r="AA340" s="423"/>
    </row>
    <row r="341" ht="14.25" customHeight="1">
      <c r="A341" s="423"/>
      <c r="B341" s="424"/>
      <c r="C341" s="426" t="s">
        <v>30</v>
      </c>
      <c r="D341" s="426">
        <v>1.0</v>
      </c>
      <c r="E341" s="441">
        <v>1594.07</v>
      </c>
      <c r="F341" s="428"/>
      <c r="G341" s="428"/>
      <c r="H341" s="424"/>
      <c r="I341" s="429"/>
      <c r="J341" s="427"/>
      <c r="K341" s="431">
        <f t="shared" si="64"/>
        <v>0</v>
      </c>
      <c r="L341" s="441">
        <v>1594.07</v>
      </c>
      <c r="M341" s="451"/>
      <c r="N341" s="470"/>
      <c r="O341" s="433">
        <v>-700.0</v>
      </c>
      <c r="P341" s="434"/>
      <c r="Q341" s="435">
        <f t="shared" si="60"/>
        <v>27933.97</v>
      </c>
      <c r="R341" s="434"/>
      <c r="S341" s="436"/>
      <c r="T341" s="436"/>
      <c r="U341" s="437"/>
      <c r="V341" s="437"/>
      <c r="W341" s="438"/>
      <c r="X341" s="423"/>
      <c r="Y341" s="423"/>
      <c r="Z341" s="423"/>
      <c r="AA341" s="423"/>
    </row>
    <row r="342" ht="14.25" customHeight="1">
      <c r="A342" s="423"/>
      <c r="B342" s="442"/>
      <c r="C342" s="452" t="s">
        <v>184</v>
      </c>
      <c r="D342" s="444"/>
      <c r="E342" s="445"/>
      <c r="F342" s="445"/>
      <c r="G342" s="445"/>
      <c r="H342" s="442"/>
      <c r="I342" s="446"/>
      <c r="J342" s="445"/>
      <c r="K342" s="447">
        <f t="shared" si="64"/>
        <v>0</v>
      </c>
      <c r="L342" s="445"/>
      <c r="M342" s="445"/>
      <c r="N342" s="477"/>
      <c r="O342" s="448"/>
      <c r="P342" s="448"/>
      <c r="Q342" s="449">
        <f t="shared" si="60"/>
        <v>27933.97</v>
      </c>
      <c r="R342" s="448"/>
      <c r="S342" s="436"/>
      <c r="T342" s="436"/>
      <c r="U342" s="437"/>
      <c r="V342" s="437"/>
      <c r="W342" s="438"/>
      <c r="X342" s="423"/>
      <c r="Y342" s="423"/>
      <c r="Z342" s="423"/>
      <c r="AA342" s="423"/>
    </row>
    <row r="343" ht="14.25" customHeight="1">
      <c r="A343" s="423"/>
      <c r="B343" s="424"/>
      <c r="C343" s="426" t="s">
        <v>69</v>
      </c>
      <c r="D343" s="426">
        <v>1.0</v>
      </c>
      <c r="E343" s="427">
        <v>2000.0</v>
      </c>
      <c r="F343" s="428"/>
      <c r="G343" s="428"/>
      <c r="H343" s="439"/>
      <c r="I343" s="429"/>
      <c r="J343" s="427">
        <v>1000.0</v>
      </c>
      <c r="K343" s="431">
        <f t="shared" si="64"/>
        <v>0</v>
      </c>
      <c r="L343" s="441"/>
      <c r="M343" s="428"/>
      <c r="N343" s="432">
        <v>1000.0</v>
      </c>
      <c r="O343" s="433">
        <v>-700.0</v>
      </c>
      <c r="P343" s="434"/>
      <c r="Q343" s="435">
        <f t="shared" si="60"/>
        <v>28233.97</v>
      </c>
      <c r="R343" s="434"/>
      <c r="S343" s="436"/>
      <c r="T343" s="436"/>
      <c r="U343" s="437"/>
      <c r="V343" s="437"/>
      <c r="W343" s="438"/>
      <c r="X343" s="423"/>
      <c r="Y343" s="423"/>
      <c r="Z343" s="423"/>
      <c r="AA343" s="423"/>
    </row>
    <row r="344" ht="14.25" customHeight="1">
      <c r="A344" s="423"/>
      <c r="B344" s="424"/>
      <c r="C344" s="426" t="s">
        <v>78</v>
      </c>
      <c r="D344" s="426">
        <v>2.0</v>
      </c>
      <c r="E344" s="427">
        <f>200+5200</f>
        <v>5400</v>
      </c>
      <c r="F344" s="428"/>
      <c r="G344" s="428"/>
      <c r="H344" s="424"/>
      <c r="I344" s="429"/>
      <c r="J344" s="427">
        <v>1500.0</v>
      </c>
      <c r="K344" s="431">
        <f t="shared" si="64"/>
        <v>0</v>
      </c>
      <c r="L344" s="428"/>
      <c r="M344" s="441">
        <v>3900.0</v>
      </c>
      <c r="N344" s="470"/>
      <c r="O344" s="433">
        <v>-700.0</v>
      </c>
      <c r="P344" s="434"/>
      <c r="Q344" s="435">
        <f t="shared" si="60"/>
        <v>27533.97</v>
      </c>
      <c r="R344" s="434"/>
      <c r="S344" s="436"/>
      <c r="T344" s="436"/>
      <c r="U344" s="437"/>
      <c r="V344" s="437"/>
      <c r="W344" s="438"/>
      <c r="X344" s="423"/>
      <c r="Y344" s="423"/>
      <c r="Z344" s="423"/>
      <c r="AA344" s="423"/>
    </row>
    <row r="345" ht="14.25" customHeight="1">
      <c r="A345" s="423"/>
      <c r="B345" s="424"/>
      <c r="C345" s="426" t="s">
        <v>41</v>
      </c>
      <c r="D345" s="426">
        <v>1.0</v>
      </c>
      <c r="E345" s="427">
        <v>2000.0</v>
      </c>
      <c r="F345" s="441">
        <v>450.0</v>
      </c>
      <c r="G345" s="428"/>
      <c r="H345" s="424"/>
      <c r="I345" s="429"/>
      <c r="J345" s="427">
        <v>1000.0</v>
      </c>
      <c r="K345" s="431">
        <f t="shared" si="64"/>
        <v>0</v>
      </c>
      <c r="L345" s="428"/>
      <c r="M345" s="428"/>
      <c r="N345" s="440">
        <v>1450.0</v>
      </c>
      <c r="O345" s="433">
        <v>-700.0</v>
      </c>
      <c r="P345" s="434"/>
      <c r="Q345" s="435">
        <f t="shared" si="60"/>
        <v>28283.97</v>
      </c>
      <c r="R345" s="434"/>
      <c r="S345" s="436"/>
      <c r="T345" s="436"/>
      <c r="U345" s="437"/>
      <c r="V345" s="437"/>
      <c r="W345" s="438"/>
      <c r="X345" s="423"/>
      <c r="Y345" s="423"/>
      <c r="Z345" s="423"/>
      <c r="AA345" s="423"/>
    </row>
    <row r="346" ht="14.25" customHeight="1">
      <c r="A346" s="423"/>
      <c r="B346" s="442"/>
      <c r="C346" s="452" t="s">
        <v>277</v>
      </c>
      <c r="D346" s="444"/>
      <c r="E346" s="445"/>
      <c r="F346" s="445"/>
      <c r="G346" s="445"/>
      <c r="H346" s="442"/>
      <c r="I346" s="446"/>
      <c r="J346" s="445"/>
      <c r="K346" s="447">
        <f t="shared" si="64"/>
        <v>0</v>
      </c>
      <c r="L346" s="445"/>
      <c r="M346" s="445"/>
      <c r="N346" s="477"/>
      <c r="O346" s="448"/>
      <c r="P346" s="448"/>
      <c r="Q346" s="449">
        <f t="shared" si="60"/>
        <v>28283.97</v>
      </c>
      <c r="R346" s="448"/>
      <c r="S346" s="436"/>
      <c r="T346" s="436"/>
      <c r="U346" s="437"/>
      <c r="V346" s="437"/>
      <c r="W346" s="438"/>
      <c r="X346" s="423"/>
      <c r="Y346" s="423"/>
      <c r="Z346" s="423"/>
      <c r="AA346" s="423"/>
    </row>
    <row r="347" ht="14.25" customHeight="1">
      <c r="A347" s="423"/>
      <c r="B347" s="424"/>
      <c r="C347" s="426" t="s">
        <v>167</v>
      </c>
      <c r="D347" s="426">
        <v>3.0</v>
      </c>
      <c r="E347" s="427">
        <v>4648.38</v>
      </c>
      <c r="F347" s="428"/>
      <c r="G347" s="428"/>
      <c r="H347" s="424"/>
      <c r="I347" s="429"/>
      <c r="J347" s="427"/>
      <c r="K347" s="431">
        <f t="shared" si="64"/>
        <v>0</v>
      </c>
      <c r="L347" s="427">
        <v>4648.38</v>
      </c>
      <c r="M347" s="428"/>
      <c r="N347" s="520"/>
      <c r="O347" s="433">
        <v>-700.0</v>
      </c>
      <c r="P347" s="434"/>
      <c r="Q347" s="435">
        <f t="shared" si="60"/>
        <v>27583.97</v>
      </c>
      <c r="R347" s="434"/>
      <c r="S347" s="436"/>
      <c r="T347" s="436"/>
      <c r="U347" s="437"/>
      <c r="V347" s="437"/>
      <c r="W347" s="454"/>
      <c r="X347" s="455"/>
      <c r="Y347" s="423"/>
      <c r="Z347" s="423"/>
      <c r="AA347" s="423"/>
    </row>
    <row r="348" ht="14.25" customHeight="1">
      <c r="A348" s="423"/>
      <c r="B348" s="424"/>
      <c r="C348" s="456"/>
      <c r="D348" s="456"/>
      <c r="E348" s="428"/>
      <c r="F348" s="428"/>
      <c r="G348" s="428"/>
      <c r="H348" s="424"/>
      <c r="I348" s="429"/>
      <c r="J348" s="428"/>
      <c r="K348" s="431">
        <f t="shared" si="64"/>
        <v>0</v>
      </c>
      <c r="L348" s="428"/>
      <c r="M348" s="428"/>
      <c r="N348" s="476"/>
      <c r="O348" s="434"/>
      <c r="P348" s="432">
        <v>-5431.6</v>
      </c>
      <c r="Q348" s="435">
        <f t="shared" si="60"/>
        <v>22152.37</v>
      </c>
      <c r="R348" s="432" t="s">
        <v>208</v>
      </c>
      <c r="S348" s="436"/>
      <c r="T348" s="436"/>
      <c r="U348" s="437"/>
      <c r="V348" s="437"/>
      <c r="W348" s="438"/>
      <c r="X348" s="423"/>
      <c r="Y348" s="423"/>
      <c r="Z348" s="423"/>
      <c r="AA348" s="423"/>
    </row>
    <row r="349" ht="14.25" customHeight="1">
      <c r="A349" s="423"/>
      <c r="B349" s="424"/>
      <c r="C349" s="456"/>
      <c r="D349" s="456"/>
      <c r="E349" s="428"/>
      <c r="F349" s="428"/>
      <c r="G349" s="428"/>
      <c r="H349" s="424"/>
      <c r="I349" s="429"/>
      <c r="J349" s="428"/>
      <c r="K349" s="431">
        <f t="shared" si="64"/>
        <v>0</v>
      </c>
      <c r="L349" s="428"/>
      <c r="M349" s="428"/>
      <c r="N349" s="476"/>
      <c r="O349" s="434"/>
      <c r="P349" s="432">
        <v>-500.0</v>
      </c>
      <c r="Q349" s="435">
        <f t="shared" si="60"/>
        <v>21652.37</v>
      </c>
      <c r="R349" s="432" t="s">
        <v>279</v>
      </c>
      <c r="S349" s="436"/>
      <c r="T349" s="459"/>
      <c r="U349" s="460"/>
      <c r="V349" s="437"/>
      <c r="W349" s="438"/>
      <c r="X349" s="423"/>
      <c r="Y349" s="423"/>
      <c r="Z349" s="423"/>
      <c r="AA349" s="423"/>
    </row>
    <row r="350" ht="14.25" customHeight="1">
      <c r="A350" s="423"/>
      <c r="B350" s="463" t="s">
        <v>91</v>
      </c>
      <c r="C350" s="464" t="s">
        <v>80</v>
      </c>
      <c r="D350" s="464">
        <f t="shared" ref="D350:P350" si="65">sum(D331:D349)</f>
        <v>15</v>
      </c>
      <c r="E350" s="465">
        <f t="shared" si="65"/>
        <v>29676.68</v>
      </c>
      <c r="F350" s="465">
        <f t="shared" si="65"/>
        <v>450</v>
      </c>
      <c r="G350" s="465">
        <f t="shared" si="65"/>
        <v>0</v>
      </c>
      <c r="H350" s="465">
        <f t="shared" si="65"/>
        <v>0</v>
      </c>
      <c r="I350" s="465">
        <f t="shared" si="65"/>
        <v>0</v>
      </c>
      <c r="J350" s="465">
        <f t="shared" si="65"/>
        <v>8000</v>
      </c>
      <c r="K350" s="465">
        <f t="shared" si="65"/>
        <v>0</v>
      </c>
      <c r="L350" s="465">
        <f t="shared" si="65"/>
        <v>10276.68</v>
      </c>
      <c r="M350" s="465">
        <f t="shared" si="65"/>
        <v>3900</v>
      </c>
      <c r="N350" s="465">
        <f t="shared" si="65"/>
        <v>7950</v>
      </c>
      <c r="O350" s="465">
        <f t="shared" si="65"/>
        <v>-7000</v>
      </c>
      <c r="P350" s="465">
        <f t="shared" si="65"/>
        <v>-5931.6</v>
      </c>
      <c r="Q350" s="467">
        <f>Q349</f>
        <v>21652.37</v>
      </c>
      <c r="R350" s="469"/>
      <c r="S350" s="436"/>
      <c r="T350" s="436"/>
      <c r="U350" s="437"/>
      <c r="V350" s="437"/>
      <c r="W350" s="438"/>
      <c r="X350" s="423"/>
      <c r="Y350" s="423"/>
      <c r="Z350" s="423"/>
      <c r="AA350" s="423"/>
    </row>
    <row r="351" ht="14.25" customHeight="1">
      <c r="C351" s="484"/>
      <c r="D351" s="484"/>
      <c r="E351" s="485"/>
      <c r="F351" s="485"/>
      <c r="G351" s="485"/>
      <c r="I351" s="122"/>
      <c r="J351" s="485"/>
      <c r="K351" s="486"/>
      <c r="L351" s="485"/>
      <c r="M351" s="485"/>
      <c r="N351" s="485"/>
      <c r="O351" s="485"/>
      <c r="U351" s="117"/>
      <c r="V351" s="119"/>
      <c r="W351" s="122"/>
    </row>
    <row r="352" ht="14.25" customHeight="1">
      <c r="A352" s="423"/>
      <c r="B352" s="424" t="s">
        <v>112</v>
      </c>
      <c r="C352" s="425">
        <v>46024.0</v>
      </c>
      <c r="D352" s="426">
        <v>1.0</v>
      </c>
      <c r="E352" s="427">
        <v>2500.0</v>
      </c>
      <c r="F352" s="428"/>
      <c r="G352" s="428"/>
      <c r="H352" s="439"/>
      <c r="I352" s="429"/>
      <c r="J352" s="427">
        <v>1000.0</v>
      </c>
      <c r="K352" s="431">
        <f>E352-J352-L352-M352-N352-I352+F352</f>
        <v>0</v>
      </c>
      <c r="L352" s="428"/>
      <c r="M352" s="428"/>
      <c r="N352" s="440">
        <v>1500.0</v>
      </c>
      <c r="O352" s="433">
        <v>-700.0</v>
      </c>
      <c r="P352" s="434"/>
      <c r="Q352" s="435">
        <f t="shared" ref="Q352:Q392" si="66">Q351+N352+O352+P352</f>
        <v>800</v>
      </c>
      <c r="R352" s="434"/>
      <c r="S352" s="436"/>
      <c r="T352" s="436"/>
      <c r="U352" s="437"/>
      <c r="V352" s="437"/>
      <c r="W352" s="438"/>
      <c r="X352" s="423"/>
      <c r="Y352" s="423"/>
      <c r="Z352" s="423"/>
      <c r="AA352" s="423"/>
    </row>
    <row r="353" ht="14.25" customHeight="1">
      <c r="A353" s="423"/>
      <c r="B353" s="424"/>
      <c r="C353" s="425">
        <v>46056.0</v>
      </c>
      <c r="D353" s="426">
        <v>1.0</v>
      </c>
      <c r="E353" s="427">
        <v>2500.0</v>
      </c>
      <c r="F353" s="441">
        <v>400.0</v>
      </c>
      <c r="G353" s="441">
        <v>1000.0</v>
      </c>
      <c r="H353" s="439" t="s">
        <v>282</v>
      </c>
      <c r="I353" s="429"/>
      <c r="J353" s="427">
        <v>2000.0</v>
      </c>
      <c r="K353" s="431">
        <f>E353-J353-L353-M353-N353-I353+F353+G353-P353</f>
        <v>0</v>
      </c>
      <c r="L353" s="428"/>
      <c r="M353" s="428"/>
      <c r="N353" s="440">
        <v>1500.0</v>
      </c>
      <c r="O353" s="433">
        <v>-700.0</v>
      </c>
      <c r="P353" s="432">
        <v>400.0</v>
      </c>
      <c r="Q353" s="435">
        <f t="shared" si="66"/>
        <v>2000</v>
      </c>
      <c r="R353" s="432" t="s">
        <v>43</v>
      </c>
      <c r="S353" s="436"/>
      <c r="T353" s="436"/>
      <c r="U353" s="437"/>
      <c r="V353" s="437"/>
      <c r="W353" s="438"/>
      <c r="X353" s="423"/>
      <c r="Y353" s="423"/>
      <c r="Z353" s="423"/>
      <c r="AA353" s="423"/>
    </row>
    <row r="354" ht="14.25" customHeight="1">
      <c r="A354" s="423"/>
      <c r="B354" s="424"/>
      <c r="C354" s="425">
        <v>46086.0</v>
      </c>
      <c r="D354" s="426">
        <v>2.0</v>
      </c>
      <c r="E354" s="427">
        <v>5200.0</v>
      </c>
      <c r="F354" s="428"/>
      <c r="G354" s="428"/>
      <c r="H354" s="439"/>
      <c r="I354" s="429"/>
      <c r="J354" s="427">
        <v>1500.0</v>
      </c>
      <c r="K354" s="431">
        <f t="shared" ref="K354:K366" si="67">E354-J354-L354-M354-N354-I354+F354</f>
        <v>0</v>
      </c>
      <c r="L354" s="428"/>
      <c r="M354" s="428"/>
      <c r="N354" s="440">
        <v>3700.0</v>
      </c>
      <c r="O354" s="433">
        <v>-700.0</v>
      </c>
      <c r="P354" s="434"/>
      <c r="Q354" s="435">
        <f t="shared" si="66"/>
        <v>5000</v>
      </c>
      <c r="R354" s="434"/>
      <c r="S354" s="436"/>
      <c r="T354" s="436"/>
      <c r="U354" s="437"/>
      <c r="V354" s="437"/>
      <c r="W354" s="438"/>
      <c r="X354" s="423"/>
      <c r="Y354" s="423"/>
      <c r="Z354" s="423"/>
      <c r="AA354" s="423"/>
    </row>
    <row r="355" ht="14.25" customHeight="1">
      <c r="A355" s="423"/>
      <c r="B355" s="442"/>
      <c r="C355" s="443">
        <v>46152.0</v>
      </c>
      <c r="D355" s="444"/>
      <c r="E355" s="445"/>
      <c r="F355" s="445"/>
      <c r="G355" s="445"/>
      <c r="H355" s="442"/>
      <c r="I355" s="446"/>
      <c r="J355" s="445"/>
      <c r="K355" s="447">
        <f t="shared" si="67"/>
        <v>0</v>
      </c>
      <c r="L355" s="445"/>
      <c r="M355" s="445"/>
      <c r="N355" s="482"/>
      <c r="O355" s="448"/>
      <c r="P355" s="448"/>
      <c r="Q355" s="449">
        <f t="shared" si="66"/>
        <v>5000</v>
      </c>
      <c r="R355" s="448"/>
      <c r="S355" s="436"/>
      <c r="T355" s="436"/>
      <c r="U355" s="437"/>
      <c r="V355" s="437"/>
      <c r="W355" s="438"/>
      <c r="X355" s="423"/>
      <c r="Y355" s="423"/>
      <c r="Z355" s="423"/>
      <c r="AA355" s="423"/>
    </row>
    <row r="356" ht="14.25" customHeight="1">
      <c r="A356" s="423"/>
      <c r="B356" s="424"/>
      <c r="C356" s="425">
        <v>46307.0</v>
      </c>
      <c r="D356" s="426">
        <v>2.0</v>
      </c>
      <c r="E356" s="427">
        <v>5031.76</v>
      </c>
      <c r="F356" s="428"/>
      <c r="G356" s="428"/>
      <c r="H356" s="439" t="s">
        <v>287</v>
      </c>
      <c r="I356" s="429"/>
      <c r="J356" s="427"/>
      <c r="K356" s="431">
        <f t="shared" si="67"/>
        <v>0</v>
      </c>
      <c r="L356" s="427">
        <v>5031.76</v>
      </c>
      <c r="M356" s="428"/>
      <c r="N356" s="440"/>
      <c r="O356" s="433">
        <v>-700.0</v>
      </c>
      <c r="P356" s="434"/>
      <c r="Q356" s="435">
        <f t="shared" si="66"/>
        <v>4300</v>
      </c>
      <c r="R356" s="434"/>
      <c r="S356" s="436"/>
      <c r="T356" s="436"/>
      <c r="U356" s="437"/>
      <c r="V356" s="437"/>
      <c r="W356" s="438"/>
      <c r="X356" s="423"/>
      <c r="Y356" s="423"/>
      <c r="Z356" s="423"/>
      <c r="AA356" s="423"/>
    </row>
    <row r="357" ht="14.25" customHeight="1">
      <c r="A357" s="423"/>
      <c r="B357" s="442"/>
      <c r="C357" s="443">
        <v>46370.0</v>
      </c>
      <c r="D357" s="444"/>
      <c r="E357" s="445"/>
      <c r="F357" s="445"/>
      <c r="G357" s="445"/>
      <c r="H357" s="442"/>
      <c r="I357" s="446"/>
      <c r="J357" s="445"/>
      <c r="K357" s="447">
        <f t="shared" si="67"/>
        <v>0</v>
      </c>
      <c r="L357" s="445"/>
      <c r="M357" s="445"/>
      <c r="N357" s="477"/>
      <c r="O357" s="448"/>
      <c r="P357" s="448"/>
      <c r="Q357" s="449">
        <f t="shared" si="66"/>
        <v>4300</v>
      </c>
      <c r="R357" s="448"/>
      <c r="S357" s="436"/>
      <c r="T357" s="436"/>
      <c r="U357" s="437"/>
      <c r="V357" s="437"/>
      <c r="W357" s="438"/>
      <c r="X357" s="423"/>
      <c r="Y357" s="423"/>
      <c r="Z357" s="423"/>
      <c r="AA357" s="423"/>
    </row>
    <row r="358" ht="14.25" customHeight="1">
      <c r="A358" s="423"/>
      <c r="B358" s="424"/>
      <c r="C358" s="426" t="s">
        <v>29</v>
      </c>
      <c r="D358" s="426">
        <v>1.0</v>
      </c>
      <c r="E358" s="427">
        <v>2000.0</v>
      </c>
      <c r="F358" s="451"/>
      <c r="G358" s="428"/>
      <c r="H358" s="439"/>
      <c r="I358" s="429"/>
      <c r="J358" s="427">
        <v>1000.0</v>
      </c>
      <c r="K358" s="431">
        <f t="shared" si="67"/>
        <v>0</v>
      </c>
      <c r="L358" s="427"/>
      <c r="M358" s="428"/>
      <c r="N358" s="440">
        <v>1000.0</v>
      </c>
      <c r="O358" s="433">
        <v>-700.0</v>
      </c>
      <c r="P358" s="434"/>
      <c r="Q358" s="435">
        <f t="shared" si="66"/>
        <v>4600</v>
      </c>
      <c r="R358" s="434"/>
      <c r="S358" s="436"/>
      <c r="T358" s="436"/>
      <c r="U358" s="437"/>
      <c r="V358" s="437"/>
      <c r="W358" s="438"/>
      <c r="X358" s="423"/>
      <c r="Y358" s="423"/>
      <c r="Z358" s="423"/>
      <c r="AA358" s="423"/>
    </row>
    <row r="359" ht="14.25" customHeight="1">
      <c r="A359" s="423"/>
      <c r="B359" s="442"/>
      <c r="C359" s="452" t="s">
        <v>30</v>
      </c>
      <c r="D359" s="444"/>
      <c r="E359" s="445"/>
      <c r="F359" s="445"/>
      <c r="G359" s="445"/>
      <c r="H359" s="442"/>
      <c r="I359" s="446"/>
      <c r="J359" s="445"/>
      <c r="K359" s="447">
        <f t="shared" si="67"/>
        <v>0</v>
      </c>
      <c r="L359" s="445"/>
      <c r="M359" s="445"/>
      <c r="N359" s="477"/>
      <c r="O359" s="448"/>
      <c r="P359" s="448"/>
      <c r="Q359" s="449">
        <f t="shared" si="66"/>
        <v>4600</v>
      </c>
      <c r="R359" s="448"/>
      <c r="S359" s="436"/>
      <c r="T359" s="436"/>
      <c r="U359" s="437"/>
      <c r="V359" s="437"/>
      <c r="W359" s="438"/>
      <c r="X359" s="423"/>
      <c r="Y359" s="423"/>
      <c r="Z359" s="423"/>
      <c r="AA359" s="423"/>
    </row>
    <row r="360" ht="14.25" customHeight="1">
      <c r="A360" s="423"/>
      <c r="B360" s="424"/>
      <c r="C360" s="426" t="s">
        <v>102</v>
      </c>
      <c r="D360" s="426">
        <v>2.0</v>
      </c>
      <c r="E360" s="427">
        <v>4000.0</v>
      </c>
      <c r="F360" s="441">
        <v>600.0</v>
      </c>
      <c r="G360" s="428"/>
      <c r="H360" s="424"/>
      <c r="I360" s="429"/>
      <c r="J360" s="427">
        <v>1800.0</v>
      </c>
      <c r="K360" s="431">
        <f t="shared" si="67"/>
        <v>0</v>
      </c>
      <c r="L360" s="427"/>
      <c r="M360" s="451"/>
      <c r="N360" s="440">
        <v>2800.0</v>
      </c>
      <c r="O360" s="433">
        <v>-700.0</v>
      </c>
      <c r="P360" s="434"/>
      <c r="Q360" s="435">
        <f t="shared" si="66"/>
        <v>6700</v>
      </c>
      <c r="R360" s="434"/>
      <c r="S360" s="436"/>
      <c r="T360" s="436"/>
      <c r="U360" s="437"/>
      <c r="V360" s="437"/>
      <c r="W360" s="438"/>
      <c r="X360" s="423"/>
      <c r="Y360" s="423"/>
      <c r="Z360" s="423"/>
      <c r="AA360" s="423"/>
    </row>
    <row r="361" ht="14.25" customHeight="1">
      <c r="A361" s="423"/>
      <c r="B361" s="424"/>
      <c r="C361" s="426" t="s">
        <v>33</v>
      </c>
      <c r="D361" s="426">
        <v>1.0</v>
      </c>
      <c r="E361" s="427">
        <v>3150.0</v>
      </c>
      <c r="F361" s="441">
        <v>500.0</v>
      </c>
      <c r="G361" s="428"/>
      <c r="H361" s="424"/>
      <c r="I361" s="429"/>
      <c r="J361" s="427">
        <v>1000.0</v>
      </c>
      <c r="K361" s="431">
        <f t="shared" si="67"/>
        <v>0</v>
      </c>
      <c r="L361" s="427"/>
      <c r="M361" s="451"/>
      <c r="N361" s="440">
        <v>2650.0</v>
      </c>
      <c r="O361" s="433">
        <v>-700.0</v>
      </c>
      <c r="P361" s="434"/>
      <c r="Q361" s="435">
        <f t="shared" si="66"/>
        <v>8650</v>
      </c>
      <c r="R361" s="434"/>
      <c r="S361" s="436"/>
      <c r="T361" s="436"/>
      <c r="U361" s="437"/>
      <c r="V361" s="437"/>
      <c r="W361" s="438"/>
      <c r="X361" s="423"/>
      <c r="Y361" s="423"/>
      <c r="Z361" s="423"/>
      <c r="AA361" s="423"/>
    </row>
    <row r="362" ht="14.25" customHeight="1">
      <c r="A362" s="423"/>
      <c r="B362" s="442"/>
      <c r="C362" s="452" t="s">
        <v>144</v>
      </c>
      <c r="D362" s="444"/>
      <c r="E362" s="445"/>
      <c r="F362" s="445"/>
      <c r="G362" s="445"/>
      <c r="H362" s="442"/>
      <c r="I362" s="446"/>
      <c r="J362" s="445"/>
      <c r="K362" s="447">
        <f t="shared" si="67"/>
        <v>0</v>
      </c>
      <c r="L362" s="445"/>
      <c r="M362" s="445"/>
      <c r="N362" s="477"/>
      <c r="O362" s="448"/>
      <c r="P362" s="448"/>
      <c r="Q362" s="449">
        <f t="shared" si="66"/>
        <v>8650</v>
      </c>
      <c r="R362" s="448"/>
      <c r="S362" s="436"/>
      <c r="T362" s="436"/>
      <c r="U362" s="437"/>
      <c r="V362" s="437"/>
      <c r="W362" s="438"/>
      <c r="X362" s="423"/>
      <c r="Y362" s="423"/>
      <c r="Z362" s="423"/>
      <c r="AA362" s="423"/>
    </row>
    <row r="363" ht="14.25" customHeight="1">
      <c r="A363" s="423"/>
      <c r="B363" s="424"/>
      <c r="C363" s="426" t="s">
        <v>70</v>
      </c>
      <c r="D363" s="426">
        <v>2.0</v>
      </c>
      <c r="E363" s="427">
        <v>3700.0</v>
      </c>
      <c r="F363" s="441">
        <v>200.0</v>
      </c>
      <c r="G363" s="428"/>
      <c r="H363" s="439"/>
      <c r="I363" s="429"/>
      <c r="J363" s="427">
        <v>1500.0</v>
      </c>
      <c r="K363" s="431">
        <f t="shared" si="67"/>
        <v>0</v>
      </c>
      <c r="L363" s="441"/>
      <c r="M363" s="428"/>
      <c r="N363" s="432">
        <v>2400.0</v>
      </c>
      <c r="O363" s="433">
        <v>-700.0</v>
      </c>
      <c r="P363" s="434"/>
      <c r="Q363" s="435">
        <f t="shared" si="66"/>
        <v>10350</v>
      </c>
      <c r="R363" s="434"/>
      <c r="S363" s="436"/>
      <c r="T363" s="436"/>
      <c r="U363" s="437"/>
      <c r="V363" s="437"/>
      <c r="W363" s="438"/>
      <c r="X363" s="423"/>
      <c r="Y363" s="423"/>
      <c r="Z363" s="423"/>
      <c r="AA363" s="423"/>
    </row>
    <row r="364" ht="14.25" customHeight="1">
      <c r="A364" s="423"/>
      <c r="B364" s="424"/>
      <c r="C364" s="426" t="s">
        <v>44</v>
      </c>
      <c r="D364" s="426">
        <v>1.0</v>
      </c>
      <c r="E364" s="427">
        <v>2000.0</v>
      </c>
      <c r="F364" s="428"/>
      <c r="G364" s="428"/>
      <c r="H364" s="439"/>
      <c r="I364" s="429"/>
      <c r="J364" s="427">
        <v>1000.0</v>
      </c>
      <c r="K364" s="431">
        <f t="shared" si="67"/>
        <v>0</v>
      </c>
      <c r="L364" s="441"/>
      <c r="M364" s="441">
        <v>1000.0</v>
      </c>
      <c r="N364" s="432"/>
      <c r="O364" s="433">
        <v>-700.0</v>
      </c>
      <c r="P364" s="434"/>
      <c r="Q364" s="435">
        <f t="shared" si="66"/>
        <v>9650</v>
      </c>
      <c r="R364" s="434"/>
      <c r="S364" s="436"/>
      <c r="T364" s="436"/>
      <c r="U364" s="437"/>
      <c r="V364" s="437"/>
      <c r="W364" s="438"/>
      <c r="X364" s="423"/>
      <c r="Y364" s="423"/>
      <c r="Z364" s="423"/>
      <c r="AA364" s="423"/>
    </row>
    <row r="365" ht="14.25" customHeight="1">
      <c r="A365" s="423"/>
      <c r="B365" s="424"/>
      <c r="C365" s="426" t="s">
        <v>45</v>
      </c>
      <c r="D365" s="426">
        <v>1.0</v>
      </c>
      <c r="E365" s="427">
        <v>2800.0</v>
      </c>
      <c r="F365" s="428"/>
      <c r="G365" s="428"/>
      <c r="H365" s="424"/>
      <c r="I365" s="429"/>
      <c r="J365" s="427">
        <v>1000.0</v>
      </c>
      <c r="K365" s="431">
        <f t="shared" si="67"/>
        <v>0</v>
      </c>
      <c r="L365" s="428"/>
      <c r="M365" s="441">
        <v>1800.0</v>
      </c>
      <c r="N365" s="432"/>
      <c r="O365" s="433">
        <v>-700.0</v>
      </c>
      <c r="P365" s="434"/>
      <c r="Q365" s="435">
        <f t="shared" si="66"/>
        <v>8950</v>
      </c>
      <c r="R365" s="434"/>
      <c r="S365" s="436"/>
      <c r="T365" s="436"/>
      <c r="U365" s="437"/>
      <c r="V365" s="437"/>
      <c r="W365" s="438"/>
      <c r="X365" s="423"/>
      <c r="Y365" s="423"/>
      <c r="Z365" s="423"/>
      <c r="AA365" s="423"/>
    </row>
    <row r="366" ht="14.25" customHeight="1">
      <c r="A366" s="423"/>
      <c r="B366" s="424"/>
      <c r="C366" s="426" t="s">
        <v>47</v>
      </c>
      <c r="D366" s="426">
        <v>1.0</v>
      </c>
      <c r="E366" s="427">
        <v>2500.0</v>
      </c>
      <c r="F366" s="441"/>
      <c r="G366" s="428"/>
      <c r="H366" s="424"/>
      <c r="I366" s="429"/>
      <c r="J366" s="427">
        <v>300.0</v>
      </c>
      <c r="K366" s="431">
        <f t="shared" si="67"/>
        <v>0</v>
      </c>
      <c r="L366" s="428"/>
      <c r="M366" s="428"/>
      <c r="N366" s="440">
        <v>2200.0</v>
      </c>
      <c r="O366" s="433">
        <v>-700.0</v>
      </c>
      <c r="P366" s="434"/>
      <c r="Q366" s="435">
        <f t="shared" si="66"/>
        <v>10450</v>
      </c>
      <c r="R366" s="434"/>
      <c r="S366" s="436"/>
      <c r="T366" s="436"/>
      <c r="U366" s="437"/>
      <c r="V366" s="437"/>
      <c r="W366" s="438"/>
      <c r="X366" s="423"/>
      <c r="Y366" s="423"/>
      <c r="Z366" s="423"/>
      <c r="AA366" s="423"/>
    </row>
    <row r="367" ht="14.25" customHeight="1">
      <c r="A367" s="423"/>
      <c r="B367" s="424"/>
      <c r="C367" s="426" t="s">
        <v>72</v>
      </c>
      <c r="D367" s="426">
        <v>1.0</v>
      </c>
      <c r="E367" s="427"/>
      <c r="F367" s="428"/>
      <c r="G367" s="428"/>
      <c r="H367" s="439" t="s">
        <v>292</v>
      </c>
      <c r="I367" s="429"/>
      <c r="J367" s="427"/>
      <c r="K367" s="431"/>
      <c r="L367" s="427"/>
      <c r="M367" s="428"/>
      <c r="N367" s="520"/>
      <c r="O367" s="433">
        <v>-700.0</v>
      </c>
      <c r="P367" s="432"/>
      <c r="Q367" s="435">
        <f t="shared" si="66"/>
        <v>9750</v>
      </c>
      <c r="R367" s="432"/>
      <c r="S367" s="436"/>
      <c r="T367" s="436"/>
      <c r="U367" s="437"/>
      <c r="V367" s="437"/>
      <c r="W367" s="438"/>
      <c r="X367" s="423"/>
      <c r="Y367" s="423"/>
      <c r="Z367" s="423"/>
      <c r="AA367" s="423"/>
    </row>
    <row r="368" ht="14.25" customHeight="1">
      <c r="A368" s="423"/>
      <c r="B368" s="442"/>
      <c r="C368" s="452" t="s">
        <v>220</v>
      </c>
      <c r="D368" s="444"/>
      <c r="E368" s="445"/>
      <c r="F368" s="445"/>
      <c r="G368" s="445"/>
      <c r="H368" s="442"/>
      <c r="I368" s="446"/>
      <c r="J368" s="445"/>
      <c r="K368" s="447"/>
      <c r="L368" s="445"/>
      <c r="M368" s="445"/>
      <c r="N368" s="477"/>
      <c r="O368" s="448"/>
      <c r="P368" s="448"/>
      <c r="Q368" s="449">
        <f t="shared" si="66"/>
        <v>9750</v>
      </c>
      <c r="R368" s="448"/>
      <c r="S368" s="436"/>
      <c r="T368" s="436"/>
      <c r="U368" s="437"/>
      <c r="V368" s="437"/>
      <c r="W368" s="438"/>
      <c r="X368" s="423"/>
      <c r="Y368" s="423"/>
      <c r="Z368" s="423"/>
      <c r="AA368" s="423"/>
    </row>
    <row r="369" ht="14.25" customHeight="1">
      <c r="A369" s="423"/>
      <c r="B369" s="424"/>
      <c r="C369" s="426"/>
      <c r="D369" s="426"/>
      <c r="E369" s="427"/>
      <c r="F369" s="428"/>
      <c r="G369" s="428"/>
      <c r="H369" s="424"/>
      <c r="I369" s="429"/>
      <c r="J369" s="427"/>
      <c r="K369" s="431">
        <f t="shared" ref="K369:K370" si="68">E369-J369-L369-M369-N369-I369+F369</f>
        <v>0</v>
      </c>
      <c r="L369" s="427"/>
      <c r="M369" s="428"/>
      <c r="N369" s="520"/>
      <c r="O369" s="433"/>
      <c r="P369" s="432">
        <v>-542.75</v>
      </c>
      <c r="Q369" s="435">
        <f t="shared" si="66"/>
        <v>9207.25</v>
      </c>
      <c r="R369" s="432" t="s">
        <v>177</v>
      </c>
      <c r="S369" s="436"/>
      <c r="T369" s="436"/>
      <c r="U369" s="437"/>
      <c r="V369" s="437"/>
      <c r="W369" s="454"/>
      <c r="X369" s="455"/>
      <c r="Y369" s="423"/>
      <c r="Z369" s="423"/>
      <c r="AA369" s="423"/>
    </row>
    <row r="370" ht="14.25" customHeight="1">
      <c r="A370" s="423"/>
      <c r="B370" s="424"/>
      <c r="C370" s="456"/>
      <c r="D370" s="456"/>
      <c r="E370" s="428"/>
      <c r="F370" s="428"/>
      <c r="G370" s="428"/>
      <c r="H370" s="424"/>
      <c r="I370" s="429"/>
      <c r="J370" s="428"/>
      <c r="K370" s="431">
        <f t="shared" si="68"/>
        <v>0</v>
      </c>
      <c r="L370" s="428"/>
      <c r="M370" s="428"/>
      <c r="N370" s="476"/>
      <c r="O370" s="434"/>
      <c r="P370" s="432">
        <v>-5637.66</v>
      </c>
      <c r="Q370" s="435">
        <f t="shared" si="66"/>
        <v>3569.59</v>
      </c>
      <c r="R370" s="432" t="s">
        <v>208</v>
      </c>
      <c r="S370" s="436"/>
      <c r="T370" s="436"/>
      <c r="U370" s="437"/>
      <c r="V370" s="437"/>
      <c r="W370" s="438"/>
      <c r="X370" s="423"/>
      <c r="Y370" s="423"/>
      <c r="Z370" s="423"/>
      <c r="AA370" s="423"/>
    </row>
    <row r="371" ht="14.25" customHeight="1">
      <c r="A371" s="423"/>
      <c r="B371" s="463" t="s">
        <v>112</v>
      </c>
      <c r="C371" s="464" t="s">
        <v>80</v>
      </c>
      <c r="D371" s="464">
        <f t="shared" ref="D371:P371" si="69">sum(D352:D370)</f>
        <v>16</v>
      </c>
      <c r="E371" s="465">
        <f t="shared" si="69"/>
        <v>35381.76</v>
      </c>
      <c r="F371" s="465">
        <f t="shared" si="69"/>
        <v>1700</v>
      </c>
      <c r="G371" s="465">
        <f t="shared" si="69"/>
        <v>1000</v>
      </c>
      <c r="H371" s="465">
        <f t="shared" si="69"/>
        <v>0</v>
      </c>
      <c r="I371" s="465">
        <f t="shared" si="69"/>
        <v>0</v>
      </c>
      <c r="J371" s="465">
        <f t="shared" si="69"/>
        <v>12100</v>
      </c>
      <c r="K371" s="465">
        <f t="shared" si="69"/>
        <v>0</v>
      </c>
      <c r="L371" s="465">
        <f t="shared" si="69"/>
        <v>5031.76</v>
      </c>
      <c r="M371" s="465">
        <f t="shared" si="69"/>
        <v>2800</v>
      </c>
      <c r="N371" s="465">
        <f t="shared" si="69"/>
        <v>17750</v>
      </c>
      <c r="O371" s="465">
        <f t="shared" si="69"/>
        <v>-8400</v>
      </c>
      <c r="P371" s="465">
        <f t="shared" si="69"/>
        <v>-5780.41</v>
      </c>
      <c r="Q371" s="467">
        <f t="shared" si="66"/>
        <v>7139.18</v>
      </c>
      <c r="R371" s="469"/>
      <c r="S371" s="436"/>
      <c r="T371" s="436"/>
      <c r="U371" s="437"/>
      <c r="V371" s="437"/>
      <c r="W371" s="438"/>
      <c r="X371" s="423"/>
      <c r="Y371" s="423"/>
      <c r="Z371" s="423"/>
      <c r="AA371" s="423"/>
    </row>
    <row r="372" ht="14.25" customHeight="1">
      <c r="A372" s="423"/>
      <c r="B372" s="439" t="s">
        <v>141</v>
      </c>
      <c r="C372" s="425">
        <v>46024.0</v>
      </c>
      <c r="D372" s="426">
        <v>1.0</v>
      </c>
      <c r="E372" s="427">
        <v>2500.0</v>
      </c>
      <c r="F372" s="428"/>
      <c r="G372" s="428"/>
      <c r="H372" s="439"/>
      <c r="I372" s="429"/>
      <c r="J372" s="427">
        <v>1000.0</v>
      </c>
      <c r="K372" s="431">
        <f>E372-J372-L372-M372-N372-I372+F372</f>
        <v>0</v>
      </c>
      <c r="L372" s="428"/>
      <c r="M372" s="428"/>
      <c r="N372" s="440">
        <v>1500.0</v>
      </c>
      <c r="O372" s="433">
        <v>-700.0</v>
      </c>
      <c r="P372" s="434"/>
      <c r="Q372" s="435">
        <f t="shared" si="66"/>
        <v>7939.18</v>
      </c>
      <c r="R372" s="434"/>
      <c r="S372" s="436"/>
      <c r="T372" s="436"/>
      <c r="U372" s="437"/>
      <c r="V372" s="437"/>
      <c r="W372" s="438"/>
      <c r="X372" s="423"/>
      <c r="Y372" s="423"/>
      <c r="Z372" s="423"/>
      <c r="AA372" s="423"/>
    </row>
    <row r="373" ht="14.25" customHeight="1">
      <c r="A373" s="423"/>
      <c r="B373" s="424"/>
      <c r="C373" s="425">
        <v>46056.0</v>
      </c>
      <c r="D373" s="426">
        <v>1.0</v>
      </c>
      <c r="E373" s="427">
        <v>2608.28</v>
      </c>
      <c r="F373" s="441"/>
      <c r="G373" s="441"/>
      <c r="H373" s="439"/>
      <c r="I373" s="429"/>
      <c r="J373" s="427"/>
      <c r="K373" s="431">
        <f>E373-J373-L373-M373-N373-I373+F373+G373</f>
        <v>0</v>
      </c>
      <c r="L373" s="427">
        <v>2608.28</v>
      </c>
      <c r="M373" s="428"/>
      <c r="N373" s="440"/>
      <c r="O373" s="433">
        <v>-700.0</v>
      </c>
      <c r="P373" s="434"/>
      <c r="Q373" s="435">
        <f t="shared" si="66"/>
        <v>7239.18</v>
      </c>
      <c r="R373" s="434"/>
      <c r="S373" s="436"/>
      <c r="T373" s="436"/>
      <c r="U373" s="437"/>
      <c r="V373" s="437"/>
      <c r="W373" s="438"/>
      <c r="X373" s="423"/>
      <c r="Y373" s="423"/>
      <c r="Z373" s="423"/>
      <c r="AA373" s="423"/>
    </row>
    <row r="374" ht="14.25" customHeight="1">
      <c r="A374" s="423"/>
      <c r="B374" s="442"/>
      <c r="C374" s="443">
        <v>46085.0</v>
      </c>
      <c r="D374" s="444"/>
      <c r="E374" s="445"/>
      <c r="F374" s="445"/>
      <c r="G374" s="445"/>
      <c r="H374" s="442"/>
      <c r="I374" s="446"/>
      <c r="J374" s="445"/>
      <c r="K374" s="447">
        <f t="shared" ref="K374:K392" si="70">E374-J374-L374-M374-N374-I374+F374</f>
        <v>0</v>
      </c>
      <c r="L374" s="445"/>
      <c r="M374" s="445"/>
      <c r="N374" s="482"/>
      <c r="O374" s="448"/>
      <c r="P374" s="448"/>
      <c r="Q374" s="449">
        <f t="shared" si="66"/>
        <v>7239.18</v>
      </c>
      <c r="R374" s="448"/>
      <c r="S374" s="436"/>
      <c r="T374" s="436"/>
      <c r="U374" s="437"/>
      <c r="V374" s="437"/>
      <c r="W374" s="438"/>
      <c r="X374" s="423"/>
      <c r="Y374" s="423"/>
      <c r="Z374" s="423"/>
      <c r="AA374" s="423"/>
    </row>
    <row r="375" ht="14.25" customHeight="1">
      <c r="A375" s="423"/>
      <c r="B375" s="424"/>
      <c r="C375" s="425">
        <v>46118.0</v>
      </c>
      <c r="D375" s="426">
        <v>2.0</v>
      </c>
      <c r="E375" s="427">
        <v>5100.0</v>
      </c>
      <c r="F375" s="428"/>
      <c r="G375" s="428"/>
      <c r="H375" s="439"/>
      <c r="I375" s="429"/>
      <c r="J375" s="427">
        <v>1500.0</v>
      </c>
      <c r="K375" s="431">
        <f t="shared" si="70"/>
        <v>0</v>
      </c>
      <c r="L375" s="427"/>
      <c r="M375" s="428"/>
      <c r="N375" s="440">
        <v>3600.0</v>
      </c>
      <c r="O375" s="433">
        <v>-700.0</v>
      </c>
      <c r="P375" s="434"/>
      <c r="Q375" s="435">
        <f t="shared" si="66"/>
        <v>10139.18</v>
      </c>
      <c r="R375" s="434"/>
      <c r="S375" s="436"/>
      <c r="T375" s="436"/>
      <c r="U375" s="437"/>
      <c r="V375" s="437"/>
      <c r="W375" s="438"/>
      <c r="X375" s="423"/>
      <c r="Y375" s="423"/>
      <c r="Z375" s="423"/>
      <c r="AA375" s="423"/>
    </row>
    <row r="376" ht="14.25" customHeight="1">
      <c r="A376" s="423"/>
      <c r="B376" s="442"/>
      <c r="C376" s="443">
        <v>46183.0</v>
      </c>
      <c r="D376" s="444"/>
      <c r="E376" s="445"/>
      <c r="F376" s="445"/>
      <c r="G376" s="445"/>
      <c r="H376" s="442"/>
      <c r="I376" s="446"/>
      <c r="J376" s="445"/>
      <c r="K376" s="447">
        <f t="shared" si="70"/>
        <v>0</v>
      </c>
      <c r="L376" s="445"/>
      <c r="M376" s="445"/>
      <c r="N376" s="477"/>
      <c r="O376" s="448"/>
      <c r="P376" s="448"/>
      <c r="Q376" s="449">
        <f t="shared" si="66"/>
        <v>10139.18</v>
      </c>
      <c r="R376" s="448"/>
      <c r="S376" s="436"/>
      <c r="T376" s="436"/>
      <c r="U376" s="437"/>
      <c r="V376" s="437"/>
      <c r="W376" s="438"/>
      <c r="X376" s="423"/>
      <c r="Y376" s="423"/>
      <c r="Z376" s="423"/>
      <c r="AA376" s="423"/>
    </row>
    <row r="377" ht="14.25" customHeight="1">
      <c r="A377" s="423"/>
      <c r="B377" s="424"/>
      <c r="C377" s="425">
        <v>46306.0</v>
      </c>
      <c r="D377" s="426">
        <v>1.0</v>
      </c>
      <c r="E377" s="427">
        <v>1000.0</v>
      </c>
      <c r="F377" s="451"/>
      <c r="G377" s="428"/>
      <c r="H377" s="439" t="s">
        <v>294</v>
      </c>
      <c r="I377" s="429"/>
      <c r="J377" s="427">
        <v>1000.0</v>
      </c>
      <c r="K377" s="431">
        <f t="shared" si="70"/>
        <v>0</v>
      </c>
      <c r="L377" s="427"/>
      <c r="M377" s="428"/>
      <c r="N377" s="440"/>
      <c r="O377" s="433"/>
      <c r="P377" s="434"/>
      <c r="Q377" s="435">
        <f t="shared" si="66"/>
        <v>10139.18</v>
      </c>
      <c r="R377" s="432" t="s">
        <v>81</v>
      </c>
      <c r="S377" s="436"/>
      <c r="T377" s="436"/>
      <c r="U377" s="437"/>
      <c r="V377" s="437"/>
      <c r="W377" s="438"/>
      <c r="X377" s="423"/>
      <c r="Y377" s="423"/>
      <c r="Z377" s="423"/>
      <c r="AA377" s="423"/>
    </row>
    <row r="378" ht="14.25" customHeight="1">
      <c r="A378" s="423"/>
      <c r="B378" s="424"/>
      <c r="C378" s="425">
        <v>46338.0</v>
      </c>
      <c r="D378" s="426">
        <v>1.0</v>
      </c>
      <c r="E378" s="427">
        <v>2800.0</v>
      </c>
      <c r="F378" s="428"/>
      <c r="G378" s="428"/>
      <c r="H378" s="439"/>
      <c r="I378" s="429"/>
      <c r="J378" s="427">
        <v>1000.0</v>
      </c>
      <c r="K378" s="431">
        <f t="shared" si="70"/>
        <v>0</v>
      </c>
      <c r="L378" s="427"/>
      <c r="M378" s="428"/>
      <c r="N378" s="440">
        <v>1800.0</v>
      </c>
      <c r="O378" s="433">
        <v>-700.0</v>
      </c>
      <c r="P378" s="434"/>
      <c r="Q378" s="435">
        <f t="shared" si="66"/>
        <v>11239.18</v>
      </c>
      <c r="R378" s="434"/>
      <c r="S378" s="560"/>
      <c r="T378" s="436"/>
      <c r="U378" s="437"/>
      <c r="V378" s="437"/>
      <c r="W378" s="438"/>
      <c r="X378" s="423"/>
      <c r="Y378" s="423"/>
      <c r="Z378" s="423"/>
      <c r="AA378" s="423"/>
    </row>
    <row r="379" ht="14.25" customHeight="1">
      <c r="A379" s="423"/>
      <c r="B379" s="442"/>
      <c r="C379" s="443">
        <v>46370.0</v>
      </c>
      <c r="D379" s="444"/>
      <c r="E379" s="445"/>
      <c r="F379" s="445"/>
      <c r="G379" s="445"/>
      <c r="H379" s="442"/>
      <c r="I379" s="446"/>
      <c r="J379" s="445"/>
      <c r="K379" s="447">
        <f t="shared" si="70"/>
        <v>0</v>
      </c>
      <c r="L379" s="445"/>
      <c r="M379" s="445"/>
      <c r="N379" s="477"/>
      <c r="O379" s="448"/>
      <c r="P379" s="448"/>
      <c r="Q379" s="449">
        <f t="shared" si="66"/>
        <v>11239.18</v>
      </c>
      <c r="R379" s="448"/>
      <c r="S379" s="560" t="s">
        <v>296</v>
      </c>
      <c r="T379" s="436"/>
      <c r="U379" s="562" t="s">
        <v>297</v>
      </c>
      <c r="V379" s="437"/>
      <c r="W379" s="438"/>
      <c r="X379" s="423"/>
      <c r="Y379" s="423"/>
      <c r="Z379" s="423"/>
      <c r="AA379" s="423"/>
    </row>
    <row r="380" ht="14.25" customHeight="1">
      <c r="A380" s="423"/>
      <c r="B380" s="424"/>
      <c r="C380" s="426" t="s">
        <v>29</v>
      </c>
      <c r="D380" s="426">
        <v>1.0</v>
      </c>
      <c r="E380" s="427">
        <v>2300.0</v>
      </c>
      <c r="F380" s="441"/>
      <c r="G380" s="428"/>
      <c r="H380" s="424"/>
      <c r="I380" s="429"/>
      <c r="J380" s="427">
        <v>1000.0</v>
      </c>
      <c r="K380" s="431">
        <f t="shared" si="70"/>
        <v>0</v>
      </c>
      <c r="L380" s="427"/>
      <c r="M380" s="427">
        <v>1300.0</v>
      </c>
      <c r="N380" s="440"/>
      <c r="O380" s="433">
        <v>-700.0</v>
      </c>
      <c r="P380" s="434"/>
      <c r="Q380" s="435">
        <f t="shared" si="66"/>
        <v>10539.18</v>
      </c>
      <c r="R380" s="432" t="s">
        <v>299</v>
      </c>
      <c r="S380" s="436"/>
      <c r="T380" s="436"/>
      <c r="U380" s="437"/>
      <c r="V380" s="437"/>
      <c r="W380" s="438"/>
      <c r="X380" s="423"/>
      <c r="Y380" s="423"/>
      <c r="Z380" s="423"/>
      <c r="AA380" s="423"/>
    </row>
    <row r="381" ht="14.25" customHeight="1">
      <c r="A381" s="423"/>
      <c r="B381" s="442"/>
      <c r="C381" s="452" t="s">
        <v>30</v>
      </c>
      <c r="D381" s="444"/>
      <c r="E381" s="445"/>
      <c r="F381" s="445"/>
      <c r="G381" s="445"/>
      <c r="H381" s="442"/>
      <c r="I381" s="446"/>
      <c r="J381" s="445"/>
      <c r="K381" s="447">
        <f t="shared" si="70"/>
        <v>0</v>
      </c>
      <c r="L381" s="445"/>
      <c r="M381" s="445"/>
      <c r="N381" s="477"/>
      <c r="O381" s="448"/>
      <c r="P381" s="448"/>
      <c r="Q381" s="449">
        <f t="shared" si="66"/>
        <v>10539.18</v>
      </c>
      <c r="R381" s="448"/>
      <c r="S381" s="436"/>
      <c r="T381" s="436"/>
      <c r="U381" s="437"/>
      <c r="V381" s="437"/>
      <c r="W381" s="438"/>
      <c r="X381" s="423"/>
      <c r="Y381" s="423"/>
      <c r="Z381" s="423"/>
      <c r="AA381" s="423"/>
    </row>
    <row r="382" ht="14.25" customHeight="1">
      <c r="A382" s="423"/>
      <c r="B382" s="424"/>
      <c r="C382" s="426" t="s">
        <v>31</v>
      </c>
      <c r="D382" s="426">
        <v>1.0</v>
      </c>
      <c r="E382" s="427">
        <v>4050.0</v>
      </c>
      <c r="F382" s="428"/>
      <c r="G382" s="428"/>
      <c r="H382" s="439"/>
      <c r="I382" s="429"/>
      <c r="J382" s="427">
        <v>1000.0</v>
      </c>
      <c r="K382" s="431">
        <f t="shared" si="70"/>
        <v>0</v>
      </c>
      <c r="L382" s="441"/>
      <c r="M382" s="441">
        <v>3050.0</v>
      </c>
      <c r="N382" s="432"/>
      <c r="O382" s="433">
        <v>-700.0</v>
      </c>
      <c r="P382" s="434"/>
      <c r="Q382" s="435">
        <f t="shared" si="66"/>
        <v>9839.18</v>
      </c>
      <c r="R382" s="434"/>
      <c r="S382" s="436"/>
      <c r="T382" s="436"/>
      <c r="U382" s="437"/>
      <c r="V382" s="437"/>
      <c r="W382" s="438"/>
      <c r="X382" s="423"/>
      <c r="Y382" s="423"/>
      <c r="Z382" s="423"/>
      <c r="AA382" s="423"/>
    </row>
    <row r="383" ht="14.25" customHeight="1">
      <c r="A383" s="423"/>
      <c r="B383" s="442"/>
      <c r="C383" s="452" t="s">
        <v>171</v>
      </c>
      <c r="D383" s="444"/>
      <c r="E383" s="445"/>
      <c r="F383" s="445"/>
      <c r="G383" s="445"/>
      <c r="H383" s="442"/>
      <c r="I383" s="446"/>
      <c r="J383" s="445"/>
      <c r="K383" s="447">
        <f t="shared" si="70"/>
        <v>0</v>
      </c>
      <c r="L383" s="445"/>
      <c r="M383" s="445"/>
      <c r="N383" s="477"/>
      <c r="O383" s="448"/>
      <c r="P383" s="448"/>
      <c r="Q383" s="449">
        <f t="shared" si="66"/>
        <v>9839.18</v>
      </c>
      <c r="R383" s="448"/>
      <c r="S383" s="436"/>
      <c r="T383" s="436"/>
      <c r="U383" s="437"/>
      <c r="V383" s="437"/>
      <c r="W383" s="438"/>
      <c r="X383" s="423"/>
      <c r="Y383" s="423"/>
      <c r="Z383" s="423"/>
      <c r="AA383" s="423"/>
    </row>
    <row r="384" ht="14.25" customHeight="1">
      <c r="A384" s="423"/>
      <c r="B384" s="424"/>
      <c r="C384" s="426" t="s">
        <v>35</v>
      </c>
      <c r="D384" s="426">
        <v>2.0</v>
      </c>
      <c r="E384" s="427">
        <v>3700.0</v>
      </c>
      <c r="F384" s="441">
        <v>900.0</v>
      </c>
      <c r="G384" s="428"/>
      <c r="H384" s="439"/>
      <c r="I384" s="429"/>
      <c r="J384" s="427">
        <v>1950.0</v>
      </c>
      <c r="K384" s="431">
        <f t="shared" si="70"/>
        <v>0</v>
      </c>
      <c r="L384" s="441"/>
      <c r="M384" s="441">
        <v>2650.0</v>
      </c>
      <c r="N384" s="432"/>
      <c r="O384" s="433">
        <v>-700.0</v>
      </c>
      <c r="P384" s="434"/>
      <c r="Q384" s="435">
        <f t="shared" si="66"/>
        <v>9139.18</v>
      </c>
      <c r="R384" s="434"/>
      <c r="S384" s="436"/>
      <c r="T384" s="436"/>
      <c r="U384" s="437"/>
      <c r="V384" s="437"/>
      <c r="W384" s="438"/>
      <c r="X384" s="423"/>
      <c r="Y384" s="423"/>
      <c r="Z384" s="423"/>
      <c r="AA384" s="423"/>
    </row>
    <row r="385" ht="14.25" customHeight="1">
      <c r="A385" s="423"/>
      <c r="B385" s="442"/>
      <c r="C385" s="452" t="s">
        <v>37</v>
      </c>
      <c r="D385" s="444"/>
      <c r="E385" s="445"/>
      <c r="F385" s="445"/>
      <c r="G385" s="445"/>
      <c r="H385" s="442"/>
      <c r="I385" s="446"/>
      <c r="J385" s="445"/>
      <c r="K385" s="447">
        <f t="shared" si="70"/>
        <v>0</v>
      </c>
      <c r="L385" s="445"/>
      <c r="M385" s="445"/>
      <c r="N385" s="477"/>
      <c r="O385" s="448"/>
      <c r="P385" s="448"/>
      <c r="Q385" s="449">
        <f t="shared" si="66"/>
        <v>9139.18</v>
      </c>
      <c r="R385" s="448"/>
      <c r="S385" s="436"/>
      <c r="T385" s="436"/>
      <c r="U385" s="437"/>
      <c r="V385" s="437"/>
      <c r="W385" s="438"/>
      <c r="X385" s="423"/>
      <c r="Y385" s="423"/>
      <c r="Z385" s="423"/>
      <c r="AA385" s="423"/>
    </row>
    <row r="386" ht="14.25" customHeight="1">
      <c r="A386" s="423"/>
      <c r="B386" s="424"/>
      <c r="C386" s="426" t="s">
        <v>108</v>
      </c>
      <c r="D386" s="426">
        <v>2.0</v>
      </c>
      <c r="E386" s="427">
        <v>5800.0</v>
      </c>
      <c r="F386" s="441"/>
      <c r="G386" s="428"/>
      <c r="H386" s="424"/>
      <c r="I386" s="429"/>
      <c r="J386" s="427">
        <v>1500.0</v>
      </c>
      <c r="K386" s="431">
        <f t="shared" si="70"/>
        <v>0</v>
      </c>
      <c r="L386" s="428"/>
      <c r="M386" s="428"/>
      <c r="N386" s="440">
        <v>4300.0</v>
      </c>
      <c r="O386" s="433">
        <v>-700.0</v>
      </c>
      <c r="P386" s="434"/>
      <c r="Q386" s="435">
        <f t="shared" si="66"/>
        <v>12739.18</v>
      </c>
      <c r="R386" s="434"/>
      <c r="S386" s="436"/>
      <c r="T386" s="436"/>
      <c r="U386" s="437"/>
      <c r="V386" s="437"/>
      <c r="W386" s="438"/>
      <c r="X386" s="423"/>
      <c r="Y386" s="423"/>
      <c r="Z386" s="423"/>
      <c r="AA386" s="423"/>
    </row>
    <row r="387" ht="14.25" customHeight="1">
      <c r="A387" s="423"/>
      <c r="B387" s="424"/>
      <c r="C387" s="566" t="s">
        <v>99</v>
      </c>
      <c r="D387" s="426">
        <v>2.0</v>
      </c>
      <c r="E387" s="427">
        <f>1800+2300</f>
        <v>4100</v>
      </c>
      <c r="F387" s="428"/>
      <c r="G387" s="428"/>
      <c r="H387" s="439"/>
      <c r="I387" s="429"/>
      <c r="J387" s="427">
        <v>1000.0</v>
      </c>
      <c r="K387" s="431">
        <f t="shared" si="70"/>
        <v>0</v>
      </c>
      <c r="L387" s="427"/>
      <c r="M387" s="428">
        <f>1300+1800</f>
        <v>3100</v>
      </c>
      <c r="N387" s="440"/>
      <c r="O387" s="433">
        <v>-700.0</v>
      </c>
      <c r="P387" s="432"/>
      <c r="Q387" s="435">
        <f t="shared" si="66"/>
        <v>12039.18</v>
      </c>
      <c r="R387" s="432"/>
      <c r="S387" s="436"/>
      <c r="T387" s="436"/>
      <c r="U387" s="437"/>
      <c r="V387" s="437"/>
      <c r="W387" s="438"/>
      <c r="X387" s="423"/>
      <c r="Y387" s="423"/>
      <c r="Z387" s="423"/>
      <c r="AA387" s="423"/>
    </row>
    <row r="388" ht="14.25" customHeight="1">
      <c r="A388" s="423"/>
      <c r="B388" s="426"/>
      <c r="C388" s="174" t="s">
        <v>72</v>
      </c>
      <c r="D388" s="426">
        <v>1.0</v>
      </c>
      <c r="E388" s="427">
        <v>2000.0</v>
      </c>
      <c r="F388" s="428"/>
      <c r="G388" s="428"/>
      <c r="H388" s="439"/>
      <c r="I388" s="429"/>
      <c r="J388" s="427">
        <v>1000.0</v>
      </c>
      <c r="K388" s="431">
        <f t="shared" si="70"/>
        <v>0</v>
      </c>
      <c r="L388" s="427"/>
      <c r="M388" s="441">
        <v>1000.0</v>
      </c>
      <c r="N388" s="440"/>
      <c r="O388" s="433">
        <v>-700.0</v>
      </c>
      <c r="P388" s="432"/>
      <c r="Q388" s="435">
        <f t="shared" si="66"/>
        <v>11339.18</v>
      </c>
      <c r="R388" s="432"/>
      <c r="S388" s="436"/>
      <c r="T388" s="436"/>
      <c r="U388" s="437"/>
      <c r="V388" s="437"/>
      <c r="W388" s="438"/>
      <c r="X388" s="423"/>
      <c r="Y388" s="423"/>
      <c r="Z388" s="423"/>
      <c r="AA388" s="423"/>
    </row>
    <row r="389" ht="14.25" customHeight="1">
      <c r="A389" s="423"/>
      <c r="B389" s="442"/>
      <c r="C389" s="452" t="s">
        <v>73</v>
      </c>
      <c r="D389" s="452"/>
      <c r="E389" s="568"/>
      <c r="F389" s="445"/>
      <c r="G389" s="445"/>
      <c r="H389" s="569"/>
      <c r="I389" s="446"/>
      <c r="J389" s="568"/>
      <c r="K389" s="447">
        <f t="shared" si="70"/>
        <v>0</v>
      </c>
      <c r="L389" s="568"/>
      <c r="M389" s="445"/>
      <c r="N389" s="570"/>
      <c r="O389" s="571"/>
      <c r="P389" s="481"/>
      <c r="Q389" s="449">
        <f t="shared" si="66"/>
        <v>11339.18</v>
      </c>
      <c r="R389" s="481"/>
      <c r="S389" s="436"/>
      <c r="T389" s="436"/>
      <c r="U389" s="437"/>
      <c r="V389" s="437"/>
      <c r="W389" s="438"/>
      <c r="X389" s="423"/>
      <c r="Y389" s="423"/>
      <c r="Z389" s="423"/>
      <c r="AA389" s="423"/>
    </row>
    <row r="390" ht="14.25" customHeight="1">
      <c r="A390" s="423"/>
      <c r="B390" s="424"/>
      <c r="C390" s="426" t="s">
        <v>167</v>
      </c>
      <c r="D390" s="426">
        <v>3.0</v>
      </c>
      <c r="E390" s="427">
        <v>7200.0</v>
      </c>
      <c r="F390" s="428"/>
      <c r="G390" s="428"/>
      <c r="H390" s="424"/>
      <c r="I390" s="429"/>
      <c r="J390" s="427">
        <v>2000.0</v>
      </c>
      <c r="K390" s="431">
        <f t="shared" si="70"/>
        <v>0</v>
      </c>
      <c r="L390" s="427"/>
      <c r="M390" s="441">
        <v>5200.0</v>
      </c>
      <c r="N390" s="440"/>
      <c r="O390" s="433">
        <v>700.0</v>
      </c>
      <c r="P390" s="432"/>
      <c r="Q390" s="435">
        <f t="shared" si="66"/>
        <v>12039.18</v>
      </c>
      <c r="R390" s="432"/>
      <c r="S390" s="436"/>
      <c r="T390" s="436"/>
      <c r="U390" s="437"/>
      <c r="V390" s="437"/>
      <c r="W390" s="454"/>
      <c r="X390" s="455"/>
      <c r="Y390" s="423"/>
      <c r="Z390" s="423"/>
      <c r="AA390" s="423"/>
    </row>
    <row r="391" ht="14.25" customHeight="1">
      <c r="A391" s="423"/>
      <c r="B391" s="424"/>
      <c r="C391" s="426"/>
      <c r="D391" s="426"/>
      <c r="E391" s="427"/>
      <c r="F391" s="428"/>
      <c r="G391" s="428"/>
      <c r="H391" s="424"/>
      <c r="I391" s="429"/>
      <c r="J391" s="427"/>
      <c r="K391" s="431">
        <f t="shared" si="70"/>
        <v>0</v>
      </c>
      <c r="L391" s="427"/>
      <c r="M391" s="428"/>
      <c r="N391" s="520"/>
      <c r="O391" s="433"/>
      <c r="P391" s="432">
        <v>-545.25</v>
      </c>
      <c r="Q391" s="435">
        <f t="shared" si="66"/>
        <v>11493.93</v>
      </c>
      <c r="R391" s="432" t="s">
        <v>177</v>
      </c>
      <c r="S391" s="436"/>
      <c r="T391" s="436"/>
      <c r="U391" s="437"/>
      <c r="V391" s="437"/>
      <c r="W391" s="454"/>
      <c r="X391" s="455"/>
      <c r="Y391" s="423"/>
      <c r="Z391" s="423"/>
      <c r="AA391" s="423"/>
    </row>
    <row r="392" ht="14.25" customHeight="1">
      <c r="A392" s="423"/>
      <c r="B392" s="424"/>
      <c r="C392" s="456"/>
      <c r="D392" s="456"/>
      <c r="E392" s="428"/>
      <c r="F392" s="428"/>
      <c r="G392" s="428"/>
      <c r="H392" s="424"/>
      <c r="I392" s="429"/>
      <c r="J392" s="428"/>
      <c r="K392" s="431">
        <f t="shared" si="70"/>
        <v>0</v>
      </c>
      <c r="L392" s="428"/>
      <c r="M392" s="428"/>
      <c r="N392" s="476"/>
      <c r="O392" s="434"/>
      <c r="P392" s="432">
        <v>-5706.9</v>
      </c>
      <c r="Q392" s="435">
        <f t="shared" si="66"/>
        <v>5787.03</v>
      </c>
      <c r="R392" s="432" t="s">
        <v>208</v>
      </c>
      <c r="S392" s="436"/>
      <c r="T392" s="436"/>
      <c r="U392" s="437"/>
      <c r="V392" s="437"/>
      <c r="W392" s="438"/>
      <c r="X392" s="423"/>
      <c r="Y392" s="423"/>
      <c r="Z392" s="423"/>
      <c r="AA392" s="423"/>
    </row>
    <row r="393" ht="14.25" customHeight="1">
      <c r="A393" s="423"/>
      <c r="B393" s="463" t="s">
        <v>141</v>
      </c>
      <c r="C393" s="464" t="s">
        <v>80</v>
      </c>
      <c r="D393" s="464">
        <f t="shared" ref="D393:P393" si="71">sum(D372:D392)</f>
        <v>18</v>
      </c>
      <c r="E393" s="465">
        <f t="shared" si="71"/>
        <v>43158.28</v>
      </c>
      <c r="F393" s="465">
        <f t="shared" si="71"/>
        <v>900</v>
      </c>
      <c r="G393" s="465">
        <f t="shared" si="71"/>
        <v>0</v>
      </c>
      <c r="H393" s="465">
        <f t="shared" si="71"/>
        <v>0</v>
      </c>
      <c r="I393" s="465">
        <f t="shared" si="71"/>
        <v>0</v>
      </c>
      <c r="J393" s="465">
        <f t="shared" si="71"/>
        <v>13950</v>
      </c>
      <c r="K393" s="465">
        <f t="shared" si="71"/>
        <v>0</v>
      </c>
      <c r="L393" s="465">
        <f t="shared" si="71"/>
        <v>2608.28</v>
      </c>
      <c r="M393" s="465">
        <f t="shared" si="71"/>
        <v>16300</v>
      </c>
      <c r="N393" s="465">
        <f t="shared" si="71"/>
        <v>11200</v>
      </c>
      <c r="O393" s="465">
        <f t="shared" si="71"/>
        <v>-6300</v>
      </c>
      <c r="P393" s="465">
        <f t="shared" si="71"/>
        <v>-6252.15</v>
      </c>
      <c r="Q393" s="467">
        <f>Q392</f>
        <v>5787.03</v>
      </c>
      <c r="R393" s="469"/>
      <c r="S393" s="436"/>
      <c r="T393" s="436"/>
      <c r="U393" s="437"/>
      <c r="V393" s="437"/>
      <c r="W393" s="438"/>
      <c r="X393" s="423"/>
      <c r="Y393" s="423"/>
      <c r="Z393" s="423"/>
      <c r="AA393" s="423"/>
    </row>
    <row r="394" ht="14.25" customHeight="1">
      <c r="A394" s="423"/>
      <c r="B394" s="442" t="s">
        <v>307</v>
      </c>
      <c r="C394" s="443">
        <v>46024.0</v>
      </c>
      <c r="D394" s="444"/>
      <c r="E394" s="445"/>
      <c r="F394" s="445"/>
      <c r="G394" s="445"/>
      <c r="H394" s="442"/>
      <c r="I394" s="446"/>
      <c r="J394" s="445"/>
      <c r="K394" s="447">
        <f>E394-J394-L394-M394-N394-I394+F394</f>
        <v>0</v>
      </c>
      <c r="L394" s="445"/>
      <c r="M394" s="445"/>
      <c r="N394" s="482"/>
      <c r="O394" s="448"/>
      <c r="P394" s="448"/>
      <c r="Q394" s="449">
        <f t="shared" ref="Q394:Q416" si="72">Q393+N394+O394+P394</f>
        <v>5787.03</v>
      </c>
      <c r="R394" s="448"/>
      <c r="S394" s="436"/>
      <c r="T394" s="436"/>
      <c r="U394" s="437"/>
      <c r="V394" s="437"/>
      <c r="W394" s="438"/>
      <c r="X394" s="423"/>
      <c r="Y394" s="423"/>
      <c r="Z394" s="423"/>
      <c r="AA394" s="423"/>
    </row>
    <row r="395" ht="14.25" customHeight="1">
      <c r="A395" s="423"/>
      <c r="B395" s="439" t="s">
        <v>307</v>
      </c>
      <c r="C395" s="425">
        <v>46056.0</v>
      </c>
      <c r="D395" s="426">
        <v>1.0</v>
      </c>
      <c r="E395" s="427">
        <v>2000.0</v>
      </c>
      <c r="F395" s="441"/>
      <c r="G395" s="441"/>
      <c r="H395" s="439"/>
      <c r="I395" s="429"/>
      <c r="J395" s="427">
        <v>1000.0</v>
      </c>
      <c r="K395" s="431">
        <f>E395-J395-L395-M395-N395-I395+F395+G395</f>
        <v>0</v>
      </c>
      <c r="L395" s="427"/>
      <c r="M395" s="441">
        <v>1000.0</v>
      </c>
      <c r="N395" s="440"/>
      <c r="O395" s="433">
        <v>-700.0</v>
      </c>
      <c r="P395" s="434"/>
      <c r="Q395" s="435">
        <f t="shared" si="72"/>
        <v>5087.03</v>
      </c>
      <c r="R395" s="434"/>
      <c r="S395" s="436"/>
      <c r="T395" s="436"/>
      <c r="U395" s="437"/>
      <c r="V395" s="437"/>
      <c r="W395" s="438"/>
      <c r="X395" s="423"/>
      <c r="Y395" s="423"/>
      <c r="Z395" s="423"/>
      <c r="AA395" s="423"/>
    </row>
    <row r="396" ht="14.25" customHeight="1">
      <c r="A396" s="423"/>
      <c r="B396" s="424"/>
      <c r="C396" s="425">
        <v>46085.0</v>
      </c>
      <c r="D396" s="426">
        <v>1.0</v>
      </c>
      <c r="E396" s="427">
        <v>2000.0</v>
      </c>
      <c r="F396" s="441">
        <v>350.0</v>
      </c>
      <c r="G396" s="428"/>
      <c r="H396" s="439"/>
      <c r="I396" s="429"/>
      <c r="J396" s="427">
        <v>1000.0</v>
      </c>
      <c r="K396" s="431">
        <f>E396-J396-L396-M396-N396-I396+F396-P396</f>
        <v>0</v>
      </c>
      <c r="L396" s="427"/>
      <c r="M396" s="428"/>
      <c r="N396" s="440">
        <v>1000.0</v>
      </c>
      <c r="O396" s="433">
        <v>-700.0</v>
      </c>
      <c r="P396" s="432">
        <v>350.0</v>
      </c>
      <c r="Q396" s="435">
        <f t="shared" si="72"/>
        <v>5737.03</v>
      </c>
      <c r="R396" s="432" t="s">
        <v>308</v>
      </c>
      <c r="S396" s="436"/>
      <c r="T396" s="436"/>
      <c r="U396" s="437"/>
      <c r="V396" s="437"/>
      <c r="W396" s="438"/>
      <c r="X396" s="423"/>
      <c r="Y396" s="423"/>
      <c r="Z396" s="423"/>
      <c r="AA396" s="423"/>
    </row>
    <row r="397" ht="14.25" customHeight="1">
      <c r="A397" s="423"/>
      <c r="B397" s="442"/>
      <c r="C397" s="443">
        <v>46118.0</v>
      </c>
      <c r="D397" s="444"/>
      <c r="E397" s="445"/>
      <c r="F397" s="445"/>
      <c r="G397" s="445"/>
      <c r="H397" s="442"/>
      <c r="I397" s="446"/>
      <c r="J397" s="445"/>
      <c r="K397" s="447">
        <f t="shared" ref="K397:K416" si="73">E397-J397-L397-M397-N397-I397+F397</f>
        <v>0</v>
      </c>
      <c r="L397" s="445"/>
      <c r="M397" s="445"/>
      <c r="N397" s="477"/>
      <c r="O397" s="448"/>
      <c r="P397" s="448"/>
      <c r="Q397" s="449">
        <f t="shared" si="72"/>
        <v>5737.03</v>
      </c>
      <c r="R397" s="448"/>
      <c r="S397" s="436"/>
      <c r="T397" s="436"/>
      <c r="U397" s="437"/>
      <c r="V397" s="437"/>
      <c r="W397" s="438"/>
      <c r="X397" s="423"/>
      <c r="Y397" s="423"/>
      <c r="Z397" s="423"/>
      <c r="AA397" s="423"/>
    </row>
    <row r="398" ht="14.25" customHeight="1">
      <c r="A398" s="423"/>
      <c r="B398" s="424"/>
      <c r="C398" s="425">
        <v>46180.0</v>
      </c>
      <c r="D398" s="426">
        <v>1.0</v>
      </c>
      <c r="E398" s="427">
        <f>500+3300</f>
        <v>3800</v>
      </c>
      <c r="F398" s="451"/>
      <c r="G398" s="428"/>
      <c r="H398" s="439"/>
      <c r="I398" s="429"/>
      <c r="J398" s="427">
        <v>1000.0</v>
      </c>
      <c r="K398" s="431">
        <f t="shared" si="73"/>
        <v>0</v>
      </c>
      <c r="L398" s="427"/>
      <c r="M398" s="441">
        <v>2800.0</v>
      </c>
      <c r="N398" s="440"/>
      <c r="O398" s="433">
        <v>-700.0</v>
      </c>
      <c r="P398" s="434"/>
      <c r="Q398" s="435">
        <f t="shared" si="72"/>
        <v>5037.03</v>
      </c>
      <c r="R398" s="432"/>
      <c r="S398" s="436"/>
      <c r="T398" s="436"/>
      <c r="U398" s="437"/>
      <c r="V398" s="437"/>
      <c r="W398" s="438"/>
      <c r="X398" s="423"/>
      <c r="Y398" s="423"/>
      <c r="Z398" s="423"/>
      <c r="AA398" s="423"/>
    </row>
    <row r="399" ht="14.25" customHeight="1">
      <c r="A399" s="423"/>
      <c r="B399" s="424"/>
      <c r="C399" s="425">
        <v>46211.0</v>
      </c>
      <c r="D399" s="426">
        <v>1.0</v>
      </c>
      <c r="E399" s="427">
        <v>2500.0</v>
      </c>
      <c r="F399" s="451"/>
      <c r="G399" s="428"/>
      <c r="H399" s="439"/>
      <c r="I399" s="429"/>
      <c r="J399" s="427">
        <v>1000.0</v>
      </c>
      <c r="K399" s="431">
        <f t="shared" si="73"/>
        <v>0</v>
      </c>
      <c r="L399" s="427"/>
      <c r="M399" s="441">
        <v>1500.0</v>
      </c>
      <c r="N399" s="440"/>
      <c r="O399" s="433">
        <v>-700.0</v>
      </c>
      <c r="P399" s="432">
        <v>0.0</v>
      </c>
      <c r="Q399" s="435">
        <f t="shared" si="72"/>
        <v>4337.03</v>
      </c>
      <c r="R399" s="432"/>
      <c r="S399" s="436"/>
      <c r="T399" s="436"/>
      <c r="U399" s="437"/>
      <c r="V399" s="437"/>
      <c r="W399" s="438"/>
      <c r="X399" s="423"/>
      <c r="Y399" s="423"/>
      <c r="Z399" s="423"/>
      <c r="AA399" s="423"/>
    </row>
    <row r="400" ht="14.25" customHeight="1">
      <c r="A400" s="423"/>
      <c r="B400" s="442"/>
      <c r="C400" s="443">
        <v>46243.0</v>
      </c>
      <c r="D400" s="444"/>
      <c r="E400" s="445"/>
      <c r="F400" s="445"/>
      <c r="G400" s="445"/>
      <c r="H400" s="442"/>
      <c r="I400" s="446"/>
      <c r="J400" s="445"/>
      <c r="K400" s="447">
        <f t="shared" si="73"/>
        <v>0</v>
      </c>
      <c r="L400" s="445"/>
      <c r="M400" s="445"/>
      <c r="N400" s="477"/>
      <c r="O400" s="448"/>
      <c r="P400" s="448"/>
      <c r="Q400" s="449">
        <f t="shared" si="72"/>
        <v>4337.03</v>
      </c>
      <c r="R400" s="448"/>
      <c r="S400" s="560"/>
      <c r="T400" s="436"/>
      <c r="U400" s="562"/>
      <c r="V400" s="437"/>
      <c r="W400" s="438"/>
      <c r="X400" s="423"/>
      <c r="Y400" s="423"/>
      <c r="Z400" s="423"/>
      <c r="AA400" s="423"/>
    </row>
    <row r="401" ht="14.25" customHeight="1">
      <c r="A401" s="423"/>
      <c r="B401" s="424"/>
      <c r="C401" s="425">
        <v>46275.0</v>
      </c>
      <c r="D401" s="426">
        <v>1.0</v>
      </c>
      <c r="E401" s="427">
        <v>2500.0</v>
      </c>
      <c r="F401" s="441"/>
      <c r="G401" s="428"/>
      <c r="H401" s="424"/>
      <c r="I401" s="429"/>
      <c r="J401" s="427">
        <v>1000.0</v>
      </c>
      <c r="K401" s="431">
        <f t="shared" si="73"/>
        <v>0</v>
      </c>
      <c r="L401" s="427"/>
      <c r="M401" s="451"/>
      <c r="N401" s="440">
        <v>1500.0</v>
      </c>
      <c r="O401" s="433">
        <v>-700.0</v>
      </c>
      <c r="P401" s="434"/>
      <c r="Q401" s="435">
        <f t="shared" si="72"/>
        <v>5137.03</v>
      </c>
      <c r="R401" s="434"/>
      <c r="S401" s="436"/>
      <c r="T401" s="436"/>
      <c r="U401" s="437"/>
      <c r="V401" s="437"/>
      <c r="W401" s="438"/>
      <c r="X401" s="423"/>
      <c r="Y401" s="423"/>
      <c r="Z401" s="423"/>
      <c r="AA401" s="423"/>
    </row>
    <row r="402" ht="14.25" customHeight="1">
      <c r="A402" s="423"/>
      <c r="B402" s="442"/>
      <c r="C402" s="443">
        <v>46306.0</v>
      </c>
      <c r="D402" s="444"/>
      <c r="E402" s="445"/>
      <c r="F402" s="445"/>
      <c r="G402" s="445"/>
      <c r="H402" s="442"/>
      <c r="I402" s="446"/>
      <c r="J402" s="445"/>
      <c r="K402" s="447">
        <f t="shared" si="73"/>
        <v>0</v>
      </c>
      <c r="L402" s="445"/>
      <c r="M402" s="445"/>
      <c r="N402" s="477"/>
      <c r="O402" s="448"/>
      <c r="P402" s="448"/>
      <c r="Q402" s="449">
        <f t="shared" si="72"/>
        <v>5137.03</v>
      </c>
      <c r="R402" s="448"/>
      <c r="S402" s="436"/>
      <c r="T402" s="436"/>
      <c r="U402" s="437"/>
      <c r="V402" s="437"/>
      <c r="W402" s="438"/>
      <c r="X402" s="423"/>
      <c r="Y402" s="423"/>
      <c r="Z402" s="423"/>
      <c r="AA402" s="423"/>
    </row>
    <row r="403" ht="14.25" customHeight="1">
      <c r="A403" s="423"/>
      <c r="B403" s="424"/>
      <c r="C403" s="425">
        <v>46338.0</v>
      </c>
      <c r="D403" s="426">
        <v>1.0</v>
      </c>
      <c r="E403" s="427">
        <v>2000.0</v>
      </c>
      <c r="F403" s="428"/>
      <c r="G403" s="428"/>
      <c r="H403" s="439"/>
      <c r="I403" s="429"/>
      <c r="J403" s="427">
        <v>1000.0</v>
      </c>
      <c r="K403" s="431">
        <f t="shared" si="73"/>
        <v>0</v>
      </c>
      <c r="L403" s="441"/>
      <c r="M403" s="441"/>
      <c r="N403" s="432">
        <v>1000.0</v>
      </c>
      <c r="O403" s="433">
        <v>-700.0</v>
      </c>
      <c r="P403" s="434"/>
      <c r="Q403" s="435">
        <f t="shared" si="72"/>
        <v>5437.03</v>
      </c>
      <c r="R403" s="434"/>
      <c r="S403" s="436"/>
      <c r="T403" s="436"/>
      <c r="U403" s="437"/>
      <c r="V403" s="437"/>
      <c r="W403" s="438"/>
      <c r="X403" s="423"/>
      <c r="Y403" s="423"/>
      <c r="Z403" s="423"/>
      <c r="AA403" s="423"/>
    </row>
    <row r="404" ht="14.25" customHeight="1">
      <c r="A404" s="423"/>
      <c r="B404" s="424"/>
      <c r="C404" s="425">
        <v>46370.0</v>
      </c>
      <c r="D404" s="426">
        <v>2.0</v>
      </c>
      <c r="E404" s="427">
        <v>5300.0</v>
      </c>
      <c r="F404" s="428"/>
      <c r="G404" s="428"/>
      <c r="H404" s="439"/>
      <c r="I404" s="429"/>
      <c r="J404" s="427">
        <v>1500.0</v>
      </c>
      <c r="K404" s="431">
        <f t="shared" si="73"/>
        <v>0</v>
      </c>
      <c r="L404" s="441"/>
      <c r="M404" s="441">
        <v>1800.0</v>
      </c>
      <c r="N404" s="432">
        <v>2000.0</v>
      </c>
      <c r="O404" s="433">
        <v>-700.0</v>
      </c>
      <c r="P404" s="434"/>
      <c r="Q404" s="435">
        <f t="shared" si="72"/>
        <v>6737.03</v>
      </c>
      <c r="R404" s="434"/>
      <c r="S404" s="436"/>
      <c r="T404" s="436"/>
      <c r="U404" s="437"/>
      <c r="V404" s="437"/>
      <c r="W404" s="438"/>
      <c r="X404" s="423"/>
      <c r="Y404" s="423"/>
      <c r="Z404" s="423"/>
      <c r="AA404" s="423"/>
    </row>
    <row r="405" ht="14.25" customHeight="1">
      <c r="A405" s="423"/>
      <c r="B405" s="424"/>
      <c r="C405" s="426" t="s">
        <v>29</v>
      </c>
      <c r="D405" s="426">
        <v>1.0</v>
      </c>
      <c r="E405" s="427">
        <v>2800.0</v>
      </c>
      <c r="F405" s="428"/>
      <c r="G405" s="428"/>
      <c r="H405" s="439"/>
      <c r="I405" s="429"/>
      <c r="J405" s="427">
        <v>1000.0</v>
      </c>
      <c r="K405" s="431">
        <f t="shared" si="73"/>
        <v>0</v>
      </c>
      <c r="L405" s="441"/>
      <c r="M405" s="441"/>
      <c r="N405" s="432">
        <v>1800.0</v>
      </c>
      <c r="O405" s="433">
        <v>-700.0</v>
      </c>
      <c r="P405" s="434"/>
      <c r="Q405" s="435">
        <f t="shared" si="72"/>
        <v>7837.03</v>
      </c>
      <c r="R405" s="434"/>
      <c r="S405" s="436"/>
      <c r="T405" s="436"/>
      <c r="U405" s="437"/>
      <c r="V405" s="437"/>
      <c r="W405" s="438"/>
      <c r="X405" s="423"/>
      <c r="Y405" s="423"/>
      <c r="Z405" s="423"/>
      <c r="AA405" s="423"/>
    </row>
    <row r="406" ht="14.25" customHeight="1">
      <c r="A406" s="423"/>
      <c r="B406" s="442"/>
      <c r="C406" s="452" t="s">
        <v>54</v>
      </c>
      <c r="D406" s="444"/>
      <c r="E406" s="445"/>
      <c r="F406" s="445"/>
      <c r="G406" s="445"/>
      <c r="H406" s="442"/>
      <c r="I406" s="446"/>
      <c r="J406" s="445"/>
      <c r="K406" s="447">
        <f t="shared" si="73"/>
        <v>0</v>
      </c>
      <c r="L406" s="445"/>
      <c r="M406" s="445"/>
      <c r="N406" s="477"/>
      <c r="O406" s="448"/>
      <c r="P406" s="448"/>
      <c r="Q406" s="449">
        <f t="shared" si="72"/>
        <v>7837.03</v>
      </c>
      <c r="R406" s="448"/>
      <c r="S406" s="436"/>
      <c r="T406" s="436"/>
      <c r="U406" s="437"/>
      <c r="V406" s="437"/>
      <c r="W406" s="438"/>
      <c r="X406" s="423"/>
      <c r="Y406" s="423"/>
      <c r="Z406" s="423"/>
      <c r="AA406" s="423"/>
    </row>
    <row r="407" ht="14.25" customHeight="1">
      <c r="A407" s="423"/>
      <c r="B407" s="424"/>
      <c r="C407" s="426" t="s">
        <v>56</v>
      </c>
      <c r="D407" s="426">
        <v>2.0</v>
      </c>
      <c r="E407" s="427">
        <v>3700.0</v>
      </c>
      <c r="F407" s="441"/>
      <c r="G407" s="428"/>
      <c r="H407" s="439"/>
      <c r="I407" s="429"/>
      <c r="J407" s="427">
        <v>1500.0</v>
      </c>
      <c r="K407" s="431">
        <f t="shared" si="73"/>
        <v>0</v>
      </c>
      <c r="L407" s="441"/>
      <c r="M407" s="441">
        <v>2200.0</v>
      </c>
      <c r="N407" s="432"/>
      <c r="O407" s="433">
        <v>-700.0</v>
      </c>
      <c r="P407" s="434"/>
      <c r="Q407" s="435">
        <f t="shared" si="72"/>
        <v>7137.03</v>
      </c>
      <c r="R407" s="434"/>
      <c r="S407" s="436"/>
      <c r="T407" s="436"/>
      <c r="U407" s="437"/>
      <c r="V407" s="437"/>
      <c r="W407" s="438"/>
      <c r="X407" s="423"/>
      <c r="Y407" s="423"/>
      <c r="Z407" s="423"/>
      <c r="AA407" s="423"/>
    </row>
    <row r="408" ht="14.25" customHeight="1">
      <c r="A408" s="423"/>
      <c r="B408" s="424"/>
      <c r="C408" s="426" t="s">
        <v>64</v>
      </c>
      <c r="D408" s="426">
        <v>2.0</v>
      </c>
      <c r="E408" s="427">
        <v>5000.0</v>
      </c>
      <c r="F408" s="441"/>
      <c r="G408" s="428"/>
      <c r="H408" s="424"/>
      <c r="I408" s="429"/>
      <c r="J408" s="427">
        <v>1500.0</v>
      </c>
      <c r="K408" s="431">
        <f t="shared" si="73"/>
        <v>0</v>
      </c>
      <c r="L408" s="428"/>
      <c r="M408" s="428"/>
      <c r="N408" s="440">
        <v>3500.0</v>
      </c>
      <c r="O408" s="433">
        <v>-700.0</v>
      </c>
      <c r="P408" s="434"/>
      <c r="Q408" s="435">
        <f t="shared" si="72"/>
        <v>9937.03</v>
      </c>
      <c r="R408" s="434"/>
      <c r="S408" s="436"/>
      <c r="T408" s="436"/>
      <c r="U408" s="437"/>
      <c r="V408" s="437"/>
      <c r="W408" s="438"/>
      <c r="X408" s="423"/>
      <c r="Y408" s="423"/>
      <c r="Z408" s="423"/>
      <c r="AA408" s="423"/>
    </row>
    <row r="409" ht="14.25" customHeight="1">
      <c r="A409" s="423"/>
      <c r="B409" s="424"/>
      <c r="C409" s="426" t="s">
        <v>68</v>
      </c>
      <c r="D409" s="426">
        <v>1.0</v>
      </c>
      <c r="E409" s="427">
        <v>3308.86</v>
      </c>
      <c r="F409" s="441"/>
      <c r="G409" s="428"/>
      <c r="H409" s="424"/>
      <c r="I409" s="429"/>
      <c r="J409" s="427"/>
      <c r="K409" s="431">
        <f t="shared" si="73"/>
        <v>0</v>
      </c>
      <c r="L409" s="441">
        <v>3308.86</v>
      </c>
      <c r="M409" s="428"/>
      <c r="N409" s="440"/>
      <c r="O409" s="433">
        <v>-700.0</v>
      </c>
      <c r="P409" s="434"/>
      <c r="Q409" s="435">
        <f t="shared" si="72"/>
        <v>9237.03</v>
      </c>
      <c r="R409" s="434"/>
      <c r="S409" s="436"/>
      <c r="T409" s="436"/>
      <c r="U409" s="437"/>
      <c r="V409" s="437"/>
      <c r="W409" s="438"/>
      <c r="X409" s="423"/>
      <c r="Y409" s="423"/>
      <c r="Z409" s="423"/>
      <c r="AA409" s="423"/>
    </row>
    <row r="410" ht="14.25" customHeight="1">
      <c r="A410" s="423"/>
      <c r="B410" s="442"/>
      <c r="C410" s="452" t="s">
        <v>300</v>
      </c>
      <c r="D410" s="452"/>
      <c r="E410" s="568"/>
      <c r="F410" s="445"/>
      <c r="G410" s="445"/>
      <c r="H410" s="569"/>
      <c r="I410" s="446"/>
      <c r="J410" s="568"/>
      <c r="K410" s="447">
        <f t="shared" si="73"/>
        <v>0</v>
      </c>
      <c r="L410" s="568"/>
      <c r="M410" s="445"/>
      <c r="N410" s="570"/>
      <c r="O410" s="571"/>
      <c r="P410" s="481"/>
      <c r="Q410" s="449">
        <f t="shared" si="72"/>
        <v>9237.03</v>
      </c>
      <c r="R410" s="481"/>
      <c r="S410" s="436"/>
      <c r="T410" s="436"/>
      <c r="U410" s="437"/>
      <c r="V410" s="437"/>
      <c r="W410" s="438"/>
      <c r="X410" s="423"/>
      <c r="Y410" s="423"/>
      <c r="Z410" s="423"/>
      <c r="AA410" s="423"/>
    </row>
    <row r="411" ht="14.25" customHeight="1">
      <c r="A411" s="423"/>
      <c r="B411" s="426"/>
      <c r="C411" s="566" t="s">
        <v>72</v>
      </c>
      <c r="D411" s="426">
        <v>1.0</v>
      </c>
      <c r="E411" s="427">
        <v>2800.0</v>
      </c>
      <c r="F411" s="428"/>
      <c r="G411" s="428"/>
      <c r="H411" s="439"/>
      <c r="I411" s="429"/>
      <c r="J411" s="427">
        <v>1000.0</v>
      </c>
      <c r="K411" s="431">
        <f t="shared" si="73"/>
        <v>0</v>
      </c>
      <c r="L411" s="427"/>
      <c r="M411" s="441">
        <v>1800.0</v>
      </c>
      <c r="N411" s="440"/>
      <c r="O411" s="433">
        <v>-700.0</v>
      </c>
      <c r="P411" s="432"/>
      <c r="Q411" s="435">
        <f t="shared" si="72"/>
        <v>8537.03</v>
      </c>
      <c r="R411" s="432"/>
      <c r="S411" s="436"/>
      <c r="T411" s="436"/>
      <c r="U411" s="437"/>
      <c r="V411" s="437"/>
      <c r="W411" s="438"/>
      <c r="X411" s="423"/>
      <c r="Y411" s="423"/>
      <c r="Z411" s="423"/>
      <c r="AA411" s="423"/>
    </row>
    <row r="412" ht="14.25" customHeight="1">
      <c r="A412" s="423"/>
      <c r="B412" s="442"/>
      <c r="C412" s="452" t="s">
        <v>73</v>
      </c>
      <c r="D412" s="452"/>
      <c r="E412" s="568"/>
      <c r="F412" s="445"/>
      <c r="G412" s="445"/>
      <c r="H412" s="569"/>
      <c r="I412" s="446"/>
      <c r="J412" s="568"/>
      <c r="K412" s="447">
        <f t="shared" si="73"/>
        <v>0</v>
      </c>
      <c r="L412" s="568"/>
      <c r="M412" s="445"/>
      <c r="N412" s="570"/>
      <c r="O412" s="571"/>
      <c r="P412" s="481"/>
      <c r="Q412" s="449">
        <f t="shared" si="72"/>
        <v>8537.03</v>
      </c>
      <c r="R412" s="481"/>
      <c r="S412" s="436"/>
      <c r="T412" s="436"/>
      <c r="U412" s="437"/>
      <c r="V412" s="437"/>
      <c r="W412" s="438"/>
      <c r="X412" s="423"/>
      <c r="Y412" s="423"/>
      <c r="Z412" s="423"/>
      <c r="AA412" s="423"/>
    </row>
    <row r="413" ht="14.25" customHeight="1">
      <c r="A413" s="423"/>
      <c r="B413" s="424"/>
      <c r="C413" s="426" t="s">
        <v>49</v>
      </c>
      <c r="D413" s="426">
        <v>1.0</v>
      </c>
      <c r="E413" s="427">
        <v>2000.0</v>
      </c>
      <c r="F413" s="441">
        <v>350.0</v>
      </c>
      <c r="G413" s="428"/>
      <c r="H413" s="424"/>
      <c r="I413" s="429"/>
      <c r="J413" s="427">
        <v>1000.0</v>
      </c>
      <c r="K413" s="431">
        <f t="shared" si="73"/>
        <v>0</v>
      </c>
      <c r="L413" s="427"/>
      <c r="M413" s="441"/>
      <c r="N413" s="440">
        <v>1350.0</v>
      </c>
      <c r="O413" s="433">
        <v>-700.0</v>
      </c>
      <c r="P413" s="432"/>
      <c r="Q413" s="435">
        <f t="shared" si="72"/>
        <v>9187.03</v>
      </c>
      <c r="R413" s="432"/>
      <c r="S413" s="436"/>
      <c r="T413" s="436"/>
      <c r="U413" s="437"/>
      <c r="V413" s="437"/>
      <c r="W413" s="454"/>
      <c r="X413" s="455"/>
      <c r="Y413" s="423"/>
      <c r="Z413" s="423"/>
      <c r="AA413" s="423"/>
    </row>
    <row r="414" ht="14.25" customHeight="1">
      <c r="A414" s="423"/>
      <c r="B414" s="424"/>
      <c r="C414" s="426" t="s">
        <v>75</v>
      </c>
      <c r="D414" s="426">
        <v>1.0</v>
      </c>
      <c r="E414" s="427">
        <v>2000.0</v>
      </c>
      <c r="F414" s="428"/>
      <c r="G414" s="428"/>
      <c r="H414" s="424"/>
      <c r="I414" s="429"/>
      <c r="J414" s="427">
        <v>1000.0</v>
      </c>
      <c r="K414" s="431">
        <f t="shared" si="73"/>
        <v>0</v>
      </c>
      <c r="L414" s="427"/>
      <c r="M414" s="428"/>
      <c r="N414" s="440">
        <v>1000.0</v>
      </c>
      <c r="O414" s="433">
        <v>-700.0</v>
      </c>
      <c r="P414" s="432"/>
      <c r="Q414" s="435">
        <f t="shared" si="72"/>
        <v>9487.03</v>
      </c>
      <c r="R414" s="432"/>
      <c r="S414" s="436"/>
      <c r="T414" s="436"/>
      <c r="U414" s="437"/>
      <c r="V414" s="437"/>
      <c r="W414" s="454"/>
      <c r="X414" s="455"/>
      <c r="Y414" s="423"/>
      <c r="Z414" s="423"/>
      <c r="AA414" s="423"/>
    </row>
    <row r="415" ht="14.25" customHeight="1">
      <c r="A415" s="423"/>
      <c r="B415" s="424"/>
      <c r="C415" s="426"/>
      <c r="D415" s="426"/>
      <c r="E415" s="427"/>
      <c r="F415" s="428"/>
      <c r="G415" s="428"/>
      <c r="H415" s="424"/>
      <c r="I415" s="429"/>
      <c r="J415" s="427"/>
      <c r="K415" s="431">
        <f t="shared" si="73"/>
        <v>0</v>
      </c>
      <c r="L415" s="427"/>
      <c r="M415" s="428"/>
      <c r="N415" s="520"/>
      <c r="O415" s="433"/>
      <c r="P415" s="432">
        <v>-1500.0</v>
      </c>
      <c r="Q415" s="435">
        <f t="shared" si="72"/>
        <v>7987.03</v>
      </c>
      <c r="R415" s="432" t="s">
        <v>316</v>
      </c>
      <c r="S415" s="436"/>
      <c r="T415" s="436"/>
      <c r="U415" s="437"/>
      <c r="V415" s="437"/>
      <c r="W415" s="454"/>
      <c r="X415" s="455"/>
      <c r="Y415" s="423"/>
      <c r="Z415" s="423"/>
      <c r="AA415" s="423"/>
    </row>
    <row r="416" ht="14.25" customHeight="1">
      <c r="A416" s="423"/>
      <c r="B416" s="424"/>
      <c r="C416" s="456"/>
      <c r="D416" s="456"/>
      <c r="E416" s="428"/>
      <c r="F416" s="428"/>
      <c r="G416" s="428"/>
      <c r="H416" s="424"/>
      <c r="I416" s="429"/>
      <c r="J416" s="428"/>
      <c r="K416" s="431">
        <f t="shared" si="73"/>
        <v>0</v>
      </c>
      <c r="L416" s="428"/>
      <c r="M416" s="428"/>
      <c r="N416" s="476"/>
      <c r="O416" s="434"/>
      <c r="P416" s="432">
        <v>-7987.03</v>
      </c>
      <c r="Q416" s="435">
        <f t="shared" si="72"/>
        <v>0</v>
      </c>
      <c r="R416" s="432"/>
      <c r="S416" s="436"/>
      <c r="T416" s="436"/>
      <c r="U416" s="437"/>
      <c r="V416" s="437"/>
      <c r="W416" s="438"/>
      <c r="X416" s="423"/>
      <c r="Y416" s="423"/>
      <c r="Z416" s="423"/>
      <c r="AA416" s="423"/>
    </row>
    <row r="417" ht="14.25" customHeight="1">
      <c r="A417" s="423"/>
      <c r="B417" s="463" t="s">
        <v>154</v>
      </c>
      <c r="C417" s="464" t="s">
        <v>80</v>
      </c>
      <c r="D417" s="464">
        <f t="shared" ref="D417:P417" si="74">sum(D394:D416)</f>
        <v>17</v>
      </c>
      <c r="E417" s="465">
        <f t="shared" si="74"/>
        <v>41708.86</v>
      </c>
      <c r="F417" s="465">
        <f t="shared" si="74"/>
        <v>700</v>
      </c>
      <c r="G417" s="465">
        <f t="shared" si="74"/>
        <v>0</v>
      </c>
      <c r="H417" s="465">
        <f t="shared" si="74"/>
        <v>0</v>
      </c>
      <c r="I417" s="465">
        <f t="shared" si="74"/>
        <v>0</v>
      </c>
      <c r="J417" s="465">
        <f t="shared" si="74"/>
        <v>14500</v>
      </c>
      <c r="K417" s="465">
        <f t="shared" si="74"/>
        <v>0</v>
      </c>
      <c r="L417" s="465">
        <f t="shared" si="74"/>
        <v>3308.86</v>
      </c>
      <c r="M417" s="465">
        <f t="shared" si="74"/>
        <v>11100</v>
      </c>
      <c r="N417" s="465">
        <f t="shared" si="74"/>
        <v>13150</v>
      </c>
      <c r="O417" s="465">
        <f t="shared" si="74"/>
        <v>-9800</v>
      </c>
      <c r="P417" s="465">
        <f t="shared" si="74"/>
        <v>-9137.03</v>
      </c>
      <c r="Q417" s="467">
        <f>Q416</f>
        <v>0</v>
      </c>
      <c r="R417" s="469"/>
      <c r="S417" s="436"/>
      <c r="T417" s="436"/>
      <c r="U417" s="437"/>
      <c r="V417" s="437"/>
      <c r="W417" s="438"/>
      <c r="X417" s="423"/>
      <c r="Y417" s="423"/>
      <c r="Z417" s="423"/>
      <c r="AA417" s="423"/>
    </row>
    <row r="418" ht="14.25" customHeight="1">
      <c r="A418" s="423"/>
      <c r="B418" s="439" t="s">
        <v>172</v>
      </c>
      <c r="C418" s="425">
        <v>46024.0</v>
      </c>
      <c r="D418" s="426">
        <v>1.0</v>
      </c>
      <c r="E418" s="427">
        <v>2500.0</v>
      </c>
      <c r="F418" s="441"/>
      <c r="G418" s="441"/>
      <c r="H418" s="439"/>
      <c r="I418" s="429"/>
      <c r="J418" s="427">
        <v>1000.0</v>
      </c>
      <c r="K418" s="431">
        <f>E418-J418-L418-M418-N418-I418+F418</f>
        <v>0</v>
      </c>
      <c r="L418" s="427"/>
      <c r="M418" s="441">
        <v>1500.0</v>
      </c>
      <c r="N418" s="440"/>
      <c r="O418" s="433">
        <v>-700.0</v>
      </c>
      <c r="P418" s="434"/>
      <c r="Q418" s="435">
        <f t="shared" ref="Q418:Q447" si="75">Q417+N418+O418+P418</f>
        <v>-700</v>
      </c>
      <c r="R418" s="434"/>
      <c r="S418" s="436"/>
      <c r="T418" s="436"/>
      <c r="U418" s="437"/>
      <c r="V418" s="437"/>
      <c r="W418" s="438"/>
      <c r="X418" s="423"/>
      <c r="Y418" s="423"/>
      <c r="Z418" s="423"/>
      <c r="AA418" s="423"/>
    </row>
    <row r="419" ht="14.25" customHeight="1">
      <c r="A419" s="423"/>
      <c r="B419" s="439"/>
      <c r="C419" s="425">
        <v>46056.0</v>
      </c>
      <c r="D419" s="426">
        <v>1.0</v>
      </c>
      <c r="E419" s="427">
        <v>2500.0</v>
      </c>
      <c r="F419" s="441"/>
      <c r="G419" s="441"/>
      <c r="H419" s="439"/>
      <c r="I419" s="429"/>
      <c r="J419" s="427">
        <v>1000.0</v>
      </c>
      <c r="K419" s="431">
        <f>E419-J419-L419-M419-N419-I419+F419+G419</f>
        <v>0</v>
      </c>
      <c r="L419" s="427"/>
      <c r="M419" s="441">
        <v>1500.0</v>
      </c>
      <c r="N419" s="440"/>
      <c r="O419" s="433">
        <v>-700.0</v>
      </c>
      <c r="P419" s="434"/>
      <c r="Q419" s="435">
        <f t="shared" si="75"/>
        <v>-1400</v>
      </c>
      <c r="R419" s="434"/>
      <c r="S419" s="436"/>
      <c r="T419" s="436"/>
      <c r="U419" s="437"/>
      <c r="V419" s="437"/>
      <c r="W419" s="438"/>
      <c r="X419" s="423"/>
      <c r="Y419" s="423"/>
      <c r="Z419" s="423"/>
      <c r="AA419" s="423"/>
    </row>
    <row r="420" ht="14.25" customHeight="1">
      <c r="A420" s="423"/>
      <c r="B420" s="424"/>
      <c r="C420" s="425">
        <v>46085.0</v>
      </c>
      <c r="D420" s="426">
        <v>1.0</v>
      </c>
      <c r="E420" s="427">
        <v>2300.0</v>
      </c>
      <c r="F420" s="441">
        <v>300.0</v>
      </c>
      <c r="G420" s="428"/>
      <c r="H420" s="439"/>
      <c r="I420" s="429"/>
      <c r="J420" s="427">
        <v>1150.0</v>
      </c>
      <c r="K420" s="431">
        <f>E420-J420-L420-M420-N420-I420+F420-P420</f>
        <v>0</v>
      </c>
      <c r="L420" s="427"/>
      <c r="M420" s="441">
        <v>1450.0</v>
      </c>
      <c r="N420" s="440"/>
      <c r="O420" s="433">
        <v>-700.0</v>
      </c>
      <c r="P420" s="432"/>
      <c r="Q420" s="435">
        <f t="shared" si="75"/>
        <v>-2100</v>
      </c>
      <c r="R420" s="432"/>
      <c r="S420" s="436"/>
      <c r="T420" s="436"/>
      <c r="U420" s="437"/>
      <c r="V420" s="437"/>
      <c r="W420" s="438"/>
      <c r="X420" s="423"/>
      <c r="Y420" s="423"/>
      <c r="Z420" s="423"/>
      <c r="AA420" s="423"/>
    </row>
    <row r="421" ht="14.25" customHeight="1">
      <c r="A421" s="423"/>
      <c r="B421" s="424"/>
      <c r="C421" s="425">
        <v>46117.0</v>
      </c>
      <c r="D421" s="426">
        <v>1.0</v>
      </c>
      <c r="E421" s="427">
        <v>2800.0</v>
      </c>
      <c r="F421" s="427">
        <v>500.0</v>
      </c>
      <c r="G421" s="428"/>
      <c r="H421" s="439"/>
      <c r="I421" s="429"/>
      <c r="J421" s="427">
        <v>1500.0</v>
      </c>
      <c r="K421" s="431">
        <f t="shared" ref="K421:K435" si="76">E421-J421-L421-M421-N421-I421+F421</f>
        <v>0</v>
      </c>
      <c r="L421" s="427"/>
      <c r="M421" s="441">
        <v>1800.0</v>
      </c>
      <c r="N421" s="440"/>
      <c r="O421" s="433">
        <v>-700.0</v>
      </c>
      <c r="P421" s="434"/>
      <c r="Q421" s="435">
        <f t="shared" si="75"/>
        <v>-2800</v>
      </c>
      <c r="R421" s="432"/>
      <c r="S421" s="436"/>
      <c r="T421" s="436"/>
      <c r="U421" s="437"/>
      <c r="V421" s="437"/>
      <c r="W421" s="438"/>
      <c r="X421" s="423"/>
      <c r="Y421" s="423"/>
      <c r="Z421" s="423"/>
      <c r="AA421" s="423"/>
    </row>
    <row r="422" ht="14.25" customHeight="1">
      <c r="A422" s="423"/>
      <c r="B422" s="424"/>
      <c r="C422" s="425">
        <v>46149.0</v>
      </c>
      <c r="D422" s="426">
        <v>2.0</v>
      </c>
      <c r="E422" s="427">
        <v>3440.38</v>
      </c>
      <c r="F422" s="451"/>
      <c r="G422" s="428"/>
      <c r="H422" s="439"/>
      <c r="I422" s="429"/>
      <c r="J422" s="427"/>
      <c r="K422" s="431">
        <f t="shared" si="76"/>
        <v>0</v>
      </c>
      <c r="L422" s="427">
        <v>3440.38</v>
      </c>
      <c r="M422" s="441"/>
      <c r="N422" s="440"/>
      <c r="O422" s="433">
        <v>-700.0</v>
      </c>
      <c r="P422" s="432"/>
      <c r="Q422" s="435">
        <f t="shared" si="75"/>
        <v>-3500</v>
      </c>
      <c r="R422" s="432"/>
      <c r="S422" s="436"/>
      <c r="T422" s="436"/>
      <c r="U422" s="437"/>
      <c r="V422" s="437"/>
      <c r="W422" s="438"/>
      <c r="X422" s="423"/>
      <c r="Y422" s="423"/>
      <c r="Z422" s="423"/>
      <c r="AA422" s="423"/>
    </row>
    <row r="423" ht="14.25" customHeight="1">
      <c r="A423" s="423"/>
      <c r="B423" s="424"/>
      <c r="C423" s="425">
        <v>46211.0</v>
      </c>
      <c r="D423" s="426">
        <v>1.0</v>
      </c>
      <c r="E423" s="427">
        <v>2000.0</v>
      </c>
      <c r="F423" s="451"/>
      <c r="G423" s="428"/>
      <c r="H423" s="439"/>
      <c r="I423" s="429"/>
      <c r="J423" s="427"/>
      <c r="K423" s="431">
        <f t="shared" si="76"/>
        <v>0</v>
      </c>
      <c r="L423" s="427"/>
      <c r="M423" s="441">
        <v>2000.0</v>
      </c>
      <c r="N423" s="440"/>
      <c r="O423" s="433">
        <v>-700.0</v>
      </c>
      <c r="P423" s="432"/>
      <c r="Q423" s="435">
        <f t="shared" si="75"/>
        <v>-4200</v>
      </c>
      <c r="R423" s="432"/>
      <c r="S423" s="436"/>
      <c r="T423" s="436"/>
      <c r="U423" s="437"/>
      <c r="V423" s="437"/>
      <c r="W423" s="438"/>
      <c r="X423" s="423"/>
      <c r="Y423" s="423"/>
      <c r="Z423" s="423"/>
      <c r="AA423" s="423"/>
    </row>
    <row r="424" ht="14.25" customHeight="1">
      <c r="A424" s="423"/>
      <c r="B424" s="442"/>
      <c r="C424" s="443">
        <v>46243.0</v>
      </c>
      <c r="D424" s="444"/>
      <c r="E424" s="445"/>
      <c r="F424" s="445"/>
      <c r="G424" s="445"/>
      <c r="H424" s="442"/>
      <c r="I424" s="446"/>
      <c r="J424" s="445"/>
      <c r="K424" s="447">
        <f t="shared" si="76"/>
        <v>0</v>
      </c>
      <c r="L424" s="445"/>
      <c r="M424" s="445"/>
      <c r="N424" s="477"/>
      <c r="O424" s="448"/>
      <c r="P424" s="448"/>
      <c r="Q424" s="449">
        <f t="shared" si="75"/>
        <v>-4200</v>
      </c>
      <c r="R424" s="448"/>
      <c r="S424" s="560"/>
      <c r="T424" s="436"/>
      <c r="U424" s="562"/>
      <c r="V424" s="437"/>
      <c r="W424" s="438"/>
      <c r="X424" s="423"/>
      <c r="Y424" s="423"/>
      <c r="Z424" s="423"/>
      <c r="AA424" s="423"/>
    </row>
    <row r="425" ht="14.25" customHeight="1">
      <c r="A425" s="423"/>
      <c r="B425" s="424"/>
      <c r="C425" s="425">
        <v>46275.0</v>
      </c>
      <c r="D425" s="426">
        <v>1.0</v>
      </c>
      <c r="E425" s="427">
        <v>2300.0</v>
      </c>
      <c r="F425" s="441"/>
      <c r="G425" s="428"/>
      <c r="H425" s="424"/>
      <c r="I425" s="429"/>
      <c r="J425" s="427">
        <v>1000.0</v>
      </c>
      <c r="K425" s="431">
        <f t="shared" si="76"/>
        <v>0</v>
      </c>
      <c r="L425" s="427"/>
      <c r="M425" s="427">
        <v>1300.0</v>
      </c>
      <c r="N425" s="440"/>
      <c r="O425" s="433">
        <v>-700.0</v>
      </c>
      <c r="P425" s="434"/>
      <c r="Q425" s="435">
        <f t="shared" si="75"/>
        <v>-4900</v>
      </c>
      <c r="R425" s="434"/>
      <c r="S425" s="436"/>
      <c r="T425" s="436"/>
      <c r="U425" s="437"/>
      <c r="V425" s="437"/>
      <c r="W425" s="438"/>
      <c r="X425" s="423"/>
      <c r="Y425" s="423"/>
      <c r="Z425" s="423"/>
      <c r="AA425" s="423"/>
    </row>
    <row r="426" ht="14.25" customHeight="1">
      <c r="A426" s="423"/>
      <c r="B426" s="424"/>
      <c r="C426" s="425">
        <v>46306.0</v>
      </c>
      <c r="D426" s="426">
        <v>1.0</v>
      </c>
      <c r="E426" s="427">
        <v>2000.0</v>
      </c>
      <c r="F426" s="441">
        <v>450.0</v>
      </c>
      <c r="G426" s="428"/>
      <c r="H426" s="439"/>
      <c r="I426" s="429"/>
      <c r="J426" s="427">
        <v>1000.0</v>
      </c>
      <c r="K426" s="431">
        <f t="shared" si="76"/>
        <v>0</v>
      </c>
      <c r="L426" s="441"/>
      <c r="M426" s="441">
        <v>1450.0</v>
      </c>
      <c r="N426" s="432"/>
      <c r="O426" s="433">
        <v>-700.0</v>
      </c>
      <c r="P426" s="434"/>
      <c r="Q426" s="435">
        <f t="shared" si="75"/>
        <v>-5600</v>
      </c>
      <c r="R426" s="434"/>
      <c r="S426" s="436"/>
      <c r="T426" s="436"/>
      <c r="U426" s="437"/>
      <c r="V426" s="437"/>
      <c r="W426" s="438"/>
      <c r="X426" s="423"/>
      <c r="Y426" s="423"/>
      <c r="Z426" s="423"/>
      <c r="AA426" s="423"/>
    </row>
    <row r="427" ht="14.25" customHeight="1">
      <c r="A427" s="423"/>
      <c r="B427" s="424"/>
      <c r="C427" s="425">
        <v>46338.0</v>
      </c>
      <c r="D427" s="426">
        <v>1.0</v>
      </c>
      <c r="E427" s="427">
        <v>2800.0</v>
      </c>
      <c r="F427" s="428"/>
      <c r="G427" s="428"/>
      <c r="H427" s="439"/>
      <c r="I427" s="429"/>
      <c r="J427" s="427">
        <v>1000.0</v>
      </c>
      <c r="K427" s="431">
        <f t="shared" si="76"/>
        <v>0</v>
      </c>
      <c r="L427" s="441"/>
      <c r="M427" s="441"/>
      <c r="N427" s="432">
        <v>1800.0</v>
      </c>
      <c r="O427" s="433">
        <v>-700.0</v>
      </c>
      <c r="P427" s="434"/>
      <c r="Q427" s="435">
        <f t="shared" si="75"/>
        <v>-4500</v>
      </c>
      <c r="R427" s="434"/>
      <c r="S427" s="436"/>
      <c r="T427" s="436"/>
      <c r="U427" s="437"/>
      <c r="V427" s="437"/>
      <c r="W427" s="438"/>
      <c r="X427" s="423"/>
      <c r="Y427" s="423"/>
      <c r="Z427" s="423"/>
      <c r="AA427" s="423"/>
    </row>
    <row r="428" ht="14.25" customHeight="1">
      <c r="A428" s="423"/>
      <c r="B428" s="424"/>
      <c r="C428" s="425">
        <v>46369.0</v>
      </c>
      <c r="D428" s="426">
        <v>1.0</v>
      </c>
      <c r="E428" s="427">
        <v>2300.0</v>
      </c>
      <c r="F428" s="428"/>
      <c r="G428" s="428"/>
      <c r="H428" s="439"/>
      <c r="I428" s="429"/>
      <c r="J428" s="427">
        <v>1000.0</v>
      </c>
      <c r="K428" s="431">
        <f t="shared" si="76"/>
        <v>0</v>
      </c>
      <c r="L428" s="441"/>
      <c r="M428" s="441">
        <v>1300.0</v>
      </c>
      <c r="N428" s="432"/>
      <c r="O428" s="433">
        <v>-700.0</v>
      </c>
      <c r="P428" s="434"/>
      <c r="Q428" s="435">
        <f t="shared" si="75"/>
        <v>-5200</v>
      </c>
      <c r="R428" s="434"/>
      <c r="S428" s="436"/>
      <c r="T428" s="436"/>
      <c r="U428" s="437"/>
      <c r="V428" s="437"/>
      <c r="W428" s="438"/>
      <c r="X428" s="423"/>
      <c r="Y428" s="423"/>
      <c r="Z428" s="423"/>
      <c r="AA428" s="423"/>
    </row>
    <row r="429" ht="14.25" customHeight="1">
      <c r="A429" s="423"/>
      <c r="B429" s="424"/>
      <c r="C429" s="426" t="s">
        <v>46</v>
      </c>
      <c r="D429" s="426">
        <v>1.0</v>
      </c>
      <c r="E429" s="427">
        <v>2000.0</v>
      </c>
      <c r="F429" s="428"/>
      <c r="G429" s="428"/>
      <c r="H429" s="439"/>
      <c r="I429" s="429"/>
      <c r="J429" s="427">
        <v>1000.0</v>
      </c>
      <c r="K429" s="431">
        <f t="shared" si="76"/>
        <v>0</v>
      </c>
      <c r="L429" s="441"/>
      <c r="M429" s="441">
        <v>1000.0</v>
      </c>
      <c r="N429" s="432"/>
      <c r="O429" s="433">
        <v>-700.0</v>
      </c>
      <c r="P429" s="434"/>
      <c r="Q429" s="435">
        <f t="shared" si="75"/>
        <v>-5900</v>
      </c>
      <c r="R429" s="434"/>
      <c r="S429" s="436"/>
      <c r="T429" s="436"/>
      <c r="U429" s="437"/>
      <c r="V429" s="437"/>
      <c r="W429" s="438"/>
      <c r="X429" s="423"/>
      <c r="Y429" s="423"/>
      <c r="Z429" s="423"/>
      <c r="AA429" s="423"/>
    </row>
    <row r="430" ht="14.25" customHeight="1">
      <c r="A430" s="423"/>
      <c r="B430" s="424"/>
      <c r="C430" s="426" t="s">
        <v>29</v>
      </c>
      <c r="D430" s="426">
        <v>1.0</v>
      </c>
      <c r="E430" s="427">
        <v>2000.0</v>
      </c>
      <c r="F430" s="441"/>
      <c r="G430" s="428"/>
      <c r="H430" s="439"/>
      <c r="I430" s="429"/>
      <c r="J430" s="427">
        <v>1000.0</v>
      </c>
      <c r="K430" s="431">
        <f t="shared" si="76"/>
        <v>0</v>
      </c>
      <c r="L430" s="441"/>
      <c r="M430" s="441">
        <v>1000.0</v>
      </c>
      <c r="N430" s="432"/>
      <c r="O430" s="433">
        <v>-700.0</v>
      </c>
      <c r="P430" s="434"/>
      <c r="Q430" s="435">
        <f t="shared" si="75"/>
        <v>-6600</v>
      </c>
      <c r="R430" s="434"/>
      <c r="S430" s="436"/>
      <c r="T430" s="436"/>
      <c r="U430" s="437"/>
      <c r="V430" s="437"/>
      <c r="W430" s="438"/>
      <c r="X430" s="423"/>
      <c r="Y430" s="423"/>
      <c r="Z430" s="423"/>
      <c r="AA430" s="423"/>
    </row>
    <row r="431" ht="14.25" customHeight="1">
      <c r="A431" s="423"/>
      <c r="B431" s="424"/>
      <c r="C431" s="426" t="s">
        <v>30</v>
      </c>
      <c r="D431" s="426">
        <v>1.0</v>
      </c>
      <c r="E431" s="427">
        <v>1900.0</v>
      </c>
      <c r="F431" s="441"/>
      <c r="G431" s="428"/>
      <c r="H431" s="439"/>
      <c r="I431" s="429"/>
      <c r="J431" s="427">
        <v>1000.0</v>
      </c>
      <c r="K431" s="431">
        <f t="shared" si="76"/>
        <v>0</v>
      </c>
      <c r="L431" s="441"/>
      <c r="M431" s="441">
        <v>900.0</v>
      </c>
      <c r="N431" s="432"/>
      <c r="O431" s="433">
        <v>-700.0</v>
      </c>
      <c r="P431" s="434"/>
      <c r="Q431" s="435">
        <f t="shared" si="75"/>
        <v>-7300</v>
      </c>
      <c r="R431" s="434"/>
      <c r="S431" s="436"/>
      <c r="T431" s="436"/>
      <c r="U431" s="437"/>
      <c r="V431" s="437"/>
      <c r="W431" s="438"/>
      <c r="X431" s="423"/>
      <c r="Y431" s="423"/>
      <c r="Z431" s="423"/>
      <c r="AA431" s="423"/>
    </row>
    <row r="432" ht="14.25" customHeight="1">
      <c r="A432" s="423"/>
      <c r="B432" s="424"/>
      <c r="C432" s="426" t="s">
        <v>102</v>
      </c>
      <c r="D432" s="426">
        <v>2.0</v>
      </c>
      <c r="E432" s="427">
        <v>4300.0</v>
      </c>
      <c r="F432" s="441">
        <v>900.0</v>
      </c>
      <c r="G432" s="428"/>
      <c r="H432" s="424"/>
      <c r="I432" s="429"/>
      <c r="J432" s="427">
        <v>1950.0</v>
      </c>
      <c r="K432" s="431">
        <f t="shared" si="76"/>
        <v>0</v>
      </c>
      <c r="L432" s="428"/>
      <c r="M432" s="428"/>
      <c r="N432" s="440">
        <v>3250.0</v>
      </c>
      <c r="O432" s="433">
        <v>-700.0</v>
      </c>
      <c r="P432" s="434"/>
      <c r="Q432" s="435">
        <f t="shared" si="75"/>
        <v>-4750</v>
      </c>
      <c r="R432" s="434"/>
      <c r="S432" s="436"/>
      <c r="T432" s="436"/>
      <c r="U432" s="437"/>
      <c r="V432" s="437"/>
      <c r="W432" s="438"/>
      <c r="X432" s="423"/>
      <c r="Y432" s="423"/>
      <c r="Z432" s="423"/>
      <c r="AA432" s="423"/>
    </row>
    <row r="433" ht="14.25" customHeight="1">
      <c r="A433" s="423"/>
      <c r="B433" s="424"/>
      <c r="C433" s="426" t="s">
        <v>33</v>
      </c>
      <c r="D433" s="426">
        <v>1.0</v>
      </c>
      <c r="E433" s="427">
        <v>2800.0</v>
      </c>
      <c r="F433" s="441"/>
      <c r="G433" s="428"/>
      <c r="H433" s="424"/>
      <c r="I433" s="429"/>
      <c r="J433" s="427">
        <v>1000.0</v>
      </c>
      <c r="K433" s="431">
        <f t="shared" si="76"/>
        <v>0</v>
      </c>
      <c r="L433" s="441"/>
      <c r="M433" s="441">
        <v>1800.0</v>
      </c>
      <c r="N433" s="440"/>
      <c r="O433" s="433">
        <v>-700.0</v>
      </c>
      <c r="P433" s="434"/>
      <c r="Q433" s="435">
        <f t="shared" si="75"/>
        <v>-5450</v>
      </c>
      <c r="R433" s="434"/>
      <c r="S433" s="436"/>
      <c r="T433" s="436"/>
      <c r="U433" s="437"/>
      <c r="V433" s="437"/>
      <c r="W433" s="438"/>
      <c r="X433" s="423"/>
      <c r="Y433" s="423"/>
      <c r="Z433" s="423"/>
      <c r="AA433" s="423"/>
    </row>
    <row r="434" ht="14.25" customHeight="1">
      <c r="A434" s="423"/>
      <c r="B434" s="426"/>
      <c r="C434" s="566" t="s">
        <v>34</v>
      </c>
      <c r="D434" s="426">
        <v>1.0</v>
      </c>
      <c r="E434" s="427">
        <v>2500.0</v>
      </c>
      <c r="F434" s="428"/>
      <c r="G434" s="428"/>
      <c r="H434" s="439"/>
      <c r="I434" s="429"/>
      <c r="J434" s="427">
        <v>1000.0</v>
      </c>
      <c r="K434" s="431">
        <f t="shared" si="76"/>
        <v>0</v>
      </c>
      <c r="L434" s="427"/>
      <c r="M434" s="441">
        <v>1500.0</v>
      </c>
      <c r="N434" s="440"/>
      <c r="O434" s="433">
        <v>-700.0</v>
      </c>
      <c r="P434" s="432"/>
      <c r="Q434" s="435">
        <f t="shared" si="75"/>
        <v>-6150</v>
      </c>
      <c r="R434" s="432"/>
      <c r="S434" s="436"/>
      <c r="T434" s="436"/>
      <c r="U434" s="437"/>
      <c r="V434" s="437"/>
      <c r="W434" s="438"/>
      <c r="X434" s="423"/>
      <c r="Y434" s="423"/>
      <c r="Z434" s="423"/>
      <c r="AA434" s="423"/>
    </row>
    <row r="435" ht="14.25" customHeight="1">
      <c r="A435" s="423"/>
      <c r="B435" s="442"/>
      <c r="C435" s="452" t="s">
        <v>35</v>
      </c>
      <c r="D435" s="452"/>
      <c r="E435" s="568"/>
      <c r="F435" s="445"/>
      <c r="G435" s="445"/>
      <c r="H435" s="569"/>
      <c r="I435" s="446"/>
      <c r="J435" s="568"/>
      <c r="K435" s="447">
        <f t="shared" si="76"/>
        <v>0</v>
      </c>
      <c r="L435" s="568"/>
      <c r="M435" s="445"/>
      <c r="N435" s="570"/>
      <c r="O435" s="571"/>
      <c r="P435" s="481"/>
      <c r="Q435" s="449">
        <f t="shared" si="75"/>
        <v>-6150</v>
      </c>
      <c r="R435" s="481"/>
      <c r="S435" s="436"/>
      <c r="T435" s="436"/>
      <c r="U435" s="437"/>
      <c r="V435" s="437"/>
      <c r="W435" s="438"/>
      <c r="X435" s="423"/>
      <c r="Y435" s="423"/>
      <c r="Z435" s="423"/>
      <c r="AA435" s="423"/>
    </row>
    <row r="436" ht="14.25" customHeight="1">
      <c r="A436" s="423"/>
      <c r="B436" s="424"/>
      <c r="C436" s="426" t="s">
        <v>37</v>
      </c>
      <c r="D436" s="426">
        <v>1.0</v>
      </c>
      <c r="E436" s="427">
        <v>2800.0</v>
      </c>
      <c r="F436" s="441"/>
      <c r="G436" s="428"/>
      <c r="H436" s="424"/>
      <c r="I436" s="429"/>
      <c r="J436" s="427">
        <v>1000.0</v>
      </c>
      <c r="K436" s="431">
        <f t="shared" ref="K436:K444" si="77">E436-J436-L436-M436-N436-I436+F436-P436</f>
        <v>0</v>
      </c>
      <c r="L436" s="427"/>
      <c r="M436" s="441">
        <v>1800.0</v>
      </c>
      <c r="N436" s="440"/>
      <c r="O436" s="433">
        <v>-700.0</v>
      </c>
      <c r="P436" s="432"/>
      <c r="Q436" s="435">
        <f t="shared" si="75"/>
        <v>-6850</v>
      </c>
      <c r="R436" s="432"/>
      <c r="S436" s="436"/>
      <c r="T436" s="436"/>
      <c r="U436" s="437"/>
      <c r="V436" s="437"/>
      <c r="W436" s="454"/>
      <c r="X436" s="455"/>
      <c r="Y436" s="423"/>
      <c r="Z436" s="423"/>
      <c r="AA436" s="423"/>
    </row>
    <row r="437" ht="14.25" customHeight="1">
      <c r="A437" s="423"/>
      <c r="B437" s="424"/>
      <c r="C437" s="426" t="s">
        <v>41</v>
      </c>
      <c r="D437" s="426">
        <v>1.0</v>
      </c>
      <c r="E437" s="427">
        <v>2300.0</v>
      </c>
      <c r="F437" s="441"/>
      <c r="G437" s="428"/>
      <c r="H437" s="424"/>
      <c r="I437" s="429"/>
      <c r="J437" s="427">
        <v>1000.0</v>
      </c>
      <c r="K437" s="431">
        <f t="shared" si="77"/>
        <v>0</v>
      </c>
      <c r="L437" s="427"/>
      <c r="M437" s="441"/>
      <c r="N437" s="440">
        <v>1300.0</v>
      </c>
      <c r="O437" s="433">
        <v>-700.0</v>
      </c>
      <c r="P437" s="432"/>
      <c r="Q437" s="435">
        <f t="shared" si="75"/>
        <v>-6250</v>
      </c>
      <c r="R437" s="432"/>
      <c r="S437" s="436"/>
      <c r="T437" s="436"/>
      <c r="U437" s="437"/>
      <c r="V437" s="437"/>
      <c r="W437" s="454"/>
      <c r="X437" s="455"/>
      <c r="Y437" s="423"/>
      <c r="Z437" s="423"/>
      <c r="AA437" s="423"/>
    </row>
    <row r="438" ht="14.25" customHeight="1">
      <c r="A438" s="423"/>
      <c r="B438" s="424"/>
      <c r="C438" s="426" t="s">
        <v>44</v>
      </c>
      <c r="D438" s="426">
        <v>1.0</v>
      </c>
      <c r="E438" s="427">
        <v>2500.0</v>
      </c>
      <c r="F438" s="428"/>
      <c r="G438" s="428"/>
      <c r="H438" s="424"/>
      <c r="I438" s="429"/>
      <c r="J438" s="427">
        <v>1000.0</v>
      </c>
      <c r="K438" s="431">
        <f t="shared" si="77"/>
        <v>0</v>
      </c>
      <c r="L438" s="427"/>
      <c r="M438" s="428"/>
      <c r="N438" s="440">
        <v>1500.0</v>
      </c>
      <c r="O438" s="433">
        <v>-700.0</v>
      </c>
      <c r="P438" s="432"/>
      <c r="Q438" s="435">
        <f t="shared" si="75"/>
        <v>-5450</v>
      </c>
      <c r="R438" s="432"/>
      <c r="S438" s="436"/>
      <c r="T438" s="436"/>
      <c r="U438" s="437"/>
      <c r="V438" s="437"/>
      <c r="W438" s="454"/>
      <c r="X438" s="455"/>
      <c r="Y438" s="423"/>
      <c r="Z438" s="423"/>
      <c r="AA438" s="423"/>
    </row>
    <row r="439" ht="14.25" customHeight="1">
      <c r="A439" s="423"/>
      <c r="B439" s="424"/>
      <c r="C439" s="426" t="s">
        <v>45</v>
      </c>
      <c r="D439" s="426">
        <v>1.0</v>
      </c>
      <c r="E439" s="427">
        <v>2800.0</v>
      </c>
      <c r="F439" s="441">
        <v>400.0</v>
      </c>
      <c r="G439" s="428"/>
      <c r="H439" s="424"/>
      <c r="I439" s="429"/>
      <c r="J439" s="427">
        <v>1200.0</v>
      </c>
      <c r="K439" s="431">
        <f t="shared" si="77"/>
        <v>0</v>
      </c>
      <c r="L439" s="427"/>
      <c r="M439" s="441">
        <v>2000.0</v>
      </c>
      <c r="N439" s="440"/>
      <c r="O439" s="433">
        <v>-700.0</v>
      </c>
      <c r="P439" s="432"/>
      <c r="Q439" s="435">
        <f t="shared" si="75"/>
        <v>-6150</v>
      </c>
      <c r="R439" s="432"/>
      <c r="S439" s="436"/>
      <c r="T439" s="436"/>
      <c r="U439" s="437"/>
      <c r="V439" s="437"/>
      <c r="W439" s="454"/>
      <c r="X439" s="455"/>
      <c r="Y439" s="423"/>
      <c r="Z439" s="423"/>
      <c r="AA439" s="423"/>
    </row>
    <row r="440" ht="14.25" customHeight="1">
      <c r="A440" s="423"/>
      <c r="B440" s="424"/>
      <c r="C440" s="426" t="s">
        <v>47</v>
      </c>
      <c r="D440" s="426">
        <v>1.0</v>
      </c>
      <c r="E440" s="427">
        <v>2500.0</v>
      </c>
      <c r="F440" s="441">
        <v>350.0</v>
      </c>
      <c r="G440" s="428"/>
      <c r="H440" s="424"/>
      <c r="I440" s="429"/>
      <c r="J440" s="427">
        <v>1350.0</v>
      </c>
      <c r="K440" s="431">
        <f t="shared" si="77"/>
        <v>0</v>
      </c>
      <c r="L440" s="427"/>
      <c r="M440" s="428"/>
      <c r="N440" s="470">
        <v>1500.0</v>
      </c>
      <c r="O440" s="433">
        <v>-700.0</v>
      </c>
      <c r="P440" s="432"/>
      <c r="Q440" s="435">
        <f t="shared" si="75"/>
        <v>-5350</v>
      </c>
      <c r="R440" s="432"/>
      <c r="S440" s="436"/>
      <c r="T440" s="560" t="s">
        <v>323</v>
      </c>
      <c r="U440" s="437"/>
      <c r="V440" s="437"/>
      <c r="W440" s="454"/>
      <c r="X440" s="455"/>
      <c r="Y440" s="423"/>
      <c r="Z440" s="423"/>
      <c r="AA440" s="423"/>
    </row>
    <row r="441" ht="14.25" customHeight="1">
      <c r="A441" s="423"/>
      <c r="B441" s="424"/>
      <c r="C441" s="426" t="s">
        <v>72</v>
      </c>
      <c r="D441" s="426">
        <v>1.0</v>
      </c>
      <c r="E441" s="427">
        <v>2000.0</v>
      </c>
      <c r="F441" s="428"/>
      <c r="G441" s="428"/>
      <c r="H441" s="424"/>
      <c r="I441" s="429"/>
      <c r="J441" s="427">
        <v>1000.0</v>
      </c>
      <c r="K441" s="431">
        <f t="shared" si="77"/>
        <v>0</v>
      </c>
      <c r="L441" s="427"/>
      <c r="M441" s="428"/>
      <c r="N441" s="440">
        <v>1000.0</v>
      </c>
      <c r="O441" s="433">
        <v>-700.0</v>
      </c>
      <c r="P441" s="432"/>
      <c r="Q441" s="435">
        <f t="shared" si="75"/>
        <v>-5050</v>
      </c>
      <c r="R441" s="432"/>
      <c r="S441" s="436"/>
      <c r="T441" s="436"/>
      <c r="U441" s="437"/>
      <c r="V441" s="437"/>
      <c r="W441" s="454"/>
      <c r="X441" s="455"/>
      <c r="Y441" s="423"/>
      <c r="Z441" s="423"/>
      <c r="AA441" s="423"/>
    </row>
    <row r="442" ht="14.25" customHeight="1">
      <c r="A442" s="423"/>
      <c r="B442" s="424"/>
      <c r="C442" s="426" t="s">
        <v>88</v>
      </c>
      <c r="D442" s="426">
        <v>2.0</v>
      </c>
      <c r="E442" s="427">
        <v>4100.0</v>
      </c>
      <c r="F442" s="428"/>
      <c r="G442" s="428"/>
      <c r="H442" s="424"/>
      <c r="I442" s="429"/>
      <c r="J442" s="427">
        <v>1500.0</v>
      </c>
      <c r="K442" s="431">
        <f t="shared" si="77"/>
        <v>0</v>
      </c>
      <c r="L442" s="427"/>
      <c r="M442" s="441">
        <v>2600.0</v>
      </c>
      <c r="N442" s="440"/>
      <c r="O442" s="433">
        <v>-700.0</v>
      </c>
      <c r="P442" s="432"/>
      <c r="Q442" s="435">
        <f t="shared" si="75"/>
        <v>-5750</v>
      </c>
      <c r="R442" s="432"/>
      <c r="S442" s="436"/>
      <c r="T442" s="436"/>
      <c r="U442" s="437"/>
      <c r="V442" s="437"/>
      <c r="W442" s="454"/>
      <c r="X442" s="455"/>
      <c r="Y442" s="423"/>
      <c r="Z442" s="423"/>
      <c r="AA442" s="423"/>
    </row>
    <row r="443" ht="14.25" customHeight="1">
      <c r="A443" s="423"/>
      <c r="B443" s="424"/>
      <c r="C443" s="426" t="s">
        <v>50</v>
      </c>
      <c r="D443" s="426">
        <v>1.0</v>
      </c>
      <c r="E443" s="427">
        <v>2300.0</v>
      </c>
      <c r="F443" s="428"/>
      <c r="G443" s="428"/>
      <c r="H443" s="424"/>
      <c r="I443" s="429"/>
      <c r="J443" s="427">
        <v>1000.0</v>
      </c>
      <c r="K443" s="431">
        <f t="shared" si="77"/>
        <v>0</v>
      </c>
      <c r="L443" s="427"/>
      <c r="M443" s="428"/>
      <c r="N443" s="440">
        <v>1300.0</v>
      </c>
      <c r="O443" s="433">
        <v>-700.0</v>
      </c>
      <c r="P443" s="432"/>
      <c r="Q443" s="435">
        <f t="shared" si="75"/>
        <v>-5150</v>
      </c>
      <c r="R443" s="432"/>
      <c r="S443" s="436"/>
      <c r="T443" s="436"/>
      <c r="U443" s="437"/>
      <c r="V443" s="437"/>
      <c r="W443" s="454"/>
      <c r="X443" s="455"/>
      <c r="Y443" s="423"/>
      <c r="Z443" s="423"/>
      <c r="AA443" s="423"/>
    </row>
    <row r="444" ht="14.25" customHeight="1">
      <c r="A444" s="423"/>
      <c r="B444" s="424"/>
      <c r="C444" s="426" t="s">
        <v>52</v>
      </c>
      <c r="D444" s="426">
        <v>1.0</v>
      </c>
      <c r="E444" s="427">
        <v>2464.32</v>
      </c>
      <c r="F444" s="441">
        <v>450.0</v>
      </c>
      <c r="G444" s="428"/>
      <c r="H444" s="439" t="s">
        <v>53</v>
      </c>
      <c r="I444" s="429"/>
      <c r="J444" s="427">
        <v>450.0</v>
      </c>
      <c r="K444" s="431">
        <f t="shared" si="77"/>
        <v>0</v>
      </c>
      <c r="L444" s="427">
        <v>2464.32</v>
      </c>
      <c r="M444" s="428"/>
      <c r="N444" s="440"/>
      <c r="O444" s="433">
        <v>-700.0</v>
      </c>
      <c r="P444" s="432"/>
      <c r="Q444" s="435">
        <f t="shared" si="75"/>
        <v>-5850</v>
      </c>
      <c r="R444" s="432"/>
      <c r="S444" s="436"/>
      <c r="T444" s="436"/>
      <c r="U444" s="437"/>
      <c r="V444" s="437"/>
      <c r="W444" s="454"/>
      <c r="X444" s="455"/>
      <c r="Y444" s="423"/>
      <c r="Z444" s="423"/>
      <c r="AA444" s="423"/>
    </row>
    <row r="445" ht="14.25" customHeight="1">
      <c r="A445" s="423"/>
      <c r="B445" s="424"/>
      <c r="C445" s="426"/>
      <c r="D445" s="426"/>
      <c r="E445" s="427"/>
      <c r="F445" s="428"/>
      <c r="G445" s="428"/>
      <c r="H445" s="424"/>
      <c r="I445" s="429"/>
      <c r="J445" s="427"/>
      <c r="K445" s="431"/>
      <c r="L445" s="427"/>
      <c r="M445" s="428"/>
      <c r="N445" s="440"/>
      <c r="O445" s="433"/>
      <c r="P445" s="432">
        <v>-500.0</v>
      </c>
      <c r="Q445" s="435">
        <f t="shared" si="75"/>
        <v>-6350</v>
      </c>
      <c r="R445" s="432" t="s">
        <v>325</v>
      </c>
      <c r="S445" s="436"/>
      <c r="T445" s="436"/>
      <c r="U445" s="437"/>
      <c r="V445" s="437"/>
      <c r="W445" s="454"/>
      <c r="X445" s="455"/>
      <c r="Y445" s="423"/>
      <c r="Z445" s="423"/>
      <c r="AA445" s="423"/>
    </row>
    <row r="446" ht="14.25" customHeight="1">
      <c r="A446" s="423"/>
      <c r="B446" s="424"/>
      <c r="C446" s="426"/>
      <c r="D446" s="426"/>
      <c r="E446" s="427"/>
      <c r="F446" s="428"/>
      <c r="G446" s="428"/>
      <c r="H446" s="424"/>
      <c r="I446" s="429"/>
      <c r="J446" s="427"/>
      <c r="K446" s="431"/>
      <c r="L446" s="427"/>
      <c r="M446" s="428"/>
      <c r="N446" s="520"/>
      <c r="O446" s="433"/>
      <c r="P446" s="432">
        <v>-1097.25</v>
      </c>
      <c r="Q446" s="435">
        <f t="shared" si="75"/>
        <v>-7447.25</v>
      </c>
      <c r="R446" s="432" t="s">
        <v>326</v>
      </c>
      <c r="S446" s="436"/>
      <c r="T446" s="436"/>
      <c r="U446" s="437"/>
      <c r="V446" s="437"/>
      <c r="W446" s="454"/>
      <c r="X446" s="455"/>
      <c r="Y446" s="423"/>
      <c r="Z446" s="423"/>
      <c r="AA446" s="423"/>
    </row>
    <row r="447" ht="14.25" customHeight="1">
      <c r="A447" s="423"/>
      <c r="B447" s="424"/>
      <c r="C447" s="456"/>
      <c r="D447" s="456"/>
      <c r="E447" s="428"/>
      <c r="F447" s="428"/>
      <c r="G447" s="428"/>
      <c r="H447" s="424"/>
      <c r="I447" s="429"/>
      <c r="J447" s="428"/>
      <c r="K447" s="431">
        <f>E447-J447-L447-M447-N447-I447+F447-P447</f>
        <v>0</v>
      </c>
      <c r="L447" s="428"/>
      <c r="M447" s="428"/>
      <c r="N447" s="476"/>
      <c r="O447" s="434"/>
      <c r="P447" s="432"/>
      <c r="Q447" s="435">
        <f t="shared" si="75"/>
        <v>-7447.25</v>
      </c>
      <c r="R447" s="432"/>
      <c r="S447" s="436"/>
      <c r="T447" s="436"/>
      <c r="U447" s="437"/>
      <c r="V447" s="437"/>
      <c r="W447" s="438"/>
      <c r="X447" s="423"/>
      <c r="Y447" s="423"/>
      <c r="Z447" s="423"/>
      <c r="AA447" s="423"/>
    </row>
    <row r="448" ht="14.25" customHeight="1">
      <c r="A448" s="423"/>
      <c r="B448" s="463" t="str">
        <f>B418</f>
        <v>JUL</v>
      </c>
      <c r="C448" s="464" t="s">
        <v>80</v>
      </c>
      <c r="D448" s="464">
        <f t="shared" ref="D448:P448" si="78">sum(D418:D447)</f>
        <v>28</v>
      </c>
      <c r="E448" s="465">
        <f t="shared" si="78"/>
        <v>64204.7</v>
      </c>
      <c r="F448" s="465">
        <f t="shared" si="78"/>
        <v>3350</v>
      </c>
      <c r="G448" s="465">
        <f t="shared" si="78"/>
        <v>0</v>
      </c>
      <c r="H448" s="465">
        <f t="shared" si="78"/>
        <v>0</v>
      </c>
      <c r="I448" s="465">
        <f t="shared" si="78"/>
        <v>0</v>
      </c>
      <c r="J448" s="465">
        <f t="shared" si="78"/>
        <v>25100</v>
      </c>
      <c r="K448" s="465">
        <f t="shared" si="78"/>
        <v>0</v>
      </c>
      <c r="L448" s="465">
        <f t="shared" si="78"/>
        <v>5904.7</v>
      </c>
      <c r="M448" s="465">
        <f t="shared" si="78"/>
        <v>24900</v>
      </c>
      <c r="N448" s="465">
        <f t="shared" si="78"/>
        <v>11650</v>
      </c>
      <c r="O448" s="465">
        <f t="shared" si="78"/>
        <v>-17500</v>
      </c>
      <c r="P448" s="465">
        <f t="shared" si="78"/>
        <v>-1597.25</v>
      </c>
      <c r="Q448" s="467">
        <f t="shared" ref="Q448:Q449" si="79">Q447</f>
        <v>-7447.25</v>
      </c>
      <c r="R448" s="469"/>
      <c r="S448" s="436"/>
      <c r="T448" s="436"/>
      <c r="U448" s="437"/>
      <c r="V448" s="437"/>
      <c r="W448" s="438"/>
      <c r="X448" s="423"/>
      <c r="Y448" s="423"/>
      <c r="Z448" s="423"/>
      <c r="AA448" s="423"/>
    </row>
    <row r="449" ht="14.25" customHeight="1">
      <c r="A449" s="423"/>
      <c r="B449" s="439" t="s">
        <v>166</v>
      </c>
      <c r="C449" s="425">
        <v>46024.0</v>
      </c>
      <c r="D449" s="426">
        <v>1.0</v>
      </c>
      <c r="E449" s="427">
        <v>2800.0</v>
      </c>
      <c r="F449" s="441"/>
      <c r="G449" s="441"/>
      <c r="H449" s="439"/>
      <c r="I449" s="429"/>
      <c r="J449" s="427">
        <v>1000.0</v>
      </c>
      <c r="K449" s="431">
        <f t="shared" ref="K449:K451" si="80">E449-J449-L449-M449-N449-I449+F449-P449</f>
        <v>0</v>
      </c>
      <c r="L449" s="427"/>
      <c r="M449" s="441">
        <v>1800.0</v>
      </c>
      <c r="N449" s="440"/>
      <c r="O449" s="433">
        <v>-700.0</v>
      </c>
      <c r="P449" s="434"/>
      <c r="Q449" s="435">
        <f t="shared" si="79"/>
        <v>-7447.25</v>
      </c>
      <c r="R449" s="434"/>
      <c r="S449" s="436"/>
      <c r="T449" s="436"/>
      <c r="U449" s="437"/>
      <c r="V449" s="437"/>
      <c r="W449" s="438"/>
      <c r="X449" s="423"/>
      <c r="Y449" s="423"/>
      <c r="Z449" s="423"/>
      <c r="AA449" s="423"/>
    </row>
    <row r="450" ht="14.25" customHeight="1">
      <c r="A450" s="423"/>
      <c r="B450" s="439"/>
      <c r="C450" s="425">
        <v>46057.0</v>
      </c>
      <c r="D450" s="426">
        <v>2.0</v>
      </c>
      <c r="E450" s="427">
        <v>3177.52</v>
      </c>
      <c r="F450" s="441"/>
      <c r="G450" s="441"/>
      <c r="H450" s="439" t="s">
        <v>53</v>
      </c>
      <c r="I450" s="429"/>
      <c r="J450" s="427"/>
      <c r="K450" s="431">
        <f t="shared" si="80"/>
        <v>0</v>
      </c>
      <c r="L450" s="427">
        <v>3177.52</v>
      </c>
      <c r="M450" s="441"/>
      <c r="N450" s="440"/>
      <c r="O450" s="433">
        <v>-700.0</v>
      </c>
      <c r="P450" s="434"/>
      <c r="Q450" s="435">
        <f t="shared" ref="Q450:Q475" si="81">Q449+N450+O450+P450</f>
        <v>-8147.25</v>
      </c>
      <c r="R450" s="434"/>
      <c r="S450" s="436"/>
      <c r="T450" s="436"/>
      <c r="U450" s="437"/>
      <c r="V450" s="437"/>
      <c r="W450" s="438"/>
      <c r="X450" s="423"/>
      <c r="Y450" s="423"/>
      <c r="Z450" s="423"/>
      <c r="AA450" s="423"/>
    </row>
    <row r="451" ht="14.25" customHeight="1">
      <c r="A451" s="423"/>
      <c r="B451" s="424"/>
      <c r="C451" s="425">
        <v>46117.0</v>
      </c>
      <c r="D451" s="426">
        <v>1.0</v>
      </c>
      <c r="E451" s="427">
        <v>2300.0</v>
      </c>
      <c r="F451" s="441"/>
      <c r="G451" s="428"/>
      <c r="H451" s="439"/>
      <c r="I451" s="429"/>
      <c r="J451" s="427">
        <v>1000.0</v>
      </c>
      <c r="K451" s="431">
        <f t="shared" si="80"/>
        <v>0</v>
      </c>
      <c r="L451" s="427"/>
      <c r="M451" s="428"/>
      <c r="N451" s="440">
        <v>1300.0</v>
      </c>
      <c r="O451" s="433">
        <v>-700.0</v>
      </c>
      <c r="P451" s="432"/>
      <c r="Q451" s="435">
        <f t="shared" si="81"/>
        <v>-7547.25</v>
      </c>
      <c r="R451" s="432"/>
      <c r="S451" s="436"/>
      <c r="T451" s="436"/>
      <c r="U451" s="437"/>
      <c r="V451" s="437"/>
      <c r="W451" s="438"/>
      <c r="X451" s="423"/>
      <c r="Y451" s="423"/>
      <c r="Z451" s="423"/>
      <c r="AA451" s="423"/>
    </row>
    <row r="452" ht="14.25" customHeight="1">
      <c r="A452" s="423"/>
      <c r="B452" s="442"/>
      <c r="C452" s="443">
        <v>46148.0</v>
      </c>
      <c r="D452" s="444"/>
      <c r="E452" s="445"/>
      <c r="F452" s="445"/>
      <c r="G452" s="445"/>
      <c r="H452" s="442"/>
      <c r="I452" s="446"/>
      <c r="J452" s="445"/>
      <c r="K452" s="447">
        <f t="shared" ref="K452:K455" si="82">E452-J452-L452-M452-N452-I452+F452</f>
        <v>0</v>
      </c>
      <c r="L452" s="445"/>
      <c r="M452" s="445"/>
      <c r="N452" s="477"/>
      <c r="O452" s="448"/>
      <c r="P452" s="448"/>
      <c r="Q452" s="449">
        <f t="shared" si="81"/>
        <v>-7547.25</v>
      </c>
      <c r="R452" s="448"/>
      <c r="S452" s="436"/>
      <c r="T452" s="436"/>
      <c r="U452" s="437"/>
      <c r="V452" s="437"/>
      <c r="W452" s="438"/>
      <c r="X452" s="423"/>
      <c r="Y452" s="423"/>
      <c r="Z452" s="423"/>
      <c r="AA452" s="423"/>
    </row>
    <row r="453" ht="14.25" customHeight="1">
      <c r="A453" s="423"/>
      <c r="B453" s="424"/>
      <c r="C453" s="425">
        <v>46180.0</v>
      </c>
      <c r="D453" s="426">
        <v>1.0</v>
      </c>
      <c r="E453" s="427">
        <v>2300.0</v>
      </c>
      <c r="F453" s="427">
        <v>450.0</v>
      </c>
      <c r="G453" s="428"/>
      <c r="H453" s="439"/>
      <c r="I453" s="429"/>
      <c r="J453" s="427">
        <v>1225.0</v>
      </c>
      <c r="K453" s="431">
        <f t="shared" si="82"/>
        <v>0</v>
      </c>
      <c r="L453" s="427"/>
      <c r="M453" s="441"/>
      <c r="N453" s="440">
        <v>1525.0</v>
      </c>
      <c r="O453" s="433">
        <v>-700.0</v>
      </c>
      <c r="P453" s="434"/>
      <c r="Q453" s="435">
        <f t="shared" si="81"/>
        <v>-6722.25</v>
      </c>
      <c r="R453" s="432"/>
      <c r="S453" s="436"/>
      <c r="T453" s="436"/>
      <c r="U453" s="437"/>
      <c r="V453" s="437"/>
      <c r="W453" s="438"/>
      <c r="X453" s="423"/>
      <c r="Y453" s="423"/>
      <c r="Z453" s="423"/>
      <c r="AA453" s="423"/>
    </row>
    <row r="454" ht="14.25" customHeight="1">
      <c r="A454" s="423"/>
      <c r="B454" s="424"/>
      <c r="C454" s="425">
        <v>46211.0</v>
      </c>
      <c r="D454" s="426">
        <v>1.0</v>
      </c>
      <c r="E454" s="427">
        <v>2500.0</v>
      </c>
      <c r="F454" s="451"/>
      <c r="G454" s="428"/>
      <c r="H454" s="439"/>
      <c r="I454" s="429"/>
      <c r="J454" s="427">
        <v>1000.0</v>
      </c>
      <c r="K454" s="431">
        <f t="shared" si="82"/>
        <v>0</v>
      </c>
      <c r="L454" s="427"/>
      <c r="M454" s="441">
        <v>1500.0</v>
      </c>
      <c r="N454" s="440"/>
      <c r="O454" s="433">
        <v>-700.0</v>
      </c>
      <c r="P454" s="432"/>
      <c r="Q454" s="435">
        <f t="shared" si="81"/>
        <v>-7422.25</v>
      </c>
      <c r="R454" s="432"/>
      <c r="S454" s="436"/>
      <c r="T454" s="436"/>
      <c r="U454" s="437"/>
      <c r="V454" s="437"/>
      <c r="W454" s="438"/>
      <c r="X454" s="423"/>
      <c r="Y454" s="423"/>
      <c r="Z454" s="423"/>
      <c r="AA454" s="423"/>
    </row>
    <row r="455" ht="14.25" customHeight="1">
      <c r="A455" s="423"/>
      <c r="B455" s="424"/>
      <c r="C455" s="425">
        <v>46243.0</v>
      </c>
      <c r="D455" s="426">
        <v>1.0</v>
      </c>
      <c r="E455" s="427">
        <f>1050+3500</f>
        <v>4550</v>
      </c>
      <c r="F455" s="441"/>
      <c r="G455" s="428"/>
      <c r="H455" s="424"/>
      <c r="I455" s="429"/>
      <c r="J455" s="427">
        <v>1000.0</v>
      </c>
      <c r="K455" s="431">
        <f t="shared" si="82"/>
        <v>0</v>
      </c>
      <c r="L455" s="427"/>
      <c r="M455" s="427">
        <v>550.0</v>
      </c>
      <c r="N455" s="440">
        <v>3000.0</v>
      </c>
      <c r="O455" s="433">
        <v>-700.0</v>
      </c>
      <c r="P455" s="434"/>
      <c r="Q455" s="435">
        <f t="shared" si="81"/>
        <v>-5122.25</v>
      </c>
      <c r="R455" s="434"/>
      <c r="S455" s="436"/>
      <c r="T455" s="436"/>
      <c r="U455" s="437"/>
      <c r="V455" s="437"/>
      <c r="W455" s="438"/>
      <c r="X455" s="423"/>
      <c r="Y455" s="423"/>
      <c r="Z455" s="423"/>
      <c r="AA455" s="423"/>
    </row>
    <row r="456" ht="14.25" customHeight="1">
      <c r="A456" s="423"/>
      <c r="B456" s="424"/>
      <c r="C456" s="425">
        <v>46275.0</v>
      </c>
      <c r="D456" s="426">
        <v>1.0</v>
      </c>
      <c r="E456" s="427">
        <v>2000.0</v>
      </c>
      <c r="F456" s="441"/>
      <c r="G456" s="428"/>
      <c r="H456" s="424"/>
      <c r="I456" s="429"/>
      <c r="J456" s="427">
        <v>1000.0</v>
      </c>
      <c r="K456" s="431"/>
      <c r="L456" s="427"/>
      <c r="M456" s="451"/>
      <c r="N456" s="440">
        <v>2000.0</v>
      </c>
      <c r="O456" s="433">
        <v>-700.0</v>
      </c>
      <c r="P456" s="434"/>
      <c r="Q456" s="435">
        <f t="shared" si="81"/>
        <v>-3822.25</v>
      </c>
      <c r="R456" s="434"/>
      <c r="S456" s="436"/>
      <c r="T456" s="436"/>
      <c r="U456" s="437"/>
      <c r="V456" s="437"/>
      <c r="W456" s="438"/>
      <c r="X456" s="423"/>
      <c r="Y456" s="423"/>
      <c r="Z456" s="423"/>
      <c r="AA456" s="423"/>
    </row>
    <row r="457" ht="14.25" customHeight="1">
      <c r="A457" s="423"/>
      <c r="B457" s="424"/>
      <c r="C457" s="425">
        <v>46306.0</v>
      </c>
      <c r="D457" s="426">
        <v>1.0</v>
      </c>
      <c r="E457" s="427">
        <v>2000.0</v>
      </c>
      <c r="F457" s="441">
        <v>300.0</v>
      </c>
      <c r="G457" s="428"/>
      <c r="H457" s="424"/>
      <c r="I457" s="429"/>
      <c r="J457" s="427">
        <v>1000.0</v>
      </c>
      <c r="K457" s="431">
        <f t="shared" ref="K457:K459" si="83">E457-J457-L457-M457-N457-I457+F457</f>
        <v>0</v>
      </c>
      <c r="L457" s="427"/>
      <c r="M457" s="451"/>
      <c r="N457" s="440">
        <v>1300.0</v>
      </c>
      <c r="O457" s="433">
        <v>-700.0</v>
      </c>
      <c r="P457" s="434"/>
      <c r="Q457" s="435">
        <f t="shared" si="81"/>
        <v>-3222.25</v>
      </c>
      <c r="R457" s="434"/>
      <c r="S457" s="436"/>
      <c r="T457" s="436"/>
      <c r="U457" s="437"/>
      <c r="V457" s="437"/>
      <c r="W457" s="438"/>
      <c r="X457" s="423"/>
      <c r="Y457" s="423"/>
      <c r="Z457" s="423"/>
      <c r="AA457" s="423"/>
    </row>
    <row r="458" ht="14.25" customHeight="1">
      <c r="A458" s="423"/>
      <c r="B458" s="424"/>
      <c r="C458" s="425">
        <v>46339.0</v>
      </c>
      <c r="D458" s="426">
        <v>2.0</v>
      </c>
      <c r="E458" s="427">
        <v>4100.0</v>
      </c>
      <c r="F458" s="441">
        <v>700.0</v>
      </c>
      <c r="G458" s="428"/>
      <c r="H458" s="424"/>
      <c r="I458" s="429"/>
      <c r="J458" s="427">
        <v>1500.0</v>
      </c>
      <c r="K458" s="431">
        <f t="shared" si="83"/>
        <v>0</v>
      </c>
      <c r="L458" s="427"/>
      <c r="M458" s="427">
        <v>3300.0</v>
      </c>
      <c r="N458" s="440"/>
      <c r="O458" s="433">
        <v>-700.0</v>
      </c>
      <c r="P458" s="434"/>
      <c r="Q458" s="435">
        <f t="shared" si="81"/>
        <v>-3922.25</v>
      </c>
      <c r="R458" s="434"/>
      <c r="S458" s="436"/>
      <c r="T458" s="436"/>
      <c r="U458" s="437"/>
      <c r="V458" s="437"/>
      <c r="W458" s="438"/>
      <c r="X458" s="423"/>
      <c r="Y458" s="423"/>
      <c r="Z458" s="423"/>
      <c r="AA458" s="423"/>
    </row>
    <row r="459" ht="14.25" customHeight="1">
      <c r="A459" s="423"/>
      <c r="B459" s="442"/>
      <c r="C459" s="452" t="s">
        <v>46</v>
      </c>
      <c r="D459" s="452"/>
      <c r="E459" s="568"/>
      <c r="F459" s="445"/>
      <c r="G459" s="445"/>
      <c r="H459" s="569"/>
      <c r="I459" s="446"/>
      <c r="J459" s="568"/>
      <c r="K459" s="447">
        <f t="shared" si="83"/>
        <v>0</v>
      </c>
      <c r="L459" s="568"/>
      <c r="M459" s="445"/>
      <c r="N459" s="570"/>
      <c r="O459" s="571"/>
      <c r="P459" s="481"/>
      <c r="Q459" s="449">
        <f t="shared" si="81"/>
        <v>-3922.25</v>
      </c>
      <c r="R459" s="481"/>
      <c r="S459" s="436"/>
      <c r="T459" s="436"/>
      <c r="U459" s="437"/>
      <c r="V459" s="437"/>
      <c r="W459" s="438"/>
      <c r="X459" s="423"/>
      <c r="Y459" s="423"/>
      <c r="Z459" s="423"/>
      <c r="AA459" s="423"/>
    </row>
    <row r="460" ht="14.25" customHeight="1">
      <c r="A460" s="423"/>
      <c r="B460" s="424"/>
      <c r="C460" s="426" t="s">
        <v>101</v>
      </c>
      <c r="D460" s="426">
        <v>2.0</v>
      </c>
      <c r="E460" s="427">
        <v>5000.0</v>
      </c>
      <c r="F460" s="441"/>
      <c r="G460" s="428"/>
      <c r="H460" s="424"/>
      <c r="I460" s="429"/>
      <c r="J460" s="427">
        <v>1500.0</v>
      </c>
      <c r="K460" s="431">
        <f t="shared" ref="K460:K471" si="84">E460-J460-L460-M460-N460-I460+F460-P460</f>
        <v>0</v>
      </c>
      <c r="L460" s="427"/>
      <c r="M460" s="427">
        <v>3500.0</v>
      </c>
      <c r="N460" s="440"/>
      <c r="O460" s="433">
        <v>-700.0</v>
      </c>
      <c r="P460" s="434"/>
      <c r="Q460" s="435">
        <f t="shared" si="81"/>
        <v>-4622.25</v>
      </c>
      <c r="R460" s="434"/>
      <c r="S460" s="436"/>
      <c r="T460" s="436"/>
      <c r="U460" s="437"/>
      <c r="V460" s="437"/>
      <c r="W460" s="438"/>
      <c r="X460" s="423"/>
      <c r="Y460" s="423"/>
      <c r="Z460" s="423"/>
      <c r="AA460" s="423"/>
    </row>
    <row r="461" ht="14.25" customHeight="1">
      <c r="A461" s="423"/>
      <c r="B461" s="424"/>
      <c r="C461" s="426" t="s">
        <v>31</v>
      </c>
      <c r="D461" s="426">
        <v>1.0</v>
      </c>
      <c r="E461" s="427">
        <v>3000.0</v>
      </c>
      <c r="F461" s="441"/>
      <c r="G461" s="428"/>
      <c r="H461" s="424"/>
      <c r="I461" s="429"/>
      <c r="J461" s="427">
        <v>1000.0</v>
      </c>
      <c r="K461" s="431">
        <f t="shared" si="84"/>
        <v>0</v>
      </c>
      <c r="L461" s="427"/>
      <c r="M461" s="451"/>
      <c r="N461" s="440">
        <v>2000.0</v>
      </c>
      <c r="O461" s="433">
        <v>-700.0</v>
      </c>
      <c r="P461" s="434"/>
      <c r="Q461" s="435">
        <f t="shared" si="81"/>
        <v>-3322.25</v>
      </c>
      <c r="R461" s="432"/>
      <c r="S461" s="436"/>
      <c r="T461" s="436"/>
      <c r="U461" s="437"/>
      <c r="V461" s="437"/>
      <c r="W461" s="438"/>
      <c r="X461" s="423"/>
      <c r="Y461" s="423"/>
      <c r="Z461" s="423"/>
      <c r="AA461" s="423"/>
    </row>
    <row r="462" ht="14.25" customHeight="1">
      <c r="A462" s="423"/>
      <c r="B462" s="424"/>
      <c r="C462" s="426" t="s">
        <v>56</v>
      </c>
      <c r="D462" s="426">
        <v>2.0</v>
      </c>
      <c r="E462" s="427">
        <v>5000.0</v>
      </c>
      <c r="F462" s="441">
        <v>1000.0</v>
      </c>
      <c r="G462" s="428"/>
      <c r="H462" s="439"/>
      <c r="I462" s="429"/>
      <c r="J462" s="427">
        <v>1500.0</v>
      </c>
      <c r="K462" s="431">
        <f t="shared" si="84"/>
        <v>0</v>
      </c>
      <c r="L462" s="441"/>
      <c r="M462" s="441">
        <v>500.0</v>
      </c>
      <c r="N462" s="432">
        <v>3000.0</v>
      </c>
      <c r="O462" s="433">
        <v>-700.0</v>
      </c>
      <c r="P462" s="432">
        <v>1000.0</v>
      </c>
      <c r="Q462" s="435">
        <f t="shared" si="81"/>
        <v>-22.25</v>
      </c>
      <c r="R462" s="432" t="s">
        <v>328</v>
      </c>
      <c r="S462" s="436"/>
      <c r="T462" s="436"/>
      <c r="U462" s="437"/>
      <c r="V462" s="437"/>
      <c r="W462" s="438"/>
      <c r="X462" s="423"/>
      <c r="Y462" s="423"/>
      <c r="Z462" s="423"/>
      <c r="AA462" s="423"/>
    </row>
    <row r="463" ht="14.25" customHeight="1">
      <c r="A463" s="423"/>
      <c r="B463" s="424"/>
      <c r="C463" s="426" t="s">
        <v>34</v>
      </c>
      <c r="D463" s="426">
        <v>1.0</v>
      </c>
      <c r="E463" s="427">
        <v>3250.0</v>
      </c>
      <c r="F463" s="441"/>
      <c r="G463" s="428"/>
      <c r="H463" s="424"/>
      <c r="I463" s="429"/>
      <c r="J463" s="427">
        <v>1000.0</v>
      </c>
      <c r="K463" s="431">
        <f t="shared" si="84"/>
        <v>500</v>
      </c>
      <c r="L463" s="428"/>
      <c r="M463" s="428"/>
      <c r="N463" s="440">
        <v>2250.0</v>
      </c>
      <c r="O463" s="433">
        <v>-700.0</v>
      </c>
      <c r="P463" s="432">
        <v>-500.0</v>
      </c>
      <c r="Q463" s="435">
        <f t="shared" si="81"/>
        <v>1027.75</v>
      </c>
      <c r="R463" s="432" t="s">
        <v>85</v>
      </c>
      <c r="S463" s="436"/>
      <c r="T463" s="436"/>
      <c r="U463" s="437"/>
      <c r="V463" s="437"/>
      <c r="W463" s="438"/>
      <c r="X463" s="423"/>
      <c r="Y463" s="423"/>
      <c r="Z463" s="423"/>
      <c r="AA463" s="423"/>
    </row>
    <row r="464" ht="14.25" customHeight="1">
      <c r="A464" s="423"/>
      <c r="B464" s="424"/>
      <c r="C464" s="426" t="s">
        <v>69</v>
      </c>
      <c r="D464" s="426">
        <v>1.0</v>
      </c>
      <c r="E464" s="427">
        <v>2300.0</v>
      </c>
      <c r="F464" s="441"/>
      <c r="G464" s="428"/>
      <c r="H464" s="424"/>
      <c r="I464" s="429"/>
      <c r="J464" s="427">
        <v>1000.0</v>
      </c>
      <c r="K464" s="431">
        <f t="shared" si="84"/>
        <v>0</v>
      </c>
      <c r="L464" s="441"/>
      <c r="M464" s="428"/>
      <c r="N464" s="440">
        <v>1300.0</v>
      </c>
      <c r="O464" s="433">
        <v>-700.0</v>
      </c>
      <c r="P464" s="434"/>
      <c r="Q464" s="435">
        <f t="shared" si="81"/>
        <v>1627.75</v>
      </c>
      <c r="R464" s="434"/>
      <c r="S464" s="436"/>
      <c r="T464" s="436"/>
      <c r="U464" s="437"/>
      <c r="V464" s="437"/>
      <c r="W464" s="438"/>
      <c r="X464" s="423"/>
      <c r="Y464" s="423"/>
      <c r="Z464" s="423"/>
      <c r="AA464" s="423"/>
    </row>
    <row r="465" ht="14.25" customHeight="1">
      <c r="A465" s="423"/>
      <c r="B465" s="426"/>
      <c r="C465" s="426" t="s">
        <v>68</v>
      </c>
      <c r="D465" s="426">
        <v>1.0</v>
      </c>
      <c r="E465" s="427">
        <v>2800.0</v>
      </c>
      <c r="F465" s="428"/>
      <c r="G465" s="428"/>
      <c r="H465" s="439"/>
      <c r="I465" s="429"/>
      <c r="J465" s="427">
        <v>1000.0</v>
      </c>
      <c r="K465" s="431">
        <f t="shared" si="84"/>
        <v>0</v>
      </c>
      <c r="L465" s="427"/>
      <c r="M465" s="441">
        <v>1800.0</v>
      </c>
      <c r="N465" s="440"/>
      <c r="O465" s="433">
        <v>-700.0</v>
      </c>
      <c r="P465" s="432"/>
      <c r="Q465" s="435">
        <f t="shared" si="81"/>
        <v>927.75</v>
      </c>
      <c r="R465" s="432"/>
      <c r="S465" s="436"/>
      <c r="T465" s="436"/>
      <c r="U465" s="437"/>
      <c r="V465" s="437"/>
      <c r="W465" s="438"/>
      <c r="X465" s="423"/>
      <c r="Y465" s="423"/>
      <c r="Z465" s="423"/>
      <c r="AA465" s="423"/>
    </row>
    <row r="466" ht="14.25" customHeight="1">
      <c r="A466" s="423"/>
      <c r="B466" s="426"/>
      <c r="C466" s="426" t="s">
        <v>70</v>
      </c>
      <c r="D466" s="426">
        <v>2.0</v>
      </c>
      <c r="E466" s="427">
        <v>5000.0</v>
      </c>
      <c r="F466" s="428"/>
      <c r="G466" s="428"/>
      <c r="H466" s="439"/>
      <c r="I466" s="429"/>
      <c r="J466" s="427">
        <v>1500.0</v>
      </c>
      <c r="K466" s="431">
        <f t="shared" si="84"/>
        <v>0</v>
      </c>
      <c r="L466" s="427"/>
      <c r="M466" s="441">
        <v>3500.0</v>
      </c>
      <c r="N466" s="440"/>
      <c r="O466" s="433">
        <v>-700.0</v>
      </c>
      <c r="P466" s="432"/>
      <c r="Q466" s="435">
        <f t="shared" si="81"/>
        <v>227.75</v>
      </c>
      <c r="R466" s="432"/>
      <c r="S466" s="436"/>
      <c r="T466" s="436"/>
      <c r="U466" s="437"/>
      <c r="V466" s="437"/>
      <c r="W466" s="438"/>
      <c r="X466" s="423"/>
      <c r="Y466" s="423"/>
      <c r="Z466" s="423"/>
      <c r="AA466" s="423"/>
    </row>
    <row r="467" ht="14.25" customHeight="1">
      <c r="A467" s="423"/>
      <c r="B467" s="426"/>
      <c r="C467" s="426" t="s">
        <v>44</v>
      </c>
      <c r="D467" s="426">
        <v>1.0</v>
      </c>
      <c r="E467" s="427">
        <v>2300.0</v>
      </c>
      <c r="F467" s="428"/>
      <c r="G467" s="428"/>
      <c r="H467" s="439"/>
      <c r="I467" s="429"/>
      <c r="J467" s="427">
        <v>1000.0</v>
      </c>
      <c r="K467" s="431">
        <f t="shared" si="84"/>
        <v>0</v>
      </c>
      <c r="L467" s="427"/>
      <c r="M467" s="441"/>
      <c r="N467" s="440">
        <v>1300.0</v>
      </c>
      <c r="O467" s="433">
        <v>-700.0</v>
      </c>
      <c r="P467" s="432"/>
      <c r="Q467" s="435">
        <f t="shared" si="81"/>
        <v>827.75</v>
      </c>
      <c r="R467" s="432"/>
      <c r="S467" s="436"/>
      <c r="T467" s="436"/>
      <c r="U467" s="437"/>
      <c r="V467" s="437"/>
      <c r="W467" s="438"/>
      <c r="X467" s="423"/>
      <c r="Y467" s="423"/>
      <c r="Z467" s="423"/>
      <c r="AA467" s="423"/>
    </row>
    <row r="468" ht="14.25" customHeight="1">
      <c r="A468" s="423"/>
      <c r="B468" s="426"/>
      <c r="C468" s="426" t="s">
        <v>45</v>
      </c>
      <c r="D468" s="426">
        <v>1.0</v>
      </c>
      <c r="E468" s="427">
        <v>2250.0</v>
      </c>
      <c r="F468" s="428"/>
      <c r="G468" s="428"/>
      <c r="H468" s="439"/>
      <c r="I468" s="429"/>
      <c r="J468" s="427">
        <v>1000.0</v>
      </c>
      <c r="K468" s="431">
        <f t="shared" si="84"/>
        <v>0</v>
      </c>
      <c r="L468" s="427"/>
      <c r="M468" s="441">
        <v>1250.0</v>
      </c>
      <c r="N468" s="440"/>
      <c r="O468" s="433">
        <v>-700.0</v>
      </c>
      <c r="P468" s="432"/>
      <c r="Q468" s="435">
        <f t="shared" si="81"/>
        <v>127.75</v>
      </c>
      <c r="R468" s="432"/>
      <c r="S468" s="436"/>
      <c r="T468" s="436"/>
      <c r="U468" s="437"/>
      <c r="V468" s="437"/>
      <c r="W468" s="438"/>
      <c r="X468" s="423"/>
      <c r="Y468" s="423"/>
      <c r="Z468" s="423"/>
      <c r="AA468" s="423"/>
    </row>
    <row r="469" ht="14.25" customHeight="1">
      <c r="A469" s="423"/>
      <c r="B469" s="426"/>
      <c r="C469" s="426" t="s">
        <v>86</v>
      </c>
      <c r="D469" s="426">
        <v>2.0</v>
      </c>
      <c r="E469" s="427">
        <v>3177.64</v>
      </c>
      <c r="F469" s="428"/>
      <c r="G469" s="428"/>
      <c r="H469" s="439"/>
      <c r="I469" s="429"/>
      <c r="J469" s="427"/>
      <c r="K469" s="431">
        <f t="shared" si="84"/>
        <v>0</v>
      </c>
      <c r="L469" s="427">
        <v>3177.64</v>
      </c>
      <c r="M469" s="441"/>
      <c r="N469" s="440"/>
      <c r="O469" s="433">
        <v>-700.0</v>
      </c>
      <c r="P469" s="432"/>
      <c r="Q469" s="435">
        <f t="shared" si="81"/>
        <v>-572.25</v>
      </c>
      <c r="R469" s="432"/>
      <c r="S469" s="436"/>
      <c r="T469" s="436"/>
      <c r="U469" s="437"/>
      <c r="V469" s="437"/>
      <c r="W469" s="438"/>
      <c r="X469" s="423"/>
      <c r="Y469" s="423"/>
      <c r="Z469" s="423"/>
      <c r="AA469" s="423"/>
    </row>
    <row r="470" ht="14.25" customHeight="1">
      <c r="A470" s="423"/>
      <c r="B470" s="442"/>
      <c r="C470" s="452" t="s">
        <v>73</v>
      </c>
      <c r="D470" s="452">
        <v>1.0</v>
      </c>
      <c r="E470" s="568">
        <v>1000.0</v>
      </c>
      <c r="F470" s="445"/>
      <c r="G470" s="445"/>
      <c r="H470" s="569" t="s">
        <v>98</v>
      </c>
      <c r="I470" s="446"/>
      <c r="J470" s="568">
        <v>1000.0</v>
      </c>
      <c r="K470" s="447">
        <f t="shared" si="84"/>
        <v>0</v>
      </c>
      <c r="L470" s="568"/>
      <c r="M470" s="445"/>
      <c r="N470" s="570"/>
      <c r="O470" s="571"/>
      <c r="P470" s="481"/>
      <c r="Q470" s="449">
        <f t="shared" si="81"/>
        <v>-572.25</v>
      </c>
      <c r="R470" s="481"/>
      <c r="S470" s="436"/>
      <c r="T470" s="436"/>
      <c r="U470" s="437"/>
      <c r="V470" s="437"/>
      <c r="W470" s="438"/>
      <c r="X470" s="423"/>
      <c r="Y470" s="423"/>
      <c r="Z470" s="423"/>
      <c r="AA470" s="423"/>
    </row>
    <row r="471" ht="14.25" customHeight="1">
      <c r="A471" s="423"/>
      <c r="B471" s="426"/>
      <c r="C471" s="566" t="s">
        <v>49</v>
      </c>
      <c r="D471" s="426">
        <v>1.0</v>
      </c>
      <c r="E471" s="427">
        <f>500+350+2800</f>
        <v>3650</v>
      </c>
      <c r="F471" s="428"/>
      <c r="G471" s="428"/>
      <c r="H471" s="439"/>
      <c r="I471" s="429"/>
      <c r="J471" s="427">
        <v>1000.0</v>
      </c>
      <c r="K471" s="431">
        <f t="shared" si="84"/>
        <v>0</v>
      </c>
      <c r="L471" s="427"/>
      <c r="M471" s="441">
        <v>2650.0</v>
      </c>
      <c r="N471" s="440"/>
      <c r="O471" s="433">
        <v>-700.0</v>
      </c>
      <c r="P471" s="432"/>
      <c r="Q471" s="435">
        <f t="shared" si="81"/>
        <v>-1272.25</v>
      </c>
      <c r="R471" s="432"/>
      <c r="S471" s="436"/>
      <c r="T471" s="436"/>
      <c r="U471" s="437"/>
      <c r="V471" s="437"/>
      <c r="W471" s="438"/>
      <c r="X471" s="423"/>
      <c r="Y471" s="423"/>
      <c r="Z471" s="423"/>
      <c r="AA471" s="423"/>
    </row>
    <row r="472" ht="14.25" customHeight="1">
      <c r="A472" s="423"/>
      <c r="B472" s="426"/>
      <c r="C472" s="566" t="s">
        <v>50</v>
      </c>
      <c r="D472" s="426">
        <v>1.0</v>
      </c>
      <c r="E472" s="427">
        <v>2750.0</v>
      </c>
      <c r="F472" s="428"/>
      <c r="G472" s="428"/>
      <c r="H472" s="439"/>
      <c r="I472" s="429"/>
      <c r="J472" s="427">
        <v>1000.0</v>
      </c>
      <c r="K472" s="431">
        <f t="shared" ref="K472:K475" si="85">E472-J472-L472-M472-N472-I472+F472</f>
        <v>0</v>
      </c>
      <c r="L472" s="427"/>
      <c r="M472" s="441">
        <v>1750.0</v>
      </c>
      <c r="N472" s="440"/>
      <c r="O472" s="433">
        <v>-700.0</v>
      </c>
      <c r="P472" s="432"/>
      <c r="Q472" s="435">
        <f t="shared" si="81"/>
        <v>-1972.25</v>
      </c>
      <c r="R472" s="432"/>
      <c r="S472" s="436"/>
      <c r="T472" s="436"/>
      <c r="U472" s="437"/>
      <c r="V472" s="437"/>
      <c r="W472" s="438"/>
      <c r="X472" s="423"/>
      <c r="Y472" s="423"/>
      <c r="Z472" s="423"/>
      <c r="AA472" s="423"/>
    </row>
    <row r="473" ht="14.25" customHeight="1">
      <c r="A473" s="423"/>
      <c r="B473" s="442"/>
      <c r="C473" s="452" t="s">
        <v>52</v>
      </c>
      <c r="D473" s="452"/>
      <c r="E473" s="568"/>
      <c r="F473" s="445"/>
      <c r="G473" s="445"/>
      <c r="H473" s="569"/>
      <c r="I473" s="446"/>
      <c r="J473" s="568"/>
      <c r="K473" s="447">
        <f t="shared" si="85"/>
        <v>0</v>
      </c>
      <c r="L473" s="568"/>
      <c r="M473" s="445"/>
      <c r="N473" s="570"/>
      <c r="O473" s="571"/>
      <c r="P473" s="481"/>
      <c r="Q473" s="449">
        <f t="shared" si="81"/>
        <v>-1972.25</v>
      </c>
      <c r="R473" s="481"/>
      <c r="S473" s="436"/>
      <c r="T473" s="436"/>
      <c r="U473" s="437"/>
      <c r="V473" s="437"/>
      <c r="W473" s="438"/>
      <c r="X473" s="423"/>
      <c r="Y473" s="423"/>
      <c r="Z473" s="423"/>
      <c r="AA473" s="423"/>
    </row>
    <row r="474" ht="14.25" customHeight="1">
      <c r="A474" s="423"/>
      <c r="B474" s="424"/>
      <c r="C474" s="426"/>
      <c r="D474" s="426"/>
      <c r="E474" s="427"/>
      <c r="F474" s="428"/>
      <c r="G474" s="428"/>
      <c r="H474" s="424"/>
      <c r="I474" s="429"/>
      <c r="J474" s="427"/>
      <c r="K474" s="431">
        <f t="shared" si="85"/>
        <v>0</v>
      </c>
      <c r="L474" s="427"/>
      <c r="M474" s="428"/>
      <c r="N474" s="520"/>
      <c r="O474" s="433"/>
      <c r="P474" s="432">
        <v>-560.75</v>
      </c>
      <c r="Q474" s="435">
        <f t="shared" si="81"/>
        <v>-2533</v>
      </c>
      <c r="R474" s="432" t="s">
        <v>177</v>
      </c>
      <c r="S474" s="436"/>
      <c r="T474" s="436"/>
      <c r="U474" s="437"/>
      <c r="V474" s="437"/>
      <c r="W474" s="454"/>
      <c r="X474" s="455"/>
      <c r="Y474" s="423"/>
      <c r="Z474" s="423"/>
      <c r="AA474" s="423"/>
    </row>
    <row r="475" ht="14.25" customHeight="1">
      <c r="A475" s="423"/>
      <c r="B475" s="424"/>
      <c r="C475" s="456"/>
      <c r="D475" s="456"/>
      <c r="E475" s="428"/>
      <c r="F475" s="428"/>
      <c r="G475" s="428"/>
      <c r="H475" s="424"/>
      <c r="I475" s="429"/>
      <c r="J475" s="428"/>
      <c r="K475" s="431">
        <f t="shared" si="85"/>
        <v>0</v>
      </c>
      <c r="L475" s="428"/>
      <c r="M475" s="428"/>
      <c r="N475" s="476"/>
      <c r="O475" s="434"/>
      <c r="P475" s="432"/>
      <c r="Q475" s="435">
        <f t="shared" si="81"/>
        <v>-2533</v>
      </c>
      <c r="R475" s="432"/>
      <c r="S475" s="436"/>
      <c r="T475" s="436"/>
      <c r="U475" s="437"/>
      <c r="V475" s="437"/>
      <c r="W475" s="438"/>
      <c r="X475" s="423"/>
      <c r="Y475" s="423"/>
      <c r="Z475" s="423"/>
      <c r="AA475" s="423"/>
    </row>
    <row r="476" ht="14.25" customHeight="1">
      <c r="A476" s="423"/>
      <c r="B476" s="463" t="str">
        <f>B449</f>
        <v>AUG</v>
      </c>
      <c r="C476" s="464" t="s">
        <v>80</v>
      </c>
      <c r="D476" s="464">
        <f t="shared" ref="D476:P476" si="86">sum(D449:D475)</f>
        <v>28</v>
      </c>
      <c r="E476" s="465">
        <f t="shared" si="86"/>
        <v>67205.16</v>
      </c>
      <c r="F476" s="465">
        <f t="shared" si="86"/>
        <v>2450</v>
      </c>
      <c r="G476" s="465">
        <f t="shared" si="86"/>
        <v>0</v>
      </c>
      <c r="H476" s="465">
        <f t="shared" si="86"/>
        <v>0</v>
      </c>
      <c r="I476" s="465">
        <f t="shared" si="86"/>
        <v>0</v>
      </c>
      <c r="J476" s="465">
        <f t="shared" si="86"/>
        <v>22225</v>
      </c>
      <c r="K476" s="465">
        <f t="shared" si="86"/>
        <v>500</v>
      </c>
      <c r="L476" s="465">
        <f t="shared" si="86"/>
        <v>6355.16</v>
      </c>
      <c r="M476" s="465">
        <f t="shared" si="86"/>
        <v>22100</v>
      </c>
      <c r="N476" s="465">
        <f t="shared" si="86"/>
        <v>18975</v>
      </c>
      <c r="O476" s="465">
        <f t="shared" si="86"/>
        <v>-14700</v>
      </c>
      <c r="P476" s="465">
        <f t="shared" si="86"/>
        <v>-60.75</v>
      </c>
      <c r="Q476" s="467">
        <f>Q475</f>
        <v>-2533</v>
      </c>
      <c r="R476" s="469"/>
      <c r="S476" s="436"/>
      <c r="T476" s="436"/>
      <c r="U476" s="437"/>
      <c r="V476" s="437"/>
      <c r="W476" s="438"/>
      <c r="X476" s="423"/>
      <c r="Y476" s="423"/>
      <c r="Z476" s="423"/>
      <c r="AA476" s="423"/>
    </row>
    <row r="477" ht="14.25" customHeight="1">
      <c r="C477" s="484"/>
      <c r="D477" s="484"/>
      <c r="E477" s="485"/>
      <c r="F477" s="485"/>
      <c r="G477" s="485"/>
      <c r="I477" s="122"/>
      <c r="J477" s="485"/>
      <c r="K477" s="486"/>
      <c r="L477" s="485"/>
      <c r="M477" s="485"/>
      <c r="N477" s="485"/>
      <c r="O477" s="485"/>
      <c r="U477" s="117"/>
      <c r="V477" s="119"/>
      <c r="W477" s="122"/>
    </row>
    <row r="478" ht="14.25" customHeight="1">
      <c r="C478" s="484"/>
      <c r="D478" s="484"/>
      <c r="E478" s="485"/>
      <c r="F478" s="485"/>
      <c r="G478" s="485"/>
      <c r="I478" s="122"/>
      <c r="J478" s="485"/>
      <c r="K478" s="486"/>
      <c r="L478" s="485"/>
      <c r="M478" s="485"/>
      <c r="N478" s="485"/>
      <c r="O478" s="485"/>
      <c r="U478" s="117"/>
      <c r="V478" s="119"/>
      <c r="W478" s="122"/>
    </row>
    <row r="479" ht="14.25" customHeight="1">
      <c r="C479" s="484"/>
      <c r="D479" s="484"/>
      <c r="E479" s="485"/>
      <c r="F479" s="485"/>
      <c r="G479" s="485"/>
      <c r="I479" s="122"/>
      <c r="J479" s="485"/>
      <c r="K479" s="486"/>
      <c r="L479" s="485"/>
      <c r="M479" s="485"/>
      <c r="N479" s="485"/>
      <c r="O479" s="485"/>
      <c r="U479" s="117"/>
      <c r="V479" s="119"/>
      <c r="W479" s="122"/>
    </row>
    <row r="480" ht="14.25" customHeight="1">
      <c r="C480" s="484"/>
      <c r="D480" s="484"/>
      <c r="E480" s="485"/>
      <c r="F480" s="485"/>
      <c r="G480" s="485"/>
      <c r="I480" s="122"/>
      <c r="J480" s="485"/>
      <c r="K480" s="486"/>
      <c r="L480" s="485"/>
      <c r="M480" s="485"/>
      <c r="N480" s="485"/>
      <c r="O480" s="485"/>
      <c r="U480" s="117"/>
      <c r="V480" s="119"/>
      <c r="W480" s="122"/>
    </row>
    <row r="481" ht="14.25" customHeight="1">
      <c r="C481" s="484"/>
      <c r="D481" s="484"/>
      <c r="E481" s="485"/>
      <c r="F481" s="485"/>
      <c r="G481" s="485"/>
      <c r="I481" s="122"/>
      <c r="J481" s="485"/>
      <c r="K481" s="486"/>
      <c r="L481" s="485"/>
      <c r="M481" s="485"/>
      <c r="N481" s="485"/>
      <c r="O481" s="485"/>
      <c r="U481" s="117"/>
      <c r="V481" s="119"/>
      <c r="W481" s="122"/>
    </row>
    <row r="482" ht="14.25" customHeight="1">
      <c r="C482" s="484"/>
      <c r="D482" s="484"/>
      <c r="E482" s="485"/>
      <c r="F482" s="485"/>
      <c r="G482" s="485"/>
      <c r="I482" s="122"/>
      <c r="J482" s="485"/>
      <c r="K482" s="486"/>
      <c r="L482" s="485"/>
      <c r="M482" s="485"/>
      <c r="N482" s="485"/>
      <c r="O482" s="485"/>
      <c r="U482" s="117"/>
      <c r="V482" s="119"/>
      <c r="W482" s="122"/>
    </row>
    <row r="483" ht="14.25" customHeight="1">
      <c r="C483" s="484"/>
      <c r="D483" s="484"/>
      <c r="E483" s="485"/>
      <c r="F483" s="485"/>
      <c r="G483" s="485"/>
      <c r="I483" s="122"/>
      <c r="J483" s="485"/>
      <c r="K483" s="486"/>
      <c r="L483" s="485"/>
      <c r="M483" s="485"/>
      <c r="N483" s="485"/>
      <c r="O483" s="485"/>
      <c r="U483" s="117"/>
      <c r="V483" s="119"/>
      <c r="W483" s="122"/>
    </row>
    <row r="484" ht="14.25" customHeight="1">
      <c r="C484" s="484"/>
      <c r="D484" s="484"/>
      <c r="E484" s="485"/>
      <c r="F484" s="485"/>
      <c r="G484" s="485"/>
      <c r="I484" s="122"/>
      <c r="J484" s="485"/>
      <c r="K484" s="486"/>
      <c r="L484" s="485"/>
      <c r="M484" s="485"/>
      <c r="N484" s="485"/>
      <c r="O484" s="485"/>
      <c r="U484" s="117"/>
      <c r="V484" s="119"/>
      <c r="W484" s="122"/>
    </row>
    <row r="485" ht="14.25" customHeight="1">
      <c r="C485" s="484"/>
      <c r="D485" s="484"/>
      <c r="E485" s="485"/>
      <c r="F485" s="485"/>
      <c r="G485" s="485"/>
      <c r="I485" s="122"/>
      <c r="J485" s="485"/>
      <c r="K485" s="486"/>
      <c r="L485" s="485"/>
      <c r="M485" s="485"/>
      <c r="N485" s="485"/>
      <c r="O485" s="485"/>
      <c r="U485" s="117"/>
      <c r="V485" s="119"/>
      <c r="W485" s="122"/>
    </row>
    <row r="486" ht="14.25" customHeight="1">
      <c r="C486" s="484"/>
      <c r="D486" s="484"/>
      <c r="E486" s="485"/>
      <c r="F486" s="485"/>
      <c r="G486" s="485"/>
      <c r="I486" s="122"/>
      <c r="J486" s="485"/>
      <c r="K486" s="486"/>
      <c r="L486" s="485"/>
      <c r="M486" s="485"/>
      <c r="N486" s="485"/>
      <c r="O486" s="485"/>
      <c r="U486" s="117"/>
      <c r="V486" s="119"/>
      <c r="W486" s="122"/>
    </row>
    <row r="487" ht="14.25" customHeight="1">
      <c r="C487" s="484"/>
      <c r="D487" s="484"/>
      <c r="E487" s="485"/>
      <c r="F487" s="485"/>
      <c r="G487" s="485"/>
      <c r="I487" s="122"/>
      <c r="J487" s="485"/>
      <c r="K487" s="486"/>
      <c r="L487" s="485"/>
      <c r="M487" s="485"/>
      <c r="N487" s="485"/>
      <c r="O487" s="485"/>
      <c r="U487" s="117"/>
      <c r="V487" s="119"/>
      <c r="W487" s="122"/>
    </row>
    <row r="488" ht="14.25" customHeight="1">
      <c r="C488" s="484"/>
      <c r="D488" s="484"/>
      <c r="E488" s="485"/>
      <c r="F488" s="485"/>
      <c r="G488" s="485"/>
      <c r="I488" s="122"/>
      <c r="J488" s="485"/>
      <c r="K488" s="486"/>
      <c r="L488" s="485"/>
      <c r="M488" s="485"/>
      <c r="N488" s="485"/>
      <c r="O488" s="485"/>
      <c r="U488" s="117"/>
      <c r="V488" s="119"/>
      <c r="W488" s="122"/>
    </row>
    <row r="489" ht="14.25" customHeight="1">
      <c r="C489" s="484"/>
      <c r="D489" s="484"/>
      <c r="E489" s="485"/>
      <c r="F489" s="485"/>
      <c r="G489" s="485"/>
      <c r="I489" s="122"/>
      <c r="J489" s="485"/>
      <c r="K489" s="486"/>
      <c r="L489" s="485"/>
      <c r="M489" s="485"/>
      <c r="N489" s="485"/>
      <c r="O489" s="485"/>
      <c r="U489" s="117"/>
      <c r="V489" s="119"/>
      <c r="W489" s="122"/>
    </row>
    <row r="490" ht="14.25" customHeight="1">
      <c r="C490" s="484"/>
      <c r="D490" s="484"/>
      <c r="E490" s="485"/>
      <c r="F490" s="485"/>
      <c r="G490" s="485"/>
      <c r="I490" s="122"/>
      <c r="J490" s="485"/>
      <c r="K490" s="486"/>
      <c r="L490" s="485"/>
      <c r="M490" s="485"/>
      <c r="N490" s="485"/>
      <c r="O490" s="485"/>
      <c r="U490" s="117"/>
      <c r="V490" s="119"/>
      <c r="W490" s="122"/>
    </row>
    <row r="491" ht="14.25" customHeight="1">
      <c r="C491" s="484"/>
      <c r="D491" s="484"/>
      <c r="E491" s="485"/>
      <c r="F491" s="485"/>
      <c r="G491" s="485"/>
      <c r="I491" s="122"/>
      <c r="J491" s="485"/>
      <c r="K491" s="486"/>
      <c r="L491" s="485"/>
      <c r="M491" s="485"/>
      <c r="N491" s="485"/>
      <c r="O491" s="485"/>
      <c r="U491" s="117"/>
      <c r="V491" s="119"/>
      <c r="W491" s="122"/>
    </row>
    <row r="492" ht="14.25" customHeight="1">
      <c r="C492" s="484"/>
      <c r="D492" s="484"/>
      <c r="E492" s="485"/>
      <c r="F492" s="485"/>
      <c r="G492" s="485"/>
      <c r="I492" s="122"/>
      <c r="J492" s="485"/>
      <c r="K492" s="486"/>
      <c r="L492" s="485"/>
      <c r="M492" s="485"/>
      <c r="N492" s="485"/>
      <c r="O492" s="485"/>
      <c r="U492" s="117"/>
      <c r="V492" s="119"/>
      <c r="W492" s="122"/>
    </row>
    <row r="493" ht="14.25" customHeight="1">
      <c r="C493" s="484"/>
      <c r="D493" s="484"/>
      <c r="E493" s="485"/>
      <c r="F493" s="485"/>
      <c r="G493" s="485"/>
      <c r="I493" s="122"/>
      <c r="J493" s="485"/>
      <c r="K493" s="486"/>
      <c r="L493" s="485"/>
      <c r="M493" s="485"/>
      <c r="N493" s="485"/>
      <c r="O493" s="485"/>
      <c r="U493" s="117"/>
      <c r="V493" s="119"/>
      <c r="W493" s="122"/>
    </row>
    <row r="494" ht="14.25" customHeight="1">
      <c r="C494" s="484"/>
      <c r="D494" s="484"/>
      <c r="E494" s="485"/>
      <c r="F494" s="485"/>
      <c r="G494" s="485"/>
      <c r="I494" s="122"/>
      <c r="J494" s="485"/>
      <c r="K494" s="486"/>
      <c r="L494" s="485"/>
      <c r="M494" s="485"/>
      <c r="N494" s="485"/>
      <c r="O494" s="485"/>
      <c r="U494" s="117"/>
      <c r="V494" s="119"/>
      <c r="W494" s="122"/>
    </row>
    <row r="495" ht="14.25" customHeight="1">
      <c r="C495" s="484"/>
      <c r="D495" s="484"/>
      <c r="E495" s="485"/>
      <c r="F495" s="485"/>
      <c r="G495" s="485"/>
      <c r="I495" s="122"/>
      <c r="J495" s="485"/>
      <c r="K495" s="486"/>
      <c r="L495" s="485"/>
      <c r="M495" s="485"/>
      <c r="N495" s="485"/>
      <c r="O495" s="485"/>
      <c r="U495" s="117"/>
      <c r="V495" s="119"/>
      <c r="W495" s="122"/>
    </row>
    <row r="496" ht="14.25" customHeight="1">
      <c r="C496" s="484"/>
      <c r="D496" s="484"/>
      <c r="E496" s="485"/>
      <c r="F496" s="485"/>
      <c r="G496" s="485"/>
      <c r="I496" s="122"/>
      <c r="J496" s="485"/>
      <c r="K496" s="486"/>
      <c r="L496" s="485"/>
      <c r="M496" s="485"/>
      <c r="N496" s="485"/>
      <c r="O496" s="485"/>
      <c r="U496" s="117"/>
      <c r="V496" s="119"/>
      <c r="W496" s="122"/>
    </row>
    <row r="497" ht="14.25" customHeight="1">
      <c r="C497" s="484"/>
      <c r="D497" s="484"/>
      <c r="E497" s="485"/>
      <c r="F497" s="485"/>
      <c r="G497" s="485"/>
      <c r="I497" s="122"/>
      <c r="J497" s="485"/>
      <c r="K497" s="486"/>
      <c r="L497" s="485"/>
      <c r="M497" s="485"/>
      <c r="N497" s="485"/>
      <c r="O497" s="485"/>
      <c r="U497" s="117"/>
      <c r="V497" s="119"/>
      <c r="W497" s="122"/>
    </row>
    <row r="498" ht="14.25" customHeight="1">
      <c r="C498" s="484"/>
      <c r="D498" s="484"/>
      <c r="E498" s="485"/>
      <c r="F498" s="485"/>
      <c r="G498" s="485"/>
      <c r="I498" s="122"/>
      <c r="J498" s="485"/>
      <c r="K498" s="486"/>
      <c r="L498" s="485"/>
      <c r="M498" s="485"/>
      <c r="N498" s="485"/>
      <c r="O498" s="485"/>
      <c r="U498" s="117"/>
      <c r="V498" s="119"/>
      <c r="W498" s="122"/>
    </row>
    <row r="499" ht="14.25" customHeight="1">
      <c r="C499" s="484"/>
      <c r="D499" s="484"/>
      <c r="E499" s="485"/>
      <c r="F499" s="485"/>
      <c r="G499" s="485"/>
      <c r="I499" s="122"/>
      <c r="J499" s="485"/>
      <c r="K499" s="486"/>
      <c r="L499" s="485"/>
      <c r="M499" s="485"/>
      <c r="N499" s="485"/>
      <c r="O499" s="485"/>
      <c r="U499" s="117"/>
      <c r="V499" s="119"/>
      <c r="W499" s="122"/>
    </row>
    <row r="500" ht="14.25" customHeight="1">
      <c r="C500" s="484"/>
      <c r="D500" s="484"/>
      <c r="E500" s="485"/>
      <c r="F500" s="485"/>
      <c r="G500" s="485"/>
      <c r="I500" s="122"/>
      <c r="J500" s="485"/>
      <c r="K500" s="486"/>
      <c r="L500" s="485"/>
      <c r="M500" s="485"/>
      <c r="N500" s="485"/>
      <c r="O500" s="485"/>
      <c r="U500" s="117"/>
      <c r="V500" s="119"/>
      <c r="W500" s="122"/>
    </row>
    <row r="501" ht="14.25" customHeight="1">
      <c r="C501" s="484"/>
      <c r="D501" s="484"/>
      <c r="E501" s="485"/>
      <c r="F501" s="485"/>
      <c r="G501" s="485"/>
      <c r="I501" s="122"/>
      <c r="J501" s="485"/>
      <c r="K501" s="486"/>
      <c r="L501" s="485"/>
      <c r="M501" s="485"/>
      <c r="N501" s="485"/>
      <c r="O501" s="485"/>
      <c r="U501" s="117"/>
      <c r="V501" s="119"/>
      <c r="W501" s="122"/>
    </row>
    <row r="502" ht="14.25" customHeight="1">
      <c r="C502" s="484"/>
      <c r="D502" s="484"/>
      <c r="E502" s="485"/>
      <c r="F502" s="485"/>
      <c r="G502" s="485"/>
      <c r="I502" s="122"/>
      <c r="J502" s="485"/>
      <c r="K502" s="486"/>
      <c r="L502" s="485"/>
      <c r="M502" s="485"/>
      <c r="N502" s="485"/>
      <c r="O502" s="485"/>
      <c r="U502" s="117"/>
      <c r="V502" s="119"/>
      <c r="W502" s="122"/>
    </row>
    <row r="503" ht="14.25" customHeight="1">
      <c r="C503" s="484"/>
      <c r="D503" s="484"/>
      <c r="E503" s="485"/>
      <c r="F503" s="485"/>
      <c r="G503" s="485"/>
      <c r="I503" s="122"/>
      <c r="J503" s="485"/>
      <c r="K503" s="486"/>
      <c r="L503" s="485"/>
      <c r="M503" s="485"/>
      <c r="N503" s="485"/>
      <c r="O503" s="485"/>
      <c r="U503" s="117"/>
      <c r="V503" s="119"/>
      <c r="W503" s="122"/>
    </row>
    <row r="504" ht="14.25" customHeight="1">
      <c r="C504" s="484"/>
      <c r="D504" s="484"/>
      <c r="E504" s="485"/>
      <c r="F504" s="485"/>
      <c r="G504" s="485"/>
      <c r="I504" s="122"/>
      <c r="J504" s="485"/>
      <c r="K504" s="486"/>
      <c r="L504" s="485"/>
      <c r="M504" s="485"/>
      <c r="N504" s="485"/>
      <c r="O504" s="485"/>
      <c r="U504" s="117"/>
      <c r="V504" s="119"/>
      <c r="W504" s="122"/>
    </row>
    <row r="505" ht="14.25" customHeight="1">
      <c r="C505" s="484"/>
      <c r="D505" s="484"/>
      <c r="E505" s="485"/>
      <c r="F505" s="485"/>
      <c r="G505" s="485"/>
      <c r="I505" s="122"/>
      <c r="J505" s="485"/>
      <c r="K505" s="486"/>
      <c r="L505" s="485"/>
      <c r="M505" s="485"/>
      <c r="N505" s="485"/>
      <c r="O505" s="485"/>
      <c r="U505" s="117"/>
      <c r="V505" s="119"/>
      <c r="W505" s="122"/>
    </row>
    <row r="506" ht="14.25" customHeight="1">
      <c r="C506" s="484"/>
      <c r="D506" s="484"/>
      <c r="E506" s="485"/>
      <c r="F506" s="485"/>
      <c r="G506" s="485"/>
      <c r="I506" s="122"/>
      <c r="J506" s="485"/>
      <c r="K506" s="486"/>
      <c r="L506" s="485"/>
      <c r="M506" s="485"/>
      <c r="N506" s="485"/>
      <c r="O506" s="485"/>
      <c r="U506" s="117"/>
      <c r="V506" s="119"/>
      <c r="W506" s="122"/>
    </row>
    <row r="507" ht="14.25" customHeight="1">
      <c r="C507" s="484"/>
      <c r="D507" s="484"/>
      <c r="E507" s="485"/>
      <c r="F507" s="485"/>
      <c r="G507" s="485"/>
      <c r="I507" s="122"/>
      <c r="J507" s="485"/>
      <c r="K507" s="486"/>
      <c r="L507" s="485"/>
      <c r="M507" s="485"/>
      <c r="N507" s="485"/>
      <c r="O507" s="485"/>
      <c r="U507" s="117"/>
      <c r="V507" s="119"/>
      <c r="W507" s="122"/>
    </row>
    <row r="508" ht="14.25" customHeight="1">
      <c r="C508" s="484"/>
      <c r="D508" s="484"/>
      <c r="E508" s="485"/>
      <c r="F508" s="485"/>
      <c r="G508" s="485"/>
      <c r="I508" s="122"/>
      <c r="J508" s="485"/>
      <c r="K508" s="486"/>
      <c r="L508" s="485"/>
      <c r="M508" s="485"/>
      <c r="N508" s="485"/>
      <c r="O508" s="485"/>
      <c r="U508" s="117"/>
      <c r="V508" s="119"/>
      <c r="W508" s="122"/>
    </row>
    <row r="509" ht="14.25" customHeight="1">
      <c r="C509" s="484"/>
      <c r="D509" s="484"/>
      <c r="E509" s="485"/>
      <c r="F509" s="485"/>
      <c r="G509" s="485"/>
      <c r="I509" s="122"/>
      <c r="J509" s="485"/>
      <c r="K509" s="486"/>
      <c r="L509" s="485"/>
      <c r="M509" s="485"/>
      <c r="N509" s="485"/>
      <c r="O509" s="485"/>
      <c r="U509" s="117"/>
      <c r="V509" s="119"/>
      <c r="W509" s="122"/>
    </row>
    <row r="510" ht="14.25" customHeight="1">
      <c r="C510" s="484"/>
      <c r="D510" s="484"/>
      <c r="E510" s="485"/>
      <c r="F510" s="485"/>
      <c r="G510" s="485"/>
      <c r="I510" s="122"/>
      <c r="J510" s="485"/>
      <c r="K510" s="486"/>
      <c r="L510" s="485"/>
      <c r="M510" s="485"/>
      <c r="N510" s="485"/>
      <c r="O510" s="485"/>
      <c r="U510" s="117"/>
      <c r="V510" s="119"/>
      <c r="W510" s="122"/>
    </row>
    <row r="511" ht="14.25" customHeight="1">
      <c r="C511" s="484"/>
      <c r="D511" s="484"/>
      <c r="E511" s="485"/>
      <c r="F511" s="485"/>
      <c r="G511" s="485"/>
      <c r="I511" s="122"/>
      <c r="J511" s="485"/>
      <c r="K511" s="486"/>
      <c r="L511" s="485"/>
      <c r="M511" s="485"/>
      <c r="N511" s="485"/>
      <c r="O511" s="485"/>
      <c r="U511" s="117"/>
      <c r="V511" s="119"/>
      <c r="W511" s="122"/>
    </row>
    <row r="512" ht="14.25" customHeight="1">
      <c r="C512" s="484"/>
      <c r="D512" s="484"/>
      <c r="E512" s="485"/>
      <c r="F512" s="485"/>
      <c r="G512" s="485"/>
      <c r="I512" s="122"/>
      <c r="J512" s="485"/>
      <c r="K512" s="486"/>
      <c r="L512" s="485"/>
      <c r="M512" s="485"/>
      <c r="N512" s="485"/>
      <c r="O512" s="485"/>
      <c r="U512" s="117"/>
      <c r="V512" s="119"/>
      <c r="W512" s="122"/>
    </row>
    <row r="513" ht="14.25" customHeight="1">
      <c r="C513" s="484"/>
      <c r="D513" s="484"/>
      <c r="E513" s="485"/>
      <c r="F513" s="485"/>
      <c r="G513" s="485"/>
      <c r="I513" s="122"/>
      <c r="J513" s="485"/>
      <c r="K513" s="486"/>
      <c r="L513" s="485"/>
      <c r="M513" s="485"/>
      <c r="N513" s="485"/>
      <c r="O513" s="485"/>
      <c r="U513" s="117"/>
      <c r="V513" s="119"/>
      <c r="W513" s="122"/>
    </row>
    <row r="514" ht="14.25" customHeight="1">
      <c r="C514" s="484"/>
      <c r="D514" s="484"/>
      <c r="E514" s="485"/>
      <c r="F514" s="485"/>
      <c r="G514" s="485"/>
      <c r="I514" s="122"/>
      <c r="J514" s="485"/>
      <c r="K514" s="486"/>
      <c r="L514" s="485"/>
      <c r="M514" s="485"/>
      <c r="N514" s="485"/>
      <c r="O514" s="485"/>
      <c r="U514" s="117"/>
      <c r="V514" s="119"/>
      <c r="W514" s="122"/>
    </row>
    <row r="515" ht="14.25" customHeight="1">
      <c r="C515" s="484"/>
      <c r="D515" s="484"/>
      <c r="E515" s="485"/>
      <c r="F515" s="485"/>
      <c r="G515" s="485"/>
      <c r="I515" s="122"/>
      <c r="J515" s="485"/>
      <c r="K515" s="486"/>
      <c r="L515" s="485"/>
      <c r="M515" s="485"/>
      <c r="N515" s="485"/>
      <c r="O515" s="485"/>
      <c r="U515" s="117"/>
      <c r="V515" s="119"/>
      <c r="W515" s="122"/>
    </row>
    <row r="516" ht="14.25" customHeight="1">
      <c r="C516" s="484"/>
      <c r="D516" s="484"/>
      <c r="E516" s="485"/>
      <c r="F516" s="485"/>
      <c r="G516" s="485"/>
      <c r="I516" s="122"/>
      <c r="J516" s="485"/>
      <c r="K516" s="486"/>
      <c r="L516" s="485"/>
      <c r="M516" s="485"/>
      <c r="N516" s="485"/>
      <c r="O516" s="485"/>
      <c r="U516" s="117"/>
      <c r="V516" s="119"/>
      <c r="W516" s="122"/>
    </row>
    <row r="517" ht="14.25" customHeight="1">
      <c r="C517" s="484"/>
      <c r="D517" s="484"/>
      <c r="E517" s="485"/>
      <c r="F517" s="485"/>
      <c r="G517" s="485"/>
      <c r="I517" s="122"/>
      <c r="J517" s="485"/>
      <c r="K517" s="486"/>
      <c r="L517" s="485"/>
      <c r="M517" s="485"/>
      <c r="N517" s="485"/>
      <c r="O517" s="485"/>
      <c r="U517" s="117"/>
      <c r="V517" s="119"/>
      <c r="W517" s="122"/>
    </row>
    <row r="518" ht="14.25" customHeight="1">
      <c r="C518" s="484"/>
      <c r="D518" s="484"/>
      <c r="E518" s="485"/>
      <c r="F518" s="485"/>
      <c r="G518" s="485"/>
      <c r="I518" s="122"/>
      <c r="J518" s="485"/>
      <c r="K518" s="486"/>
      <c r="L518" s="485"/>
      <c r="M518" s="485"/>
      <c r="N518" s="485"/>
      <c r="O518" s="485"/>
      <c r="U518" s="117"/>
      <c r="V518" s="119"/>
      <c r="W518" s="122"/>
    </row>
    <row r="519" ht="14.25" customHeight="1">
      <c r="C519" s="484"/>
      <c r="D519" s="484"/>
      <c r="E519" s="485"/>
      <c r="F519" s="485"/>
      <c r="G519" s="485"/>
      <c r="I519" s="122"/>
      <c r="J519" s="485"/>
      <c r="K519" s="486"/>
      <c r="L519" s="485"/>
      <c r="M519" s="485"/>
      <c r="N519" s="485"/>
      <c r="O519" s="485"/>
      <c r="U519" s="117"/>
      <c r="V519" s="119"/>
      <c r="W519" s="122"/>
    </row>
    <row r="520" ht="14.25" customHeight="1">
      <c r="C520" s="484"/>
      <c r="D520" s="484"/>
      <c r="E520" s="485"/>
      <c r="F520" s="485"/>
      <c r="G520" s="485"/>
      <c r="I520" s="122"/>
      <c r="J520" s="485"/>
      <c r="K520" s="486"/>
      <c r="L520" s="485"/>
      <c r="M520" s="485"/>
      <c r="N520" s="485"/>
      <c r="O520" s="485"/>
      <c r="U520" s="117"/>
      <c r="V520" s="119"/>
      <c r="W520" s="122"/>
    </row>
    <row r="521" ht="14.25" customHeight="1">
      <c r="C521" s="484"/>
      <c r="D521" s="484"/>
      <c r="E521" s="485"/>
      <c r="F521" s="485"/>
      <c r="G521" s="485"/>
      <c r="I521" s="122"/>
      <c r="J521" s="485"/>
      <c r="K521" s="486"/>
      <c r="L521" s="485"/>
      <c r="M521" s="485"/>
      <c r="N521" s="485"/>
      <c r="O521" s="485"/>
      <c r="U521" s="117"/>
      <c r="V521" s="119"/>
      <c r="W521" s="122"/>
    </row>
    <row r="522" ht="14.25" customHeight="1">
      <c r="C522" s="484"/>
      <c r="D522" s="484"/>
      <c r="E522" s="485"/>
      <c r="F522" s="485"/>
      <c r="G522" s="485"/>
      <c r="I522" s="122"/>
      <c r="J522" s="485"/>
      <c r="K522" s="486"/>
      <c r="L522" s="485"/>
      <c r="M522" s="485"/>
      <c r="N522" s="485"/>
      <c r="O522" s="485"/>
      <c r="U522" s="117"/>
      <c r="V522" s="119"/>
      <c r="W522" s="122"/>
    </row>
    <row r="523" ht="14.25" customHeight="1">
      <c r="C523" s="484"/>
      <c r="D523" s="484"/>
      <c r="E523" s="485"/>
      <c r="F523" s="485"/>
      <c r="G523" s="485"/>
      <c r="I523" s="122"/>
      <c r="J523" s="485"/>
      <c r="K523" s="486"/>
      <c r="L523" s="485"/>
      <c r="M523" s="485"/>
      <c r="N523" s="485"/>
      <c r="O523" s="485"/>
      <c r="U523" s="117"/>
      <c r="V523" s="119"/>
      <c r="W523" s="122"/>
    </row>
    <row r="524" ht="14.25" customHeight="1">
      <c r="C524" s="484"/>
      <c r="D524" s="484"/>
      <c r="E524" s="485"/>
      <c r="F524" s="485"/>
      <c r="G524" s="485"/>
      <c r="I524" s="122"/>
      <c r="J524" s="485"/>
      <c r="K524" s="486"/>
      <c r="L524" s="485"/>
      <c r="M524" s="485"/>
      <c r="N524" s="485"/>
      <c r="O524" s="485"/>
      <c r="U524" s="117"/>
      <c r="V524" s="119"/>
      <c r="W524" s="122"/>
    </row>
    <row r="525" ht="14.25" customHeight="1">
      <c r="C525" s="484"/>
      <c r="D525" s="484"/>
      <c r="E525" s="485"/>
      <c r="F525" s="485"/>
      <c r="G525" s="485"/>
      <c r="I525" s="122"/>
      <c r="J525" s="485"/>
      <c r="K525" s="486"/>
      <c r="L525" s="485"/>
      <c r="M525" s="485"/>
      <c r="N525" s="485"/>
      <c r="O525" s="485"/>
      <c r="U525" s="117"/>
      <c r="V525" s="119"/>
      <c r="W525" s="122"/>
    </row>
    <row r="526" ht="14.25" customHeight="1">
      <c r="C526" s="484"/>
      <c r="D526" s="484"/>
      <c r="E526" s="485"/>
      <c r="F526" s="485"/>
      <c r="G526" s="485"/>
      <c r="I526" s="122"/>
      <c r="J526" s="485"/>
      <c r="K526" s="486"/>
      <c r="L526" s="485"/>
      <c r="M526" s="485"/>
      <c r="N526" s="485"/>
      <c r="O526" s="485"/>
      <c r="U526" s="117"/>
      <c r="V526" s="119"/>
      <c r="W526" s="122"/>
    </row>
    <row r="527" ht="14.25" customHeight="1">
      <c r="C527" s="484"/>
      <c r="D527" s="484"/>
      <c r="E527" s="485"/>
      <c r="F527" s="485"/>
      <c r="G527" s="485"/>
      <c r="I527" s="122"/>
      <c r="J527" s="485"/>
      <c r="K527" s="486"/>
      <c r="L527" s="485"/>
      <c r="M527" s="485"/>
      <c r="N527" s="485"/>
      <c r="O527" s="485"/>
      <c r="U527" s="117"/>
      <c r="V527" s="119"/>
      <c r="W527" s="122"/>
    </row>
    <row r="528" ht="14.25" customHeight="1">
      <c r="C528" s="484"/>
      <c r="D528" s="484"/>
      <c r="E528" s="485"/>
      <c r="F528" s="485"/>
      <c r="G528" s="485"/>
      <c r="I528" s="122"/>
      <c r="J528" s="485"/>
      <c r="K528" s="486"/>
      <c r="L528" s="485"/>
      <c r="M528" s="485"/>
      <c r="N528" s="485"/>
      <c r="O528" s="485"/>
      <c r="U528" s="117"/>
      <c r="V528" s="119"/>
      <c r="W528" s="122"/>
    </row>
    <row r="529" ht="14.25" customHeight="1">
      <c r="C529" s="484"/>
      <c r="D529" s="484"/>
      <c r="E529" s="485"/>
      <c r="F529" s="485"/>
      <c r="G529" s="485"/>
      <c r="I529" s="122"/>
      <c r="J529" s="485"/>
      <c r="K529" s="486"/>
      <c r="L529" s="485"/>
      <c r="M529" s="485"/>
      <c r="N529" s="485"/>
      <c r="O529" s="485"/>
      <c r="U529" s="117"/>
      <c r="V529" s="119"/>
      <c r="W529" s="122"/>
    </row>
    <row r="530" ht="14.25" customHeight="1">
      <c r="C530" s="484"/>
      <c r="D530" s="484"/>
      <c r="E530" s="485"/>
      <c r="F530" s="485"/>
      <c r="G530" s="485"/>
      <c r="I530" s="122"/>
      <c r="J530" s="485"/>
      <c r="K530" s="486"/>
      <c r="L530" s="485"/>
      <c r="M530" s="485"/>
      <c r="N530" s="485"/>
      <c r="O530" s="485"/>
      <c r="U530" s="117"/>
      <c r="V530" s="119"/>
      <c r="W530" s="122"/>
    </row>
    <row r="531" ht="14.25" customHeight="1">
      <c r="C531" s="484"/>
      <c r="D531" s="484"/>
      <c r="E531" s="485"/>
      <c r="F531" s="485"/>
      <c r="G531" s="485"/>
      <c r="I531" s="122"/>
      <c r="J531" s="485"/>
      <c r="K531" s="486"/>
      <c r="L531" s="485"/>
      <c r="M531" s="485"/>
      <c r="N531" s="485"/>
      <c r="O531" s="485"/>
      <c r="U531" s="117"/>
      <c r="V531" s="119"/>
      <c r="W531" s="122"/>
    </row>
    <row r="532" ht="14.25" customHeight="1">
      <c r="C532" s="484"/>
      <c r="D532" s="484"/>
      <c r="E532" s="485"/>
      <c r="F532" s="485"/>
      <c r="G532" s="485"/>
      <c r="I532" s="122"/>
      <c r="J532" s="485"/>
      <c r="K532" s="486"/>
      <c r="L532" s="485"/>
      <c r="M532" s="485"/>
      <c r="N532" s="485"/>
      <c r="O532" s="485"/>
      <c r="U532" s="117"/>
      <c r="V532" s="119"/>
      <c r="W532" s="122"/>
    </row>
    <row r="533" ht="14.25" customHeight="1">
      <c r="C533" s="484"/>
      <c r="D533" s="484"/>
      <c r="E533" s="485"/>
      <c r="F533" s="485"/>
      <c r="G533" s="485"/>
      <c r="I533" s="122"/>
      <c r="J533" s="485"/>
      <c r="K533" s="486"/>
      <c r="L533" s="485"/>
      <c r="M533" s="485"/>
      <c r="N533" s="485"/>
      <c r="O533" s="485"/>
      <c r="U533" s="117"/>
      <c r="V533" s="119"/>
      <c r="W533" s="122"/>
    </row>
    <row r="534" ht="14.25" customHeight="1">
      <c r="C534" s="484"/>
      <c r="D534" s="484"/>
      <c r="E534" s="485"/>
      <c r="F534" s="485"/>
      <c r="G534" s="485"/>
      <c r="I534" s="122"/>
      <c r="J534" s="485"/>
      <c r="K534" s="486"/>
      <c r="L534" s="485"/>
      <c r="M534" s="485"/>
      <c r="N534" s="485"/>
      <c r="O534" s="485"/>
      <c r="U534" s="117"/>
      <c r="V534" s="119"/>
      <c r="W534" s="122"/>
    </row>
    <row r="535" ht="14.25" customHeight="1">
      <c r="C535" s="484"/>
      <c r="D535" s="484"/>
      <c r="E535" s="485"/>
      <c r="F535" s="485"/>
      <c r="G535" s="485"/>
      <c r="I535" s="122"/>
      <c r="J535" s="485"/>
      <c r="K535" s="486"/>
      <c r="L535" s="485"/>
      <c r="M535" s="485"/>
      <c r="N535" s="485"/>
      <c r="O535" s="485"/>
      <c r="U535" s="117"/>
      <c r="V535" s="119"/>
      <c r="W535" s="122"/>
    </row>
    <row r="536" ht="14.25" customHeight="1">
      <c r="C536" s="484"/>
      <c r="D536" s="484"/>
      <c r="E536" s="485"/>
      <c r="F536" s="485"/>
      <c r="G536" s="485"/>
      <c r="I536" s="122"/>
      <c r="J536" s="485"/>
      <c r="K536" s="486"/>
      <c r="L536" s="485"/>
      <c r="M536" s="485"/>
      <c r="N536" s="485"/>
      <c r="O536" s="485"/>
      <c r="U536" s="117"/>
      <c r="V536" s="119"/>
      <c r="W536" s="122"/>
    </row>
    <row r="537" ht="14.25" customHeight="1">
      <c r="C537" s="484"/>
      <c r="D537" s="484"/>
      <c r="E537" s="485"/>
      <c r="F537" s="485"/>
      <c r="G537" s="485"/>
      <c r="I537" s="122"/>
      <c r="J537" s="485"/>
      <c r="K537" s="486"/>
      <c r="L537" s="485"/>
      <c r="M537" s="485"/>
      <c r="N537" s="485"/>
      <c r="O537" s="485"/>
      <c r="U537" s="117"/>
      <c r="V537" s="119"/>
      <c r="W537" s="122"/>
    </row>
    <row r="538" ht="14.25" customHeight="1">
      <c r="C538" s="484"/>
      <c r="D538" s="484"/>
      <c r="E538" s="485"/>
      <c r="F538" s="485"/>
      <c r="G538" s="485"/>
      <c r="I538" s="122"/>
      <c r="J538" s="485"/>
      <c r="K538" s="486"/>
      <c r="L538" s="485"/>
      <c r="M538" s="485"/>
      <c r="N538" s="485"/>
      <c r="O538" s="485"/>
      <c r="U538" s="117"/>
      <c r="V538" s="119"/>
      <c r="W538" s="122"/>
    </row>
    <row r="539" ht="14.25" customHeight="1">
      <c r="C539" s="484"/>
      <c r="D539" s="484"/>
      <c r="E539" s="485"/>
      <c r="F539" s="485"/>
      <c r="G539" s="485"/>
      <c r="I539" s="122"/>
      <c r="J539" s="485"/>
      <c r="K539" s="486"/>
      <c r="L539" s="485"/>
      <c r="M539" s="485"/>
      <c r="N539" s="485"/>
      <c r="O539" s="485"/>
      <c r="U539" s="117"/>
      <c r="V539" s="119"/>
      <c r="W539" s="122"/>
    </row>
    <row r="540" ht="14.25" customHeight="1">
      <c r="C540" s="484"/>
      <c r="D540" s="484"/>
      <c r="E540" s="485"/>
      <c r="F540" s="485"/>
      <c r="G540" s="485"/>
      <c r="I540" s="122"/>
      <c r="J540" s="485"/>
      <c r="K540" s="486"/>
      <c r="L540" s="485"/>
      <c r="M540" s="485"/>
      <c r="N540" s="485"/>
      <c r="O540" s="485"/>
      <c r="U540" s="117"/>
      <c r="V540" s="119"/>
      <c r="W540" s="122"/>
    </row>
    <row r="541" ht="14.25" customHeight="1">
      <c r="C541" s="484"/>
      <c r="D541" s="484"/>
      <c r="E541" s="485"/>
      <c r="F541" s="485"/>
      <c r="G541" s="485"/>
      <c r="I541" s="122"/>
      <c r="J541" s="485"/>
      <c r="K541" s="486"/>
      <c r="L541" s="485"/>
      <c r="M541" s="485"/>
      <c r="N541" s="485"/>
      <c r="O541" s="485"/>
      <c r="U541" s="117"/>
      <c r="V541" s="119"/>
      <c r="W541" s="122"/>
    </row>
    <row r="542" ht="14.25" customHeight="1">
      <c r="C542" s="484"/>
      <c r="D542" s="484"/>
      <c r="E542" s="485"/>
      <c r="F542" s="485"/>
      <c r="G542" s="485"/>
      <c r="I542" s="122"/>
      <c r="J542" s="485"/>
      <c r="K542" s="486"/>
      <c r="L542" s="485"/>
      <c r="M542" s="485"/>
      <c r="N542" s="485"/>
      <c r="O542" s="485"/>
      <c r="U542" s="117"/>
      <c r="V542" s="119"/>
      <c r="W542" s="122"/>
    </row>
    <row r="543" ht="14.25" customHeight="1">
      <c r="C543" s="484"/>
      <c r="D543" s="484"/>
      <c r="E543" s="485"/>
      <c r="F543" s="485"/>
      <c r="G543" s="485"/>
      <c r="I543" s="122"/>
      <c r="J543" s="485"/>
      <c r="K543" s="486"/>
      <c r="L543" s="485"/>
      <c r="M543" s="485"/>
      <c r="N543" s="485"/>
      <c r="O543" s="485"/>
      <c r="U543" s="117"/>
      <c r="V543" s="119"/>
      <c r="W543" s="122"/>
    </row>
    <row r="544" ht="14.25" customHeight="1">
      <c r="C544" s="484"/>
      <c r="D544" s="484"/>
      <c r="E544" s="485"/>
      <c r="F544" s="485"/>
      <c r="G544" s="485"/>
      <c r="I544" s="122"/>
      <c r="J544" s="485"/>
      <c r="K544" s="486"/>
      <c r="L544" s="485"/>
      <c r="M544" s="485"/>
      <c r="N544" s="485"/>
      <c r="O544" s="485"/>
      <c r="U544" s="117"/>
      <c r="V544" s="119"/>
      <c r="W544" s="122"/>
    </row>
    <row r="545" ht="14.25" customHeight="1">
      <c r="C545" s="484"/>
      <c r="D545" s="484"/>
      <c r="E545" s="485"/>
      <c r="F545" s="485"/>
      <c r="G545" s="485"/>
      <c r="I545" s="122"/>
      <c r="J545" s="485"/>
      <c r="K545" s="486"/>
      <c r="L545" s="485"/>
      <c r="M545" s="485"/>
      <c r="N545" s="485"/>
      <c r="O545" s="485"/>
      <c r="U545" s="117"/>
      <c r="V545" s="119"/>
      <c r="W545" s="122"/>
    </row>
    <row r="546" ht="14.25" customHeight="1">
      <c r="C546" s="484"/>
      <c r="D546" s="484"/>
      <c r="E546" s="485"/>
      <c r="F546" s="485"/>
      <c r="G546" s="485"/>
      <c r="I546" s="122"/>
      <c r="J546" s="485"/>
      <c r="K546" s="486"/>
      <c r="L546" s="485"/>
      <c r="M546" s="485"/>
      <c r="N546" s="485"/>
      <c r="O546" s="485"/>
      <c r="U546" s="117"/>
      <c r="V546" s="119"/>
      <c r="W546" s="122"/>
    </row>
    <row r="547" ht="14.25" customHeight="1">
      <c r="C547" s="484"/>
      <c r="D547" s="484"/>
      <c r="E547" s="485"/>
      <c r="F547" s="485"/>
      <c r="G547" s="485"/>
      <c r="I547" s="122"/>
      <c r="J547" s="485"/>
      <c r="K547" s="486"/>
      <c r="L547" s="485"/>
      <c r="M547" s="485"/>
      <c r="N547" s="485"/>
      <c r="O547" s="485"/>
      <c r="U547" s="117"/>
      <c r="V547" s="119"/>
      <c r="W547" s="122"/>
    </row>
    <row r="548" ht="14.25" customHeight="1">
      <c r="C548" s="484"/>
      <c r="D548" s="484"/>
      <c r="E548" s="485"/>
      <c r="F548" s="485"/>
      <c r="G548" s="485"/>
      <c r="I548" s="122"/>
      <c r="J548" s="485"/>
      <c r="K548" s="486"/>
      <c r="L548" s="485"/>
      <c r="M548" s="485"/>
      <c r="N548" s="485"/>
      <c r="O548" s="485"/>
      <c r="U548" s="117"/>
      <c r="V548" s="119"/>
      <c r="W548" s="122"/>
    </row>
    <row r="549" ht="14.25" customHeight="1">
      <c r="C549" s="484"/>
      <c r="D549" s="484"/>
      <c r="E549" s="485"/>
      <c r="F549" s="485"/>
      <c r="G549" s="485"/>
      <c r="I549" s="122"/>
      <c r="J549" s="485"/>
      <c r="K549" s="486"/>
      <c r="L549" s="485"/>
      <c r="M549" s="485"/>
      <c r="N549" s="485"/>
      <c r="O549" s="485"/>
      <c r="U549" s="117"/>
      <c r="V549" s="119"/>
      <c r="W549" s="122"/>
    </row>
    <row r="550" ht="14.25" customHeight="1">
      <c r="C550" s="484"/>
      <c r="D550" s="484"/>
      <c r="E550" s="485"/>
      <c r="F550" s="485"/>
      <c r="G550" s="485"/>
      <c r="I550" s="122"/>
      <c r="J550" s="485"/>
      <c r="K550" s="486"/>
      <c r="L550" s="485"/>
      <c r="M550" s="485"/>
      <c r="N550" s="485"/>
      <c r="O550" s="485"/>
      <c r="U550" s="117"/>
      <c r="V550" s="119"/>
      <c r="W550" s="122"/>
    </row>
    <row r="551" ht="14.25" customHeight="1">
      <c r="C551" s="484"/>
      <c r="D551" s="484"/>
      <c r="E551" s="485"/>
      <c r="F551" s="485"/>
      <c r="G551" s="485"/>
      <c r="I551" s="122"/>
      <c r="J551" s="485"/>
      <c r="K551" s="486"/>
      <c r="L551" s="485"/>
      <c r="M551" s="485"/>
      <c r="N551" s="485"/>
      <c r="O551" s="485"/>
      <c r="U551" s="117"/>
      <c r="V551" s="119"/>
      <c r="W551" s="122"/>
    </row>
    <row r="552" ht="14.25" customHeight="1">
      <c r="C552" s="484"/>
      <c r="D552" s="484"/>
      <c r="E552" s="485"/>
      <c r="F552" s="485"/>
      <c r="G552" s="485"/>
      <c r="I552" s="122"/>
      <c r="J552" s="485"/>
      <c r="K552" s="486"/>
      <c r="L552" s="485"/>
      <c r="M552" s="485"/>
      <c r="N552" s="485"/>
      <c r="O552" s="485"/>
      <c r="U552" s="117"/>
      <c r="V552" s="119"/>
      <c r="W552" s="122"/>
    </row>
    <row r="553" ht="14.25" customHeight="1">
      <c r="C553" s="484"/>
      <c r="D553" s="484"/>
      <c r="E553" s="485"/>
      <c r="F553" s="485"/>
      <c r="G553" s="485"/>
      <c r="I553" s="122"/>
      <c r="J553" s="485"/>
      <c r="K553" s="486"/>
      <c r="L553" s="485"/>
      <c r="M553" s="485"/>
      <c r="N553" s="485"/>
      <c r="O553" s="485"/>
      <c r="U553" s="117"/>
      <c r="V553" s="119"/>
      <c r="W553" s="122"/>
    </row>
    <row r="554" ht="14.25" customHeight="1">
      <c r="C554" s="484"/>
      <c r="D554" s="484"/>
      <c r="E554" s="485"/>
      <c r="F554" s="485"/>
      <c r="G554" s="485"/>
      <c r="I554" s="122"/>
      <c r="J554" s="485"/>
      <c r="K554" s="486"/>
      <c r="L554" s="485"/>
      <c r="M554" s="485"/>
      <c r="N554" s="485"/>
      <c r="O554" s="485"/>
      <c r="U554" s="117"/>
      <c r="V554" s="119"/>
      <c r="W554" s="122"/>
    </row>
    <row r="555" ht="14.25" customHeight="1">
      <c r="C555" s="484"/>
      <c r="D555" s="484"/>
      <c r="E555" s="485"/>
      <c r="F555" s="485"/>
      <c r="G555" s="485"/>
      <c r="I555" s="122"/>
      <c r="J555" s="485"/>
      <c r="K555" s="486"/>
      <c r="L555" s="485"/>
      <c r="M555" s="485"/>
      <c r="N555" s="485"/>
      <c r="O555" s="485"/>
      <c r="U555" s="117"/>
      <c r="V555" s="119"/>
      <c r="W555" s="122"/>
    </row>
    <row r="556" ht="14.25" customHeight="1">
      <c r="C556" s="484"/>
      <c r="D556" s="484"/>
      <c r="E556" s="485"/>
      <c r="F556" s="485"/>
      <c r="G556" s="485"/>
      <c r="I556" s="122"/>
      <c r="J556" s="485"/>
      <c r="K556" s="486"/>
      <c r="L556" s="485"/>
      <c r="M556" s="485"/>
      <c r="N556" s="485"/>
      <c r="O556" s="485"/>
      <c r="U556" s="117"/>
      <c r="V556" s="119"/>
      <c r="W556" s="122"/>
    </row>
    <row r="557" ht="14.25" customHeight="1">
      <c r="C557" s="484"/>
      <c r="D557" s="484"/>
      <c r="E557" s="485"/>
      <c r="F557" s="485"/>
      <c r="G557" s="485"/>
      <c r="I557" s="122"/>
      <c r="J557" s="485"/>
      <c r="K557" s="486"/>
      <c r="L557" s="485"/>
      <c r="M557" s="485"/>
      <c r="N557" s="485"/>
      <c r="O557" s="485"/>
      <c r="U557" s="117"/>
      <c r="V557" s="119"/>
      <c r="W557" s="122"/>
    </row>
    <row r="558" ht="14.25" customHeight="1">
      <c r="C558" s="484"/>
      <c r="D558" s="484"/>
      <c r="E558" s="485"/>
      <c r="F558" s="485"/>
      <c r="G558" s="485"/>
      <c r="I558" s="122"/>
      <c r="J558" s="485"/>
      <c r="K558" s="486"/>
      <c r="L558" s="485"/>
      <c r="M558" s="485"/>
      <c r="N558" s="485"/>
      <c r="O558" s="485"/>
      <c r="U558" s="117"/>
      <c r="V558" s="119"/>
      <c r="W558" s="122"/>
    </row>
    <row r="559" ht="14.25" customHeight="1">
      <c r="C559" s="484"/>
      <c r="D559" s="484"/>
      <c r="E559" s="485"/>
      <c r="F559" s="485"/>
      <c r="G559" s="485"/>
      <c r="I559" s="122"/>
      <c r="J559" s="485"/>
      <c r="K559" s="486"/>
      <c r="L559" s="485"/>
      <c r="M559" s="485"/>
      <c r="N559" s="485"/>
      <c r="O559" s="485"/>
      <c r="U559" s="117"/>
      <c r="V559" s="119"/>
      <c r="W559" s="122"/>
    </row>
    <row r="560" ht="14.25" customHeight="1">
      <c r="C560" s="484"/>
      <c r="D560" s="484"/>
      <c r="E560" s="485"/>
      <c r="F560" s="485"/>
      <c r="G560" s="485"/>
      <c r="I560" s="122"/>
      <c r="J560" s="485"/>
      <c r="K560" s="486"/>
      <c r="L560" s="485"/>
      <c r="M560" s="485"/>
      <c r="N560" s="485"/>
      <c r="O560" s="485"/>
      <c r="U560" s="117"/>
      <c r="V560" s="119"/>
      <c r="W560" s="122"/>
    </row>
    <row r="561" ht="14.25" customHeight="1">
      <c r="C561" s="484"/>
      <c r="D561" s="484"/>
      <c r="E561" s="485"/>
      <c r="F561" s="485"/>
      <c r="G561" s="485"/>
      <c r="I561" s="122"/>
      <c r="J561" s="485"/>
      <c r="K561" s="486"/>
      <c r="L561" s="485"/>
      <c r="M561" s="485"/>
      <c r="N561" s="485"/>
      <c r="O561" s="485"/>
      <c r="U561" s="117"/>
      <c r="V561" s="119"/>
      <c r="W561" s="122"/>
    </row>
    <row r="562" ht="14.25" customHeight="1">
      <c r="C562" s="484"/>
      <c r="D562" s="484"/>
      <c r="E562" s="485"/>
      <c r="F562" s="485"/>
      <c r="G562" s="485"/>
      <c r="I562" s="122"/>
      <c r="J562" s="485"/>
      <c r="K562" s="486"/>
      <c r="L562" s="485"/>
      <c r="M562" s="485"/>
      <c r="N562" s="485"/>
      <c r="O562" s="485"/>
      <c r="U562" s="117"/>
      <c r="V562" s="119"/>
      <c r="W562" s="122"/>
    </row>
    <row r="563" ht="14.25" customHeight="1">
      <c r="C563" s="484"/>
      <c r="D563" s="484"/>
      <c r="E563" s="485"/>
      <c r="F563" s="485"/>
      <c r="G563" s="485"/>
      <c r="I563" s="122"/>
      <c r="J563" s="485"/>
      <c r="K563" s="486"/>
      <c r="L563" s="485"/>
      <c r="M563" s="485"/>
      <c r="N563" s="485"/>
      <c r="O563" s="485"/>
      <c r="U563" s="117"/>
      <c r="V563" s="119"/>
      <c r="W563" s="122"/>
    </row>
    <row r="564" ht="14.25" customHeight="1">
      <c r="C564" s="484"/>
      <c r="D564" s="484"/>
      <c r="E564" s="485"/>
      <c r="F564" s="485"/>
      <c r="G564" s="485"/>
      <c r="I564" s="122"/>
      <c r="J564" s="485"/>
      <c r="K564" s="486"/>
      <c r="L564" s="485"/>
      <c r="M564" s="485"/>
      <c r="N564" s="485"/>
      <c r="O564" s="485"/>
      <c r="U564" s="117"/>
      <c r="V564" s="119"/>
      <c r="W564" s="122"/>
    </row>
    <row r="565" ht="14.25" customHeight="1">
      <c r="C565" s="484"/>
      <c r="D565" s="484"/>
      <c r="E565" s="485"/>
      <c r="F565" s="485"/>
      <c r="G565" s="485"/>
      <c r="I565" s="122"/>
      <c r="J565" s="485"/>
      <c r="K565" s="486"/>
      <c r="L565" s="485"/>
      <c r="M565" s="485"/>
      <c r="N565" s="485"/>
      <c r="O565" s="485"/>
      <c r="U565" s="117"/>
      <c r="V565" s="119"/>
      <c r="W565" s="122"/>
    </row>
    <row r="566" ht="14.25" customHeight="1">
      <c r="C566" s="484"/>
      <c r="D566" s="484"/>
      <c r="E566" s="485"/>
      <c r="F566" s="485"/>
      <c r="G566" s="485"/>
      <c r="I566" s="122"/>
      <c r="J566" s="485"/>
      <c r="K566" s="486"/>
      <c r="L566" s="485"/>
      <c r="M566" s="485"/>
      <c r="N566" s="485"/>
      <c r="O566" s="485"/>
      <c r="U566" s="117"/>
      <c r="V566" s="119"/>
      <c r="W566" s="122"/>
    </row>
    <row r="567" ht="14.25" customHeight="1">
      <c r="C567" s="484"/>
      <c r="D567" s="484"/>
      <c r="E567" s="485"/>
      <c r="F567" s="485"/>
      <c r="G567" s="485"/>
      <c r="I567" s="122"/>
      <c r="J567" s="485"/>
      <c r="K567" s="486"/>
      <c r="L567" s="485"/>
      <c r="M567" s="485"/>
      <c r="N567" s="485"/>
      <c r="O567" s="485"/>
      <c r="U567" s="117"/>
      <c r="V567" s="119"/>
      <c r="W567" s="122"/>
    </row>
    <row r="568" ht="14.25" customHeight="1">
      <c r="C568" s="484"/>
      <c r="D568" s="484"/>
      <c r="E568" s="485"/>
      <c r="F568" s="485"/>
      <c r="G568" s="485"/>
      <c r="I568" s="122"/>
      <c r="J568" s="485"/>
      <c r="K568" s="486"/>
      <c r="L568" s="485"/>
      <c r="M568" s="485"/>
      <c r="N568" s="485"/>
      <c r="O568" s="485"/>
      <c r="U568" s="117"/>
      <c r="V568" s="119"/>
      <c r="W568" s="122"/>
    </row>
    <row r="569" ht="14.25" customHeight="1">
      <c r="C569" s="484"/>
      <c r="D569" s="484"/>
      <c r="E569" s="485"/>
      <c r="F569" s="485"/>
      <c r="G569" s="485"/>
      <c r="I569" s="122"/>
      <c r="J569" s="485"/>
      <c r="K569" s="486"/>
      <c r="L569" s="485"/>
      <c r="M569" s="485"/>
      <c r="N569" s="485"/>
      <c r="O569" s="485"/>
      <c r="U569" s="117"/>
      <c r="V569" s="119"/>
      <c r="W569" s="122"/>
    </row>
    <row r="570" ht="14.25" customHeight="1">
      <c r="C570" s="484"/>
      <c r="D570" s="484"/>
      <c r="E570" s="485"/>
      <c r="F570" s="485"/>
      <c r="G570" s="485"/>
      <c r="I570" s="122"/>
      <c r="J570" s="485"/>
      <c r="K570" s="486"/>
      <c r="L570" s="485"/>
      <c r="M570" s="485"/>
      <c r="N570" s="485"/>
      <c r="O570" s="485"/>
      <c r="U570" s="117"/>
      <c r="V570" s="119"/>
      <c r="W570" s="122"/>
    </row>
    <row r="571" ht="14.25" customHeight="1">
      <c r="C571" s="484"/>
      <c r="D571" s="484"/>
      <c r="E571" s="485"/>
      <c r="F571" s="485"/>
      <c r="G571" s="485"/>
      <c r="I571" s="122"/>
      <c r="J571" s="485"/>
      <c r="K571" s="486"/>
      <c r="L571" s="485"/>
      <c r="M571" s="485"/>
      <c r="N571" s="485"/>
      <c r="O571" s="485"/>
      <c r="U571" s="117"/>
      <c r="V571" s="119"/>
      <c r="W571" s="122"/>
    </row>
    <row r="572" ht="14.25" customHeight="1">
      <c r="C572" s="484"/>
      <c r="D572" s="484"/>
      <c r="E572" s="485"/>
      <c r="F572" s="485"/>
      <c r="G572" s="485"/>
      <c r="I572" s="122"/>
      <c r="J572" s="485"/>
      <c r="K572" s="486"/>
      <c r="L572" s="485"/>
      <c r="M572" s="485"/>
      <c r="N572" s="485"/>
      <c r="O572" s="485"/>
      <c r="U572" s="117"/>
      <c r="V572" s="119"/>
      <c r="W572" s="122"/>
    </row>
    <row r="573" ht="14.25" customHeight="1">
      <c r="C573" s="484"/>
      <c r="D573" s="484"/>
      <c r="E573" s="485"/>
      <c r="F573" s="485"/>
      <c r="G573" s="485"/>
      <c r="I573" s="122"/>
      <c r="J573" s="485"/>
      <c r="K573" s="486"/>
      <c r="L573" s="485"/>
      <c r="M573" s="485"/>
      <c r="N573" s="485"/>
      <c r="O573" s="485"/>
      <c r="U573" s="117"/>
      <c r="V573" s="119"/>
      <c r="W573" s="122"/>
    </row>
    <row r="574" ht="14.25" customHeight="1">
      <c r="C574" s="484"/>
      <c r="D574" s="484"/>
      <c r="E574" s="485"/>
      <c r="F574" s="485"/>
      <c r="G574" s="485"/>
      <c r="I574" s="122"/>
      <c r="J574" s="485"/>
      <c r="K574" s="486"/>
      <c r="L574" s="485"/>
      <c r="M574" s="485"/>
      <c r="N574" s="485"/>
      <c r="O574" s="485"/>
      <c r="U574" s="117"/>
      <c r="V574" s="119"/>
      <c r="W574" s="122"/>
    </row>
    <row r="575" ht="14.25" customHeight="1">
      <c r="C575" s="484"/>
      <c r="D575" s="484"/>
      <c r="E575" s="485"/>
      <c r="F575" s="485"/>
      <c r="G575" s="485"/>
      <c r="I575" s="122"/>
      <c r="J575" s="485"/>
      <c r="K575" s="486"/>
      <c r="L575" s="485"/>
      <c r="M575" s="485"/>
      <c r="N575" s="485"/>
      <c r="O575" s="485"/>
      <c r="U575" s="117"/>
      <c r="V575" s="119"/>
      <c r="W575" s="122"/>
    </row>
    <row r="576" ht="14.25" customHeight="1">
      <c r="C576" s="484"/>
      <c r="D576" s="484"/>
      <c r="E576" s="485"/>
      <c r="F576" s="485"/>
      <c r="G576" s="485"/>
      <c r="I576" s="122"/>
      <c r="J576" s="485"/>
      <c r="K576" s="486"/>
      <c r="L576" s="485"/>
      <c r="M576" s="485"/>
      <c r="N576" s="485"/>
      <c r="O576" s="485"/>
      <c r="U576" s="117"/>
      <c r="V576" s="119"/>
      <c r="W576" s="122"/>
    </row>
    <row r="577" ht="14.25" customHeight="1">
      <c r="C577" s="484"/>
      <c r="D577" s="484"/>
      <c r="E577" s="485"/>
      <c r="F577" s="485"/>
      <c r="G577" s="485"/>
      <c r="I577" s="122"/>
      <c r="J577" s="485"/>
      <c r="K577" s="486"/>
      <c r="L577" s="485"/>
      <c r="M577" s="485"/>
      <c r="N577" s="485"/>
      <c r="O577" s="485"/>
      <c r="U577" s="117"/>
      <c r="V577" s="119"/>
      <c r="W577" s="122"/>
    </row>
    <row r="578" ht="14.25" customHeight="1">
      <c r="C578" s="484"/>
      <c r="D578" s="484"/>
      <c r="E578" s="485"/>
      <c r="F578" s="485"/>
      <c r="G578" s="485"/>
      <c r="I578" s="122"/>
      <c r="J578" s="485"/>
      <c r="K578" s="486"/>
      <c r="L578" s="485"/>
      <c r="M578" s="485"/>
      <c r="N578" s="485"/>
      <c r="O578" s="485"/>
      <c r="U578" s="117"/>
      <c r="V578" s="119"/>
      <c r="W578" s="122"/>
    </row>
    <row r="579" ht="14.25" customHeight="1">
      <c r="C579" s="484"/>
      <c r="D579" s="484"/>
      <c r="E579" s="485"/>
      <c r="F579" s="485"/>
      <c r="G579" s="485"/>
      <c r="I579" s="122"/>
      <c r="J579" s="485"/>
      <c r="K579" s="486"/>
      <c r="L579" s="485"/>
      <c r="M579" s="485"/>
      <c r="N579" s="485"/>
      <c r="O579" s="485"/>
      <c r="U579" s="117"/>
      <c r="V579" s="119"/>
      <c r="W579" s="122"/>
    </row>
    <row r="580" ht="14.25" customHeight="1">
      <c r="C580" s="484"/>
      <c r="D580" s="484"/>
      <c r="E580" s="485"/>
      <c r="F580" s="485"/>
      <c r="G580" s="485"/>
      <c r="I580" s="122"/>
      <c r="J580" s="485"/>
      <c r="K580" s="486"/>
      <c r="L580" s="485"/>
      <c r="M580" s="485"/>
      <c r="N580" s="485"/>
      <c r="O580" s="485"/>
      <c r="U580" s="117"/>
      <c r="V580" s="119"/>
      <c r="W580" s="122"/>
    </row>
    <row r="581" ht="14.25" customHeight="1">
      <c r="C581" s="484"/>
      <c r="D581" s="484"/>
      <c r="E581" s="485"/>
      <c r="F581" s="485"/>
      <c r="G581" s="485"/>
      <c r="I581" s="122"/>
      <c r="J581" s="485"/>
      <c r="K581" s="486"/>
      <c r="L581" s="485"/>
      <c r="M581" s="485"/>
      <c r="N581" s="485"/>
      <c r="O581" s="485"/>
      <c r="U581" s="117"/>
      <c r="V581" s="119"/>
      <c r="W581" s="122"/>
    </row>
    <row r="582" ht="14.25" customHeight="1">
      <c r="C582" s="484"/>
      <c r="D582" s="484"/>
      <c r="E582" s="485"/>
      <c r="F582" s="485"/>
      <c r="G582" s="485"/>
      <c r="I582" s="122"/>
      <c r="J582" s="485"/>
      <c r="K582" s="486"/>
      <c r="L582" s="485"/>
      <c r="M582" s="485"/>
      <c r="N582" s="485"/>
      <c r="O582" s="485"/>
      <c r="U582" s="117"/>
      <c r="V582" s="119"/>
      <c r="W582" s="122"/>
    </row>
    <row r="583" ht="14.25" customHeight="1">
      <c r="C583" s="484"/>
      <c r="D583" s="484"/>
      <c r="E583" s="485"/>
      <c r="F583" s="485"/>
      <c r="G583" s="485"/>
      <c r="I583" s="122"/>
      <c r="J583" s="485"/>
      <c r="K583" s="486"/>
      <c r="L583" s="485"/>
      <c r="M583" s="485"/>
      <c r="N583" s="485"/>
      <c r="O583" s="485"/>
      <c r="U583" s="117"/>
      <c r="V583" s="119"/>
      <c r="W583" s="122"/>
    </row>
    <row r="584" ht="14.25" customHeight="1">
      <c r="C584" s="484"/>
      <c r="D584" s="484"/>
      <c r="E584" s="485"/>
      <c r="F584" s="485"/>
      <c r="G584" s="485"/>
      <c r="I584" s="122"/>
      <c r="J584" s="485"/>
      <c r="K584" s="486"/>
      <c r="L584" s="485"/>
      <c r="M584" s="485"/>
      <c r="N584" s="485"/>
      <c r="O584" s="485"/>
      <c r="U584" s="117"/>
      <c r="V584" s="119"/>
      <c r="W584" s="122"/>
    </row>
    <row r="585" ht="14.25" customHeight="1">
      <c r="C585" s="484"/>
      <c r="D585" s="484"/>
      <c r="E585" s="485"/>
      <c r="F585" s="485"/>
      <c r="G585" s="485"/>
      <c r="I585" s="122"/>
      <c r="J585" s="485"/>
      <c r="K585" s="486"/>
      <c r="L585" s="485"/>
      <c r="M585" s="485"/>
      <c r="N585" s="485"/>
      <c r="O585" s="485"/>
      <c r="U585" s="117"/>
      <c r="V585" s="119"/>
      <c r="W585" s="122"/>
    </row>
    <row r="586" ht="14.25" customHeight="1">
      <c r="C586" s="484"/>
      <c r="D586" s="484"/>
      <c r="E586" s="485"/>
      <c r="F586" s="485"/>
      <c r="G586" s="485"/>
      <c r="I586" s="122"/>
      <c r="J586" s="485"/>
      <c r="K586" s="486"/>
      <c r="L586" s="485"/>
      <c r="M586" s="485"/>
      <c r="N586" s="485"/>
      <c r="O586" s="485"/>
      <c r="U586" s="117"/>
      <c r="V586" s="119"/>
      <c r="W586" s="122"/>
    </row>
    <row r="587" ht="14.25" customHeight="1">
      <c r="C587" s="484"/>
      <c r="D587" s="484"/>
      <c r="E587" s="485"/>
      <c r="F587" s="485"/>
      <c r="G587" s="485"/>
      <c r="I587" s="122"/>
      <c r="J587" s="485"/>
      <c r="K587" s="486"/>
      <c r="L587" s="485"/>
      <c r="M587" s="485"/>
      <c r="N587" s="485"/>
      <c r="O587" s="485"/>
      <c r="U587" s="117"/>
      <c r="V587" s="119"/>
      <c r="W587" s="122"/>
    </row>
    <row r="588" ht="14.25" customHeight="1">
      <c r="C588" s="484"/>
      <c r="D588" s="484"/>
      <c r="E588" s="485"/>
      <c r="F588" s="485"/>
      <c r="G588" s="485"/>
      <c r="I588" s="122"/>
      <c r="J588" s="485"/>
      <c r="K588" s="486"/>
      <c r="L588" s="485"/>
      <c r="M588" s="485"/>
      <c r="N588" s="485"/>
      <c r="O588" s="485"/>
      <c r="U588" s="117"/>
      <c r="V588" s="119"/>
      <c r="W588" s="122"/>
    </row>
    <row r="589" ht="14.25" customHeight="1">
      <c r="C589" s="484"/>
      <c r="D589" s="484"/>
      <c r="E589" s="485"/>
      <c r="F589" s="485"/>
      <c r="G589" s="485"/>
      <c r="I589" s="122"/>
      <c r="J589" s="485"/>
      <c r="K589" s="486"/>
      <c r="L589" s="485"/>
      <c r="M589" s="485"/>
      <c r="N589" s="485"/>
      <c r="O589" s="485"/>
      <c r="U589" s="117"/>
      <c r="V589" s="119"/>
      <c r="W589" s="122"/>
    </row>
    <row r="590" ht="14.25" customHeight="1">
      <c r="C590" s="484"/>
      <c r="D590" s="484"/>
      <c r="E590" s="485"/>
      <c r="F590" s="485"/>
      <c r="G590" s="485"/>
      <c r="I590" s="122"/>
      <c r="J590" s="485"/>
      <c r="K590" s="486"/>
      <c r="L590" s="485"/>
      <c r="M590" s="485"/>
      <c r="N590" s="485"/>
      <c r="O590" s="485"/>
      <c r="U590" s="117"/>
      <c r="V590" s="119"/>
      <c r="W590" s="122"/>
    </row>
    <row r="591" ht="14.25" customHeight="1">
      <c r="C591" s="484"/>
      <c r="D591" s="484"/>
      <c r="E591" s="485"/>
      <c r="F591" s="485"/>
      <c r="G591" s="485"/>
      <c r="I591" s="122"/>
      <c r="J591" s="485"/>
      <c r="K591" s="486"/>
      <c r="L591" s="485"/>
      <c r="M591" s="485"/>
      <c r="N591" s="485"/>
      <c r="O591" s="485"/>
      <c r="U591" s="117"/>
      <c r="V591" s="119"/>
      <c r="W591" s="122"/>
    </row>
    <row r="592" ht="14.25" customHeight="1">
      <c r="C592" s="484"/>
      <c r="D592" s="484"/>
      <c r="E592" s="485"/>
      <c r="F592" s="485"/>
      <c r="G592" s="485"/>
      <c r="I592" s="122"/>
      <c r="J592" s="485"/>
      <c r="K592" s="486"/>
      <c r="L592" s="485"/>
      <c r="M592" s="485"/>
      <c r="N592" s="485"/>
      <c r="O592" s="485"/>
      <c r="U592" s="117"/>
      <c r="V592" s="119"/>
      <c r="W592" s="122"/>
    </row>
    <row r="593" ht="14.25" customHeight="1">
      <c r="C593" s="484"/>
      <c r="D593" s="484"/>
      <c r="E593" s="485"/>
      <c r="F593" s="485"/>
      <c r="G593" s="485"/>
      <c r="I593" s="122"/>
      <c r="J593" s="485"/>
      <c r="K593" s="486"/>
      <c r="L593" s="485"/>
      <c r="M593" s="485"/>
      <c r="N593" s="485"/>
      <c r="O593" s="485"/>
      <c r="U593" s="117"/>
      <c r="V593" s="119"/>
      <c r="W593" s="122"/>
    </row>
    <row r="594" ht="14.25" customHeight="1">
      <c r="C594" s="484"/>
      <c r="D594" s="484"/>
      <c r="E594" s="485"/>
      <c r="F594" s="485"/>
      <c r="G594" s="485"/>
      <c r="I594" s="122"/>
      <c r="J594" s="485"/>
      <c r="K594" s="486"/>
      <c r="L594" s="485"/>
      <c r="M594" s="485"/>
      <c r="N594" s="485"/>
      <c r="O594" s="485"/>
      <c r="U594" s="117"/>
      <c r="V594" s="119"/>
      <c r="W594" s="122"/>
    </row>
    <row r="595" ht="14.25" customHeight="1">
      <c r="C595" s="484"/>
      <c r="D595" s="484"/>
      <c r="E595" s="485"/>
      <c r="F595" s="485"/>
      <c r="G595" s="485"/>
      <c r="I595" s="122"/>
      <c r="J595" s="485"/>
      <c r="K595" s="486"/>
      <c r="L595" s="485"/>
      <c r="M595" s="485"/>
      <c r="N595" s="485"/>
      <c r="O595" s="485"/>
      <c r="U595" s="117"/>
      <c r="V595" s="119"/>
      <c r="W595" s="122"/>
    </row>
    <row r="596" ht="14.25" customHeight="1">
      <c r="C596" s="484"/>
      <c r="D596" s="484"/>
      <c r="E596" s="485"/>
      <c r="F596" s="485"/>
      <c r="G596" s="485"/>
      <c r="I596" s="122"/>
      <c r="J596" s="485"/>
      <c r="K596" s="486"/>
      <c r="L596" s="485"/>
      <c r="M596" s="485"/>
      <c r="N596" s="485"/>
      <c r="O596" s="485"/>
      <c r="U596" s="117"/>
      <c r="V596" s="119"/>
      <c r="W596" s="122"/>
    </row>
    <row r="597" ht="14.25" customHeight="1">
      <c r="C597" s="484"/>
      <c r="D597" s="484"/>
      <c r="E597" s="485"/>
      <c r="F597" s="485"/>
      <c r="G597" s="485"/>
      <c r="I597" s="122"/>
      <c r="J597" s="485"/>
      <c r="K597" s="486"/>
      <c r="L597" s="485"/>
      <c r="M597" s="485"/>
      <c r="N597" s="485"/>
      <c r="O597" s="485"/>
      <c r="U597" s="117"/>
      <c r="V597" s="119"/>
      <c r="W597" s="122"/>
    </row>
    <row r="598" ht="14.25" customHeight="1">
      <c r="C598" s="484"/>
      <c r="D598" s="484"/>
      <c r="E598" s="485"/>
      <c r="F598" s="485"/>
      <c r="G598" s="485"/>
      <c r="I598" s="122"/>
      <c r="J598" s="485"/>
      <c r="K598" s="486"/>
      <c r="L598" s="485"/>
      <c r="M598" s="485"/>
      <c r="N598" s="485"/>
      <c r="O598" s="485"/>
      <c r="U598" s="117"/>
      <c r="V598" s="119"/>
      <c r="W598" s="122"/>
    </row>
    <row r="599" ht="14.25" customHeight="1">
      <c r="C599" s="484"/>
      <c r="D599" s="484"/>
      <c r="E599" s="485"/>
      <c r="F599" s="485"/>
      <c r="G599" s="485"/>
      <c r="I599" s="122"/>
      <c r="J599" s="485"/>
      <c r="K599" s="486"/>
      <c r="L599" s="485"/>
      <c r="M599" s="485"/>
      <c r="N599" s="485"/>
      <c r="O599" s="485"/>
      <c r="U599" s="117"/>
      <c r="V599" s="119"/>
      <c r="W599" s="122"/>
    </row>
    <row r="600" ht="14.25" customHeight="1">
      <c r="C600" s="484"/>
      <c r="D600" s="484"/>
      <c r="E600" s="485"/>
      <c r="F600" s="485"/>
      <c r="G600" s="485"/>
      <c r="I600" s="122"/>
      <c r="J600" s="485"/>
      <c r="K600" s="486"/>
      <c r="L600" s="485"/>
      <c r="M600" s="485"/>
      <c r="N600" s="485"/>
      <c r="O600" s="485"/>
      <c r="U600" s="117"/>
      <c r="V600" s="119"/>
      <c r="W600" s="122"/>
    </row>
    <row r="601" ht="14.25" customHeight="1">
      <c r="C601" s="484"/>
      <c r="D601" s="484"/>
      <c r="E601" s="485"/>
      <c r="F601" s="485"/>
      <c r="G601" s="485"/>
      <c r="I601" s="122"/>
      <c r="J601" s="485"/>
      <c r="K601" s="486"/>
      <c r="L601" s="485"/>
      <c r="M601" s="485"/>
      <c r="N601" s="485"/>
      <c r="O601" s="485"/>
      <c r="U601" s="117"/>
      <c r="V601" s="119"/>
      <c r="W601" s="122"/>
    </row>
    <row r="602" ht="14.25" customHeight="1">
      <c r="C602" s="484"/>
      <c r="D602" s="484"/>
      <c r="E602" s="485"/>
      <c r="F602" s="485"/>
      <c r="G602" s="485"/>
      <c r="I602" s="122"/>
      <c r="J602" s="485"/>
      <c r="K602" s="486"/>
      <c r="L602" s="485"/>
      <c r="M602" s="485"/>
      <c r="N602" s="485"/>
      <c r="O602" s="485"/>
      <c r="U602" s="117"/>
      <c r="V602" s="119"/>
      <c r="W602" s="122"/>
    </row>
    <row r="603" ht="14.25" customHeight="1">
      <c r="C603" s="484"/>
      <c r="D603" s="484"/>
      <c r="E603" s="485"/>
      <c r="F603" s="485"/>
      <c r="G603" s="485"/>
      <c r="I603" s="122"/>
      <c r="J603" s="485"/>
      <c r="K603" s="486"/>
      <c r="L603" s="485"/>
      <c r="M603" s="485"/>
      <c r="N603" s="485"/>
      <c r="O603" s="485"/>
      <c r="U603" s="117"/>
      <c r="V603" s="119"/>
      <c r="W603" s="122"/>
    </row>
    <row r="604" ht="14.25" customHeight="1">
      <c r="C604" s="484"/>
      <c r="D604" s="484"/>
      <c r="E604" s="485"/>
      <c r="F604" s="485"/>
      <c r="G604" s="485"/>
      <c r="I604" s="122"/>
      <c r="J604" s="485"/>
      <c r="K604" s="486"/>
      <c r="L604" s="485"/>
      <c r="M604" s="485"/>
      <c r="N604" s="485"/>
      <c r="O604" s="485"/>
      <c r="U604" s="117"/>
      <c r="V604" s="119"/>
      <c r="W604" s="122"/>
    </row>
    <row r="605" ht="14.25" customHeight="1">
      <c r="C605" s="484"/>
      <c r="D605" s="484"/>
      <c r="E605" s="485"/>
      <c r="F605" s="485"/>
      <c r="G605" s="485"/>
      <c r="I605" s="122"/>
      <c r="J605" s="485"/>
      <c r="K605" s="486"/>
      <c r="L605" s="485"/>
      <c r="M605" s="485"/>
      <c r="N605" s="485"/>
      <c r="O605" s="485"/>
      <c r="U605" s="117"/>
      <c r="V605" s="119"/>
      <c r="W605" s="122"/>
    </row>
    <row r="606" ht="14.25" customHeight="1">
      <c r="C606" s="484"/>
      <c r="D606" s="484"/>
      <c r="E606" s="485"/>
      <c r="F606" s="485"/>
      <c r="G606" s="485"/>
      <c r="I606" s="122"/>
      <c r="J606" s="485"/>
      <c r="K606" s="486"/>
      <c r="L606" s="485"/>
      <c r="M606" s="485"/>
      <c r="N606" s="485"/>
      <c r="O606" s="485"/>
      <c r="U606" s="117"/>
      <c r="V606" s="119"/>
      <c r="W606" s="122"/>
    </row>
    <row r="607" ht="14.25" customHeight="1">
      <c r="C607" s="484"/>
      <c r="D607" s="484"/>
      <c r="E607" s="485"/>
      <c r="F607" s="485"/>
      <c r="G607" s="485"/>
      <c r="I607" s="122"/>
      <c r="J607" s="485"/>
      <c r="K607" s="486"/>
      <c r="L607" s="485"/>
      <c r="M607" s="485"/>
      <c r="N607" s="485"/>
      <c r="O607" s="485"/>
      <c r="U607" s="117"/>
      <c r="V607" s="119"/>
      <c r="W607" s="122"/>
    </row>
    <row r="608" ht="14.25" customHeight="1">
      <c r="C608" s="484"/>
      <c r="D608" s="484"/>
      <c r="E608" s="485"/>
      <c r="F608" s="485"/>
      <c r="G608" s="485"/>
      <c r="I608" s="122"/>
      <c r="J608" s="485"/>
      <c r="K608" s="486"/>
      <c r="L608" s="485"/>
      <c r="M608" s="485"/>
      <c r="N608" s="485"/>
      <c r="O608" s="485"/>
      <c r="U608" s="117"/>
      <c r="V608" s="119"/>
      <c r="W608" s="122"/>
    </row>
    <row r="609" ht="14.25" customHeight="1">
      <c r="C609" s="484"/>
      <c r="D609" s="484"/>
      <c r="E609" s="485"/>
      <c r="F609" s="485"/>
      <c r="G609" s="485"/>
      <c r="I609" s="122"/>
      <c r="J609" s="485"/>
      <c r="K609" s="486"/>
      <c r="L609" s="485"/>
      <c r="M609" s="485"/>
      <c r="N609" s="485"/>
      <c r="O609" s="485"/>
      <c r="U609" s="117"/>
      <c r="V609" s="119"/>
      <c r="W609" s="122"/>
    </row>
    <row r="610" ht="14.25" customHeight="1">
      <c r="C610" s="484"/>
      <c r="D610" s="484"/>
      <c r="E610" s="485"/>
      <c r="F610" s="485"/>
      <c r="G610" s="485"/>
      <c r="I610" s="122"/>
      <c r="J610" s="485"/>
      <c r="K610" s="486"/>
      <c r="L610" s="485"/>
      <c r="M610" s="485"/>
      <c r="N610" s="485"/>
      <c r="O610" s="485"/>
      <c r="U610" s="117"/>
      <c r="V610" s="119"/>
      <c r="W610" s="122"/>
    </row>
    <row r="611" ht="14.25" customHeight="1">
      <c r="C611" s="484"/>
      <c r="D611" s="484"/>
      <c r="E611" s="485"/>
      <c r="F611" s="485"/>
      <c r="G611" s="485"/>
      <c r="I611" s="122"/>
      <c r="J611" s="485"/>
      <c r="K611" s="486"/>
      <c r="L611" s="485"/>
      <c r="M611" s="485"/>
      <c r="N611" s="485"/>
      <c r="O611" s="485"/>
      <c r="U611" s="117"/>
      <c r="V611" s="119"/>
      <c r="W611" s="122"/>
    </row>
    <row r="612" ht="14.25" customHeight="1">
      <c r="C612" s="484"/>
      <c r="D612" s="484"/>
      <c r="E612" s="485"/>
      <c r="F612" s="485"/>
      <c r="G612" s="485"/>
      <c r="I612" s="122"/>
      <c r="J612" s="485"/>
      <c r="K612" s="486"/>
      <c r="L612" s="485"/>
      <c r="M612" s="485"/>
      <c r="N612" s="485"/>
      <c r="O612" s="485"/>
      <c r="U612" s="117"/>
      <c r="V612" s="119"/>
      <c r="W612" s="122"/>
    </row>
    <row r="613" ht="14.25" customHeight="1">
      <c r="C613" s="484"/>
      <c r="D613" s="484"/>
      <c r="E613" s="485"/>
      <c r="F613" s="485"/>
      <c r="G613" s="485"/>
      <c r="I613" s="122"/>
      <c r="J613" s="485"/>
      <c r="K613" s="486"/>
      <c r="L613" s="485"/>
      <c r="M613" s="485"/>
      <c r="N613" s="485"/>
      <c r="O613" s="485"/>
      <c r="U613" s="117"/>
      <c r="V613" s="119"/>
      <c r="W613" s="122"/>
    </row>
    <row r="614" ht="14.25" customHeight="1">
      <c r="C614" s="484"/>
      <c r="D614" s="484"/>
      <c r="E614" s="485"/>
      <c r="F614" s="485"/>
      <c r="G614" s="485"/>
      <c r="I614" s="122"/>
      <c r="J614" s="485"/>
      <c r="K614" s="486"/>
      <c r="L614" s="485"/>
      <c r="M614" s="485"/>
      <c r="N614" s="485"/>
      <c r="O614" s="485"/>
      <c r="U614" s="117"/>
      <c r="V614" s="119"/>
      <c r="W614" s="122"/>
    </row>
    <row r="615" ht="14.25" customHeight="1">
      <c r="C615" s="484"/>
      <c r="D615" s="484"/>
      <c r="E615" s="485"/>
      <c r="F615" s="485"/>
      <c r="G615" s="485"/>
      <c r="I615" s="122"/>
      <c r="J615" s="485"/>
      <c r="K615" s="486"/>
      <c r="L615" s="485"/>
      <c r="M615" s="485"/>
      <c r="N615" s="485"/>
      <c r="O615" s="485"/>
      <c r="U615" s="117"/>
      <c r="V615" s="119"/>
      <c r="W615" s="122"/>
    </row>
    <row r="616" ht="14.25" customHeight="1">
      <c r="C616" s="484"/>
      <c r="D616" s="484"/>
      <c r="E616" s="485"/>
      <c r="F616" s="485"/>
      <c r="G616" s="485"/>
      <c r="I616" s="122"/>
      <c r="J616" s="485"/>
      <c r="K616" s="486"/>
      <c r="L616" s="485"/>
      <c r="M616" s="485"/>
      <c r="N616" s="485"/>
      <c r="O616" s="485"/>
      <c r="U616" s="117"/>
      <c r="V616" s="119"/>
      <c r="W616" s="122"/>
    </row>
    <row r="617" ht="14.25" customHeight="1">
      <c r="C617" s="484"/>
      <c r="D617" s="484"/>
      <c r="E617" s="485"/>
      <c r="F617" s="485"/>
      <c r="G617" s="485"/>
      <c r="I617" s="122"/>
      <c r="J617" s="485"/>
      <c r="K617" s="486"/>
      <c r="L617" s="485"/>
      <c r="M617" s="485"/>
      <c r="N617" s="485"/>
      <c r="O617" s="485"/>
      <c r="U617" s="117"/>
      <c r="V617" s="119"/>
      <c r="W617" s="122"/>
    </row>
    <row r="618" ht="14.25" customHeight="1">
      <c r="C618" s="484"/>
      <c r="D618" s="484"/>
      <c r="E618" s="485"/>
      <c r="F618" s="485"/>
      <c r="G618" s="485"/>
      <c r="I618" s="122"/>
      <c r="J618" s="485"/>
      <c r="K618" s="486"/>
      <c r="L618" s="485"/>
      <c r="M618" s="485"/>
      <c r="N618" s="485"/>
      <c r="O618" s="485"/>
      <c r="U618" s="117"/>
      <c r="V618" s="119"/>
      <c r="W618" s="122"/>
    </row>
    <row r="619" ht="14.25" customHeight="1">
      <c r="C619" s="484"/>
      <c r="D619" s="484"/>
      <c r="E619" s="485"/>
      <c r="F619" s="485"/>
      <c r="G619" s="485"/>
      <c r="I619" s="122"/>
      <c r="J619" s="485"/>
      <c r="K619" s="486"/>
      <c r="L619" s="485"/>
      <c r="M619" s="485"/>
      <c r="N619" s="485"/>
      <c r="O619" s="485"/>
      <c r="U619" s="117"/>
      <c r="V619" s="119"/>
      <c r="W619" s="122"/>
    </row>
    <row r="620" ht="14.25" customHeight="1">
      <c r="C620" s="484"/>
      <c r="D620" s="484"/>
      <c r="E620" s="485"/>
      <c r="F620" s="485"/>
      <c r="G620" s="485"/>
      <c r="I620" s="122"/>
      <c r="J620" s="485"/>
      <c r="K620" s="486"/>
      <c r="L620" s="485"/>
      <c r="M620" s="485"/>
      <c r="N620" s="485"/>
      <c r="O620" s="485"/>
      <c r="U620" s="117"/>
      <c r="V620" s="119"/>
      <c r="W620" s="122"/>
    </row>
    <row r="621" ht="14.25" customHeight="1">
      <c r="C621" s="484"/>
      <c r="D621" s="484"/>
      <c r="E621" s="485"/>
      <c r="F621" s="485"/>
      <c r="G621" s="485"/>
      <c r="I621" s="122"/>
      <c r="J621" s="485"/>
      <c r="K621" s="486"/>
      <c r="L621" s="485"/>
      <c r="M621" s="485"/>
      <c r="N621" s="485"/>
      <c r="O621" s="485"/>
      <c r="U621" s="117"/>
      <c r="V621" s="119"/>
      <c r="W621" s="122"/>
    </row>
    <row r="622" ht="14.25" customHeight="1">
      <c r="C622" s="484"/>
      <c r="D622" s="484"/>
      <c r="E622" s="485"/>
      <c r="F622" s="485"/>
      <c r="G622" s="485"/>
      <c r="I622" s="122"/>
      <c r="J622" s="485"/>
      <c r="K622" s="486"/>
      <c r="L622" s="485"/>
      <c r="M622" s="485"/>
      <c r="N622" s="485"/>
      <c r="O622" s="485"/>
      <c r="U622" s="117"/>
      <c r="V622" s="119"/>
      <c r="W622" s="122"/>
    </row>
    <row r="623" ht="14.25" customHeight="1">
      <c r="C623" s="484"/>
      <c r="D623" s="484"/>
      <c r="E623" s="485"/>
      <c r="F623" s="485"/>
      <c r="G623" s="485"/>
      <c r="I623" s="122"/>
      <c r="J623" s="485"/>
      <c r="K623" s="486"/>
      <c r="L623" s="485"/>
      <c r="M623" s="485"/>
      <c r="N623" s="485"/>
      <c r="O623" s="485"/>
      <c r="U623" s="117"/>
      <c r="V623" s="119"/>
      <c r="W623" s="122"/>
    </row>
    <row r="624" ht="14.25" customHeight="1">
      <c r="C624" s="484"/>
      <c r="D624" s="484"/>
      <c r="E624" s="485"/>
      <c r="F624" s="485"/>
      <c r="G624" s="485"/>
      <c r="I624" s="122"/>
      <c r="J624" s="485"/>
      <c r="K624" s="486"/>
      <c r="L624" s="485"/>
      <c r="M624" s="485"/>
      <c r="N624" s="485"/>
      <c r="O624" s="485"/>
      <c r="U624" s="117"/>
      <c r="V624" s="119"/>
      <c r="W624" s="122"/>
    </row>
    <row r="625" ht="14.25" customHeight="1">
      <c r="C625" s="484"/>
      <c r="D625" s="484"/>
      <c r="E625" s="485"/>
      <c r="F625" s="485"/>
      <c r="G625" s="485"/>
      <c r="I625" s="122"/>
      <c r="J625" s="485"/>
      <c r="K625" s="486"/>
      <c r="L625" s="485"/>
      <c r="M625" s="485"/>
      <c r="N625" s="485"/>
      <c r="O625" s="485"/>
      <c r="U625" s="117"/>
      <c r="V625" s="119"/>
      <c r="W625" s="122"/>
    </row>
    <row r="626" ht="14.25" customHeight="1">
      <c r="C626" s="484"/>
      <c r="D626" s="484"/>
      <c r="E626" s="485"/>
      <c r="F626" s="485"/>
      <c r="G626" s="485"/>
      <c r="I626" s="122"/>
      <c r="J626" s="485"/>
      <c r="K626" s="486"/>
      <c r="L626" s="485"/>
      <c r="M626" s="485"/>
      <c r="N626" s="485"/>
      <c r="O626" s="485"/>
      <c r="U626" s="117"/>
      <c r="V626" s="119"/>
      <c r="W626" s="122"/>
    </row>
    <row r="627" ht="14.25" customHeight="1">
      <c r="C627" s="484"/>
      <c r="D627" s="484"/>
      <c r="E627" s="485"/>
      <c r="F627" s="485"/>
      <c r="G627" s="485"/>
      <c r="I627" s="122"/>
      <c r="J627" s="485"/>
      <c r="K627" s="486"/>
      <c r="L627" s="485"/>
      <c r="M627" s="485"/>
      <c r="N627" s="485"/>
      <c r="O627" s="485"/>
      <c r="U627" s="117"/>
      <c r="V627" s="119"/>
      <c r="W627" s="122"/>
    </row>
    <row r="628" ht="14.25" customHeight="1">
      <c r="C628" s="484"/>
      <c r="D628" s="484"/>
      <c r="E628" s="485"/>
      <c r="F628" s="485"/>
      <c r="G628" s="485"/>
      <c r="I628" s="122"/>
      <c r="J628" s="485"/>
      <c r="K628" s="486"/>
      <c r="L628" s="485"/>
      <c r="M628" s="485"/>
      <c r="N628" s="485"/>
      <c r="O628" s="485"/>
      <c r="U628" s="117"/>
      <c r="V628" s="119"/>
      <c r="W628" s="122"/>
    </row>
    <row r="629" ht="14.25" customHeight="1">
      <c r="C629" s="484"/>
      <c r="D629" s="484"/>
      <c r="E629" s="485"/>
      <c r="F629" s="485"/>
      <c r="G629" s="485"/>
      <c r="I629" s="122"/>
      <c r="J629" s="485"/>
      <c r="K629" s="486"/>
      <c r="L629" s="485"/>
      <c r="M629" s="485"/>
      <c r="N629" s="485"/>
      <c r="O629" s="485"/>
      <c r="U629" s="117"/>
      <c r="V629" s="119"/>
      <c r="W629" s="122"/>
    </row>
    <row r="630" ht="14.25" customHeight="1">
      <c r="C630" s="484"/>
      <c r="D630" s="484"/>
      <c r="E630" s="485"/>
      <c r="F630" s="485"/>
      <c r="G630" s="485"/>
      <c r="I630" s="122"/>
      <c r="J630" s="485"/>
      <c r="K630" s="486"/>
      <c r="L630" s="485"/>
      <c r="M630" s="485"/>
      <c r="N630" s="485"/>
      <c r="O630" s="485"/>
      <c r="U630" s="117"/>
      <c r="V630" s="119"/>
      <c r="W630" s="122"/>
    </row>
    <row r="631" ht="14.25" customHeight="1">
      <c r="C631" s="484"/>
      <c r="D631" s="484"/>
      <c r="E631" s="485"/>
      <c r="F631" s="485"/>
      <c r="G631" s="485"/>
      <c r="I631" s="122"/>
      <c r="J631" s="485"/>
      <c r="K631" s="486"/>
      <c r="L631" s="485"/>
      <c r="M631" s="485"/>
      <c r="N631" s="485"/>
      <c r="O631" s="485"/>
      <c r="U631" s="117"/>
      <c r="V631" s="119"/>
      <c r="W631" s="122"/>
    </row>
    <row r="632" ht="14.25" customHeight="1">
      <c r="C632" s="484"/>
      <c r="D632" s="484"/>
      <c r="E632" s="485"/>
      <c r="F632" s="485"/>
      <c r="G632" s="485"/>
      <c r="I632" s="122"/>
      <c r="J632" s="485"/>
      <c r="K632" s="486"/>
      <c r="L632" s="485"/>
      <c r="M632" s="485"/>
      <c r="N632" s="485"/>
      <c r="O632" s="485"/>
      <c r="U632" s="117"/>
      <c r="V632" s="119"/>
      <c r="W632" s="122"/>
    </row>
    <row r="633" ht="14.25" customHeight="1">
      <c r="C633" s="484"/>
      <c r="D633" s="484"/>
      <c r="E633" s="485"/>
      <c r="F633" s="485"/>
      <c r="G633" s="485"/>
      <c r="I633" s="122"/>
      <c r="J633" s="485"/>
      <c r="K633" s="486"/>
      <c r="L633" s="485"/>
      <c r="M633" s="485"/>
      <c r="N633" s="485"/>
      <c r="O633" s="485"/>
      <c r="U633" s="117"/>
      <c r="V633" s="119"/>
      <c r="W633" s="122"/>
    </row>
    <row r="634" ht="14.25" customHeight="1">
      <c r="C634" s="484"/>
      <c r="D634" s="484"/>
      <c r="E634" s="485"/>
      <c r="F634" s="485"/>
      <c r="G634" s="485"/>
      <c r="I634" s="122"/>
      <c r="J634" s="485"/>
      <c r="K634" s="486"/>
      <c r="L634" s="485"/>
      <c r="M634" s="485"/>
      <c r="N634" s="485"/>
      <c r="O634" s="485"/>
      <c r="U634" s="117"/>
      <c r="V634" s="119"/>
      <c r="W634" s="122"/>
    </row>
    <row r="635" ht="14.25" customHeight="1">
      <c r="C635" s="484"/>
      <c r="D635" s="484"/>
      <c r="E635" s="485"/>
      <c r="F635" s="485"/>
      <c r="G635" s="485"/>
      <c r="I635" s="122"/>
      <c r="J635" s="485"/>
      <c r="K635" s="486"/>
      <c r="L635" s="485"/>
      <c r="M635" s="485"/>
      <c r="N635" s="485"/>
      <c r="O635" s="485"/>
      <c r="U635" s="117"/>
      <c r="V635" s="119"/>
      <c r="W635" s="122"/>
    </row>
    <row r="636" ht="14.25" customHeight="1">
      <c r="C636" s="484"/>
      <c r="D636" s="484"/>
      <c r="E636" s="485"/>
      <c r="F636" s="485"/>
      <c r="G636" s="485"/>
      <c r="I636" s="122"/>
      <c r="J636" s="485"/>
      <c r="K636" s="486"/>
      <c r="L636" s="485"/>
      <c r="M636" s="485"/>
      <c r="N636" s="485"/>
      <c r="O636" s="485"/>
      <c r="U636" s="117"/>
      <c r="V636" s="119"/>
      <c r="W636" s="122"/>
    </row>
    <row r="637" ht="14.25" customHeight="1">
      <c r="C637" s="484"/>
      <c r="D637" s="484"/>
      <c r="E637" s="485"/>
      <c r="F637" s="485"/>
      <c r="G637" s="485"/>
      <c r="I637" s="122"/>
      <c r="J637" s="485"/>
      <c r="K637" s="486"/>
      <c r="L637" s="485"/>
      <c r="M637" s="485"/>
      <c r="N637" s="485"/>
      <c r="O637" s="485"/>
      <c r="U637" s="117"/>
      <c r="V637" s="119"/>
      <c r="W637" s="122"/>
    </row>
    <row r="638" ht="14.25" customHeight="1">
      <c r="C638" s="484"/>
      <c r="D638" s="484"/>
      <c r="E638" s="485"/>
      <c r="F638" s="485"/>
      <c r="G638" s="485"/>
      <c r="I638" s="122"/>
      <c r="J638" s="485"/>
      <c r="K638" s="486"/>
      <c r="L638" s="485"/>
      <c r="M638" s="485"/>
      <c r="N638" s="485"/>
      <c r="O638" s="485"/>
      <c r="U638" s="117"/>
      <c r="V638" s="119"/>
      <c r="W638" s="122"/>
    </row>
    <row r="639" ht="14.25" customHeight="1">
      <c r="C639" s="484"/>
      <c r="D639" s="484"/>
      <c r="E639" s="485"/>
      <c r="F639" s="485"/>
      <c r="G639" s="485"/>
      <c r="I639" s="122"/>
      <c r="J639" s="485"/>
      <c r="K639" s="486"/>
      <c r="L639" s="485"/>
      <c r="M639" s="485"/>
      <c r="N639" s="485"/>
      <c r="O639" s="485"/>
      <c r="U639" s="117"/>
      <c r="V639" s="119"/>
      <c r="W639" s="122"/>
    </row>
    <row r="640" ht="14.25" customHeight="1">
      <c r="C640" s="484"/>
      <c r="D640" s="484"/>
      <c r="E640" s="485"/>
      <c r="F640" s="485"/>
      <c r="G640" s="485"/>
      <c r="I640" s="122"/>
      <c r="J640" s="485"/>
      <c r="K640" s="486"/>
      <c r="L640" s="485"/>
      <c r="M640" s="485"/>
      <c r="N640" s="485"/>
      <c r="O640" s="485"/>
      <c r="U640" s="117"/>
      <c r="V640" s="119"/>
      <c r="W640" s="122"/>
    </row>
    <row r="641" ht="14.25" customHeight="1">
      <c r="C641" s="484"/>
      <c r="D641" s="484"/>
      <c r="E641" s="485"/>
      <c r="F641" s="485"/>
      <c r="G641" s="485"/>
      <c r="I641" s="122"/>
      <c r="J641" s="485"/>
      <c r="K641" s="486"/>
      <c r="L641" s="485"/>
      <c r="M641" s="485"/>
      <c r="N641" s="485"/>
      <c r="O641" s="485"/>
      <c r="U641" s="117"/>
      <c r="V641" s="119"/>
      <c r="W641" s="122"/>
    </row>
    <row r="642" ht="14.25" customHeight="1">
      <c r="C642" s="484"/>
      <c r="D642" s="484"/>
      <c r="E642" s="485"/>
      <c r="F642" s="485"/>
      <c r="G642" s="485"/>
      <c r="I642" s="122"/>
      <c r="J642" s="485"/>
      <c r="K642" s="486"/>
      <c r="L642" s="485"/>
      <c r="M642" s="485"/>
      <c r="N642" s="485"/>
      <c r="O642" s="485"/>
      <c r="U642" s="117"/>
      <c r="V642" s="119"/>
      <c r="W642" s="122"/>
    </row>
    <row r="643" ht="14.25" customHeight="1">
      <c r="C643" s="484"/>
      <c r="D643" s="484"/>
      <c r="E643" s="485"/>
      <c r="F643" s="485"/>
      <c r="G643" s="485"/>
      <c r="I643" s="122"/>
      <c r="J643" s="485"/>
      <c r="K643" s="486"/>
      <c r="L643" s="485"/>
      <c r="M643" s="485"/>
      <c r="N643" s="485"/>
      <c r="O643" s="485"/>
      <c r="U643" s="117"/>
      <c r="V643" s="119"/>
      <c r="W643" s="122"/>
    </row>
    <row r="644" ht="14.25" customHeight="1">
      <c r="C644" s="484"/>
      <c r="D644" s="484"/>
      <c r="E644" s="485"/>
      <c r="F644" s="485"/>
      <c r="G644" s="485"/>
      <c r="I644" s="122"/>
      <c r="J644" s="485"/>
      <c r="K644" s="486"/>
      <c r="L644" s="485"/>
      <c r="M644" s="485"/>
      <c r="N644" s="485"/>
      <c r="O644" s="485"/>
      <c r="U644" s="117"/>
      <c r="V644" s="119"/>
      <c r="W644" s="122"/>
    </row>
    <row r="645" ht="14.25" customHeight="1">
      <c r="C645" s="484"/>
      <c r="D645" s="484"/>
      <c r="E645" s="485"/>
      <c r="F645" s="485"/>
      <c r="G645" s="485"/>
      <c r="I645" s="122"/>
      <c r="J645" s="485"/>
      <c r="K645" s="486"/>
      <c r="L645" s="485"/>
      <c r="M645" s="485"/>
      <c r="N645" s="485"/>
      <c r="O645" s="485"/>
      <c r="U645" s="117"/>
      <c r="V645" s="119"/>
      <c r="W645" s="122"/>
    </row>
    <row r="646" ht="14.25" customHeight="1">
      <c r="C646" s="484"/>
      <c r="D646" s="484"/>
      <c r="E646" s="485"/>
      <c r="F646" s="485"/>
      <c r="G646" s="485"/>
      <c r="I646" s="122"/>
      <c r="J646" s="485"/>
      <c r="K646" s="486"/>
      <c r="L646" s="485"/>
      <c r="M646" s="485"/>
      <c r="N646" s="485"/>
      <c r="O646" s="485"/>
      <c r="U646" s="117"/>
      <c r="V646" s="119"/>
      <c r="W646" s="122"/>
    </row>
    <row r="647" ht="14.25" customHeight="1">
      <c r="C647" s="484"/>
      <c r="D647" s="484"/>
      <c r="E647" s="485"/>
      <c r="F647" s="485"/>
      <c r="G647" s="485"/>
      <c r="I647" s="122"/>
      <c r="J647" s="485"/>
      <c r="K647" s="486"/>
      <c r="L647" s="485"/>
      <c r="M647" s="485"/>
      <c r="N647" s="485"/>
      <c r="O647" s="485"/>
      <c r="U647" s="117"/>
      <c r="V647" s="119"/>
      <c r="W647" s="122"/>
    </row>
    <row r="648" ht="14.25" customHeight="1">
      <c r="C648" s="484"/>
      <c r="D648" s="484"/>
      <c r="E648" s="485"/>
      <c r="F648" s="485"/>
      <c r="G648" s="485"/>
      <c r="I648" s="122"/>
      <c r="J648" s="485"/>
      <c r="K648" s="486"/>
      <c r="L648" s="485"/>
      <c r="M648" s="485"/>
      <c r="N648" s="485"/>
      <c r="O648" s="485"/>
      <c r="U648" s="117"/>
      <c r="V648" s="119"/>
      <c r="W648" s="122"/>
    </row>
    <row r="649" ht="14.25" customHeight="1">
      <c r="C649" s="484"/>
      <c r="D649" s="484"/>
      <c r="E649" s="485"/>
      <c r="F649" s="485"/>
      <c r="G649" s="485"/>
      <c r="I649" s="122"/>
      <c r="J649" s="485"/>
      <c r="K649" s="486"/>
      <c r="L649" s="485"/>
      <c r="M649" s="485"/>
      <c r="N649" s="485"/>
      <c r="O649" s="485"/>
      <c r="U649" s="117"/>
      <c r="V649" s="119"/>
      <c r="W649" s="122"/>
    </row>
    <row r="650" ht="14.25" customHeight="1">
      <c r="C650" s="484"/>
      <c r="D650" s="484"/>
      <c r="E650" s="485"/>
      <c r="F650" s="485"/>
      <c r="G650" s="485"/>
      <c r="I650" s="122"/>
      <c r="J650" s="485"/>
      <c r="K650" s="486"/>
      <c r="L650" s="485"/>
      <c r="M650" s="485"/>
      <c r="N650" s="485"/>
      <c r="O650" s="485"/>
      <c r="U650" s="117"/>
      <c r="V650" s="119"/>
      <c r="W650" s="122"/>
    </row>
    <row r="651" ht="14.25" customHeight="1">
      <c r="C651" s="484"/>
      <c r="D651" s="484"/>
      <c r="E651" s="485"/>
      <c r="F651" s="485"/>
      <c r="G651" s="485"/>
      <c r="I651" s="122"/>
      <c r="J651" s="485"/>
      <c r="K651" s="486"/>
      <c r="L651" s="485"/>
      <c r="M651" s="485"/>
      <c r="N651" s="485"/>
      <c r="O651" s="485"/>
      <c r="U651" s="117"/>
      <c r="V651" s="119"/>
      <c r="W651" s="122"/>
    </row>
    <row r="652" ht="14.25" customHeight="1">
      <c r="C652" s="484"/>
      <c r="D652" s="484"/>
      <c r="E652" s="485"/>
      <c r="F652" s="485"/>
      <c r="G652" s="485"/>
      <c r="I652" s="122"/>
      <c r="J652" s="485"/>
      <c r="K652" s="486"/>
      <c r="L652" s="485"/>
      <c r="M652" s="485"/>
      <c r="N652" s="485"/>
      <c r="O652" s="485"/>
      <c r="U652" s="117"/>
      <c r="V652" s="119"/>
      <c r="W652" s="122"/>
    </row>
    <row r="653" ht="14.25" customHeight="1">
      <c r="C653" s="484"/>
      <c r="D653" s="484"/>
      <c r="E653" s="485"/>
      <c r="F653" s="485"/>
      <c r="G653" s="485"/>
      <c r="I653" s="122"/>
      <c r="J653" s="485"/>
      <c r="K653" s="486"/>
      <c r="L653" s="485"/>
      <c r="M653" s="485"/>
      <c r="N653" s="485"/>
      <c r="O653" s="485"/>
      <c r="U653" s="117"/>
      <c r="V653" s="119"/>
      <c r="W653" s="122"/>
    </row>
    <row r="654" ht="14.25" customHeight="1">
      <c r="C654" s="484"/>
      <c r="D654" s="484"/>
      <c r="E654" s="485"/>
      <c r="F654" s="485"/>
      <c r="G654" s="485"/>
      <c r="I654" s="122"/>
      <c r="J654" s="485"/>
      <c r="K654" s="486"/>
      <c r="L654" s="485"/>
      <c r="M654" s="485"/>
      <c r="N654" s="485"/>
      <c r="O654" s="485"/>
      <c r="U654" s="117"/>
      <c r="V654" s="119"/>
      <c r="W654" s="122"/>
    </row>
    <row r="655" ht="14.25" customHeight="1">
      <c r="C655" s="484"/>
      <c r="D655" s="484"/>
      <c r="E655" s="485"/>
      <c r="F655" s="485"/>
      <c r="G655" s="485"/>
      <c r="I655" s="122"/>
      <c r="J655" s="485"/>
      <c r="K655" s="486"/>
      <c r="L655" s="485"/>
      <c r="M655" s="485"/>
      <c r="N655" s="485"/>
      <c r="O655" s="485"/>
      <c r="U655" s="117"/>
      <c r="V655" s="119"/>
      <c r="W655" s="122"/>
    </row>
    <row r="656" ht="14.25" customHeight="1">
      <c r="C656" s="484"/>
      <c r="D656" s="484"/>
      <c r="E656" s="485"/>
      <c r="F656" s="485"/>
      <c r="G656" s="485"/>
      <c r="I656" s="122"/>
      <c r="J656" s="485"/>
      <c r="K656" s="486"/>
      <c r="L656" s="485"/>
      <c r="M656" s="485"/>
      <c r="N656" s="485"/>
      <c r="O656" s="485"/>
      <c r="U656" s="117"/>
      <c r="V656" s="119"/>
      <c r="W656" s="122"/>
    </row>
    <row r="657" ht="14.25" customHeight="1">
      <c r="C657" s="484"/>
      <c r="D657" s="484"/>
      <c r="E657" s="485"/>
      <c r="F657" s="485"/>
      <c r="G657" s="485"/>
      <c r="I657" s="122"/>
      <c r="J657" s="485"/>
      <c r="K657" s="486"/>
      <c r="L657" s="485"/>
      <c r="M657" s="485"/>
      <c r="N657" s="485"/>
      <c r="O657" s="485"/>
      <c r="U657" s="117"/>
      <c r="V657" s="119"/>
      <c r="W657" s="122"/>
    </row>
    <row r="658" ht="14.25" customHeight="1">
      <c r="C658" s="484"/>
      <c r="D658" s="484"/>
      <c r="E658" s="485"/>
      <c r="F658" s="485"/>
      <c r="G658" s="485"/>
      <c r="I658" s="122"/>
      <c r="J658" s="485"/>
      <c r="K658" s="486"/>
      <c r="L658" s="485"/>
      <c r="M658" s="485"/>
      <c r="N658" s="485"/>
      <c r="O658" s="485"/>
      <c r="U658" s="117"/>
      <c r="V658" s="119"/>
      <c r="W658" s="122"/>
    </row>
    <row r="659" ht="14.25" customHeight="1">
      <c r="C659" s="484"/>
      <c r="D659" s="484"/>
      <c r="E659" s="485"/>
      <c r="F659" s="485"/>
      <c r="G659" s="485"/>
      <c r="I659" s="122"/>
      <c r="J659" s="485"/>
      <c r="K659" s="486"/>
      <c r="L659" s="485"/>
      <c r="M659" s="485"/>
      <c r="N659" s="485"/>
      <c r="O659" s="485"/>
      <c r="U659" s="117"/>
      <c r="V659" s="119"/>
      <c r="W659" s="122"/>
    </row>
    <row r="660" ht="14.25" customHeight="1">
      <c r="C660" s="484"/>
      <c r="D660" s="484"/>
      <c r="E660" s="485"/>
      <c r="F660" s="485"/>
      <c r="G660" s="485"/>
      <c r="I660" s="122"/>
      <c r="J660" s="485"/>
      <c r="K660" s="486"/>
      <c r="L660" s="485"/>
      <c r="M660" s="485"/>
      <c r="N660" s="485"/>
      <c r="O660" s="485"/>
      <c r="U660" s="117"/>
      <c r="V660" s="119"/>
      <c r="W660" s="122"/>
    </row>
    <row r="661" ht="14.25" customHeight="1">
      <c r="C661" s="484"/>
      <c r="D661" s="484"/>
      <c r="E661" s="485"/>
      <c r="F661" s="485"/>
      <c r="G661" s="485"/>
      <c r="I661" s="122"/>
      <c r="J661" s="485"/>
      <c r="K661" s="486"/>
      <c r="L661" s="485"/>
      <c r="M661" s="485"/>
      <c r="N661" s="485"/>
      <c r="O661" s="485"/>
      <c r="U661" s="117"/>
      <c r="V661" s="119"/>
      <c r="W661" s="122"/>
    </row>
    <row r="662" ht="14.25" customHeight="1">
      <c r="C662" s="484"/>
      <c r="D662" s="484"/>
      <c r="E662" s="485"/>
      <c r="F662" s="485"/>
      <c r="G662" s="485"/>
      <c r="I662" s="122"/>
      <c r="J662" s="485"/>
      <c r="K662" s="486"/>
      <c r="L662" s="485"/>
      <c r="M662" s="485"/>
      <c r="N662" s="485"/>
      <c r="O662" s="485"/>
      <c r="U662" s="117"/>
      <c r="V662" s="119"/>
      <c r="W662" s="122"/>
    </row>
    <row r="663" ht="14.25" customHeight="1">
      <c r="C663" s="484"/>
      <c r="D663" s="484"/>
      <c r="E663" s="485"/>
      <c r="F663" s="485"/>
      <c r="G663" s="485"/>
      <c r="I663" s="122"/>
      <c r="J663" s="485"/>
      <c r="K663" s="486"/>
      <c r="L663" s="485"/>
      <c r="M663" s="485"/>
      <c r="N663" s="485"/>
      <c r="O663" s="485"/>
      <c r="U663" s="117"/>
      <c r="V663" s="119"/>
      <c r="W663" s="122"/>
    </row>
    <row r="664" ht="14.25" customHeight="1">
      <c r="C664" s="484"/>
      <c r="D664" s="484"/>
      <c r="E664" s="485"/>
      <c r="F664" s="485"/>
      <c r="G664" s="485"/>
      <c r="I664" s="122"/>
      <c r="J664" s="485"/>
      <c r="K664" s="486"/>
      <c r="L664" s="485"/>
      <c r="M664" s="485"/>
      <c r="N664" s="485"/>
      <c r="O664" s="485"/>
      <c r="U664" s="117"/>
      <c r="V664" s="119"/>
      <c r="W664" s="122"/>
    </row>
    <row r="665" ht="14.25" customHeight="1">
      <c r="C665" s="484"/>
      <c r="D665" s="484"/>
      <c r="E665" s="485"/>
      <c r="F665" s="485"/>
      <c r="G665" s="485"/>
      <c r="I665" s="122"/>
      <c r="J665" s="485"/>
      <c r="K665" s="486"/>
      <c r="L665" s="485"/>
      <c r="M665" s="485"/>
      <c r="N665" s="485"/>
      <c r="O665" s="485"/>
      <c r="U665" s="117"/>
      <c r="V665" s="119"/>
      <c r="W665" s="122"/>
    </row>
    <row r="666" ht="14.25" customHeight="1">
      <c r="C666" s="484"/>
      <c r="D666" s="484"/>
      <c r="E666" s="485"/>
      <c r="F666" s="485"/>
      <c r="G666" s="485"/>
      <c r="I666" s="122"/>
      <c r="J666" s="485"/>
      <c r="K666" s="486"/>
      <c r="L666" s="485"/>
      <c r="M666" s="485"/>
      <c r="N666" s="485"/>
      <c r="O666" s="485"/>
      <c r="U666" s="117"/>
      <c r="V666" s="119"/>
      <c r="W666" s="122"/>
    </row>
    <row r="667" ht="14.25" customHeight="1">
      <c r="C667" s="484"/>
      <c r="D667" s="484"/>
      <c r="E667" s="485"/>
      <c r="F667" s="485"/>
      <c r="G667" s="485"/>
      <c r="I667" s="122"/>
      <c r="J667" s="485"/>
      <c r="K667" s="486"/>
      <c r="L667" s="485"/>
      <c r="M667" s="485"/>
      <c r="N667" s="485"/>
      <c r="O667" s="485"/>
      <c r="U667" s="117"/>
      <c r="V667" s="119"/>
      <c r="W667" s="122"/>
    </row>
    <row r="668" ht="14.25" customHeight="1">
      <c r="C668" s="484"/>
      <c r="D668" s="484"/>
      <c r="E668" s="485"/>
      <c r="F668" s="485"/>
      <c r="G668" s="485"/>
      <c r="I668" s="122"/>
      <c r="J668" s="485"/>
      <c r="K668" s="486"/>
      <c r="L668" s="485"/>
      <c r="M668" s="485"/>
      <c r="N668" s="485"/>
      <c r="O668" s="485"/>
      <c r="U668" s="117"/>
      <c r="V668" s="119"/>
      <c r="W668" s="122"/>
    </row>
    <row r="669" ht="14.25" customHeight="1">
      <c r="C669" s="484"/>
      <c r="D669" s="484"/>
      <c r="E669" s="485"/>
      <c r="F669" s="485"/>
      <c r="G669" s="485"/>
      <c r="I669" s="122"/>
      <c r="J669" s="485"/>
      <c r="K669" s="486"/>
      <c r="L669" s="485"/>
      <c r="M669" s="485"/>
      <c r="N669" s="485"/>
      <c r="O669" s="485"/>
      <c r="U669" s="117"/>
      <c r="V669" s="119"/>
      <c r="W669" s="122"/>
    </row>
    <row r="670" ht="14.25" customHeight="1">
      <c r="C670" s="484"/>
      <c r="D670" s="484"/>
      <c r="E670" s="485"/>
      <c r="F670" s="485"/>
      <c r="G670" s="485"/>
      <c r="I670" s="122"/>
      <c r="J670" s="485"/>
      <c r="K670" s="486"/>
      <c r="L670" s="485"/>
      <c r="M670" s="485"/>
      <c r="N670" s="485"/>
      <c r="O670" s="485"/>
      <c r="U670" s="117"/>
      <c r="V670" s="119"/>
      <c r="W670" s="122"/>
    </row>
    <row r="671" ht="14.25" customHeight="1">
      <c r="C671" s="484"/>
      <c r="D671" s="484"/>
      <c r="E671" s="485"/>
      <c r="F671" s="485"/>
      <c r="G671" s="485"/>
      <c r="I671" s="122"/>
      <c r="J671" s="485"/>
      <c r="K671" s="486"/>
      <c r="L671" s="485"/>
      <c r="M671" s="485"/>
      <c r="N671" s="485"/>
      <c r="O671" s="485"/>
      <c r="U671" s="117"/>
      <c r="V671" s="119"/>
      <c r="W671" s="122"/>
    </row>
  </sheetData>
  <mergeCells count="12">
    <mergeCell ref="L1:N2"/>
    <mergeCell ref="O2:O3"/>
    <mergeCell ref="P2:P3"/>
    <mergeCell ref="Q2:Q3"/>
    <mergeCell ref="R2:R3"/>
    <mergeCell ref="B2:D3"/>
    <mergeCell ref="E2:E3"/>
    <mergeCell ref="F2:F3"/>
    <mergeCell ref="G2:G3"/>
    <mergeCell ref="H2:H3"/>
    <mergeCell ref="I2:J2"/>
    <mergeCell ref="K2:K3"/>
  </mergeCells>
  <conditionalFormatting sqref="V1:V225 V227:V671">
    <cfRule type="notContainsBlanks" dxfId="0" priority="1">
      <formula>LEN(TRIM(V1))&gt;0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5.43"/>
    <col customWidth="1" min="2" max="2" width="5.86"/>
    <col customWidth="1" min="3" max="3" width="7.57"/>
    <col customWidth="1" hidden="1" min="4" max="4" width="3.57"/>
    <col customWidth="1" hidden="1" min="5" max="7" width="14.86"/>
    <col customWidth="1" hidden="1" min="8" max="8" width="15.43"/>
    <col customWidth="1" hidden="1" min="9" max="9" width="9.86"/>
    <col customWidth="1" hidden="1" min="10" max="10" width="11.86"/>
    <col customWidth="1" hidden="1" min="11" max="11" width="13.43"/>
    <col customWidth="1" hidden="1" min="12" max="12" width="11.43"/>
    <col customWidth="1" hidden="1" min="13" max="13" width="10.86"/>
    <col customWidth="1" min="14" max="14" width="12.43"/>
    <col customWidth="1" min="15" max="15" width="13.71"/>
    <col customWidth="1" min="16" max="16" width="13.57"/>
    <col customWidth="1" min="17" max="18" width="15.86"/>
    <col customWidth="1" min="19" max="19" width="5.57"/>
    <col customWidth="1" min="20" max="20" width="8.14"/>
    <col customWidth="1" min="21" max="33" width="8.71"/>
  </cols>
  <sheetData>
    <row r="1" ht="14.25" customHeight="1">
      <c r="B1" s="487" t="s">
        <v>275</v>
      </c>
      <c r="C1" s="488"/>
      <c r="D1" s="488"/>
      <c r="E1" s="489"/>
      <c r="F1" s="489"/>
      <c r="G1" s="489"/>
      <c r="H1" s="490"/>
      <c r="I1" s="491"/>
      <c r="J1" s="491"/>
      <c r="K1" s="492"/>
      <c r="L1" s="493" t="s">
        <v>5</v>
      </c>
      <c r="M1" s="30"/>
      <c r="N1" s="31"/>
      <c r="O1" s="494" t="s">
        <v>276</v>
      </c>
      <c r="P1" s="495"/>
      <c r="Q1" s="495"/>
      <c r="R1" s="496"/>
    </row>
    <row r="2" ht="14.25" customHeight="1">
      <c r="A2" s="36"/>
      <c r="B2" s="497" t="s">
        <v>7</v>
      </c>
      <c r="C2" s="127"/>
      <c r="D2" s="129"/>
      <c r="E2" s="498" t="s">
        <v>8</v>
      </c>
      <c r="F2" s="499" t="s">
        <v>9</v>
      </c>
      <c r="G2" s="500" t="s">
        <v>28</v>
      </c>
      <c r="H2" s="498" t="s">
        <v>11</v>
      </c>
      <c r="I2" s="501" t="s">
        <v>12</v>
      </c>
      <c r="J2" s="502"/>
      <c r="K2" s="498" t="s">
        <v>13</v>
      </c>
      <c r="L2" s="503"/>
      <c r="M2" s="47"/>
      <c r="N2" s="48"/>
      <c r="O2" s="504" t="s">
        <v>14</v>
      </c>
      <c r="P2" s="505" t="s">
        <v>15</v>
      </c>
      <c r="Q2" s="506" t="s">
        <v>16</v>
      </c>
      <c r="R2" s="507" t="s">
        <v>11</v>
      </c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</row>
    <row r="3" ht="12.75" customHeight="1">
      <c r="A3" s="36"/>
      <c r="B3" s="159"/>
      <c r="C3" s="143"/>
      <c r="D3" s="57"/>
      <c r="E3" s="56"/>
      <c r="F3" s="57"/>
      <c r="G3" s="56"/>
      <c r="H3" s="56"/>
      <c r="I3" s="508" t="s">
        <v>18</v>
      </c>
      <c r="J3" s="509" t="s">
        <v>17</v>
      </c>
      <c r="K3" s="510"/>
      <c r="L3" s="511" t="s">
        <v>18</v>
      </c>
      <c r="M3" s="512" t="s">
        <v>19</v>
      </c>
      <c r="N3" s="513" t="s">
        <v>36</v>
      </c>
      <c r="O3" s="514"/>
      <c r="P3" s="515"/>
      <c r="Q3" s="515"/>
      <c r="R3" s="51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</row>
    <row r="4">
      <c r="B4" s="517" t="s">
        <v>40</v>
      </c>
      <c r="C4" s="518">
        <v>45293.0</v>
      </c>
      <c r="D4" s="66">
        <v>1.0</v>
      </c>
      <c r="E4" s="67">
        <v>1804.2</v>
      </c>
      <c r="F4" s="67">
        <v>400.0</v>
      </c>
      <c r="G4" s="67"/>
      <c r="H4" s="519"/>
      <c r="I4" s="67"/>
      <c r="J4" s="67"/>
      <c r="K4" s="69">
        <f t="shared" ref="K4:K19" si="1">E4-J4-L4-M4-N4-I4+F4</f>
        <v>0</v>
      </c>
      <c r="L4" s="67">
        <v>1804.2</v>
      </c>
      <c r="M4" s="67"/>
      <c r="N4" s="521">
        <v>400.0</v>
      </c>
      <c r="O4" s="521">
        <v>-700.0</v>
      </c>
      <c r="P4" s="522"/>
      <c r="Q4" s="521">
        <f>N4+O4+P4</f>
        <v>-300</v>
      </c>
      <c r="R4" s="523"/>
    </row>
    <row r="5" ht="14.25" customHeight="1">
      <c r="B5" s="524"/>
      <c r="C5" s="525">
        <v>45325.0</v>
      </c>
      <c r="D5" s="87"/>
      <c r="E5" s="88"/>
      <c r="F5" s="88"/>
      <c r="G5" s="88"/>
      <c r="H5" s="524"/>
      <c r="I5" s="88"/>
      <c r="J5" s="88"/>
      <c r="K5" s="90">
        <f t="shared" si="1"/>
        <v>0</v>
      </c>
      <c r="L5" s="88"/>
      <c r="M5" s="88"/>
      <c r="N5" s="88"/>
      <c r="O5" s="88"/>
      <c r="P5" s="526"/>
      <c r="Q5" s="88">
        <f t="shared" ref="Q5:Q30" si="2">Q4+N5+O5+P5</f>
        <v>-300</v>
      </c>
      <c r="R5" s="524"/>
    </row>
    <row r="6" ht="14.25" customHeight="1">
      <c r="B6" s="519"/>
      <c r="C6" s="527" t="s">
        <v>22</v>
      </c>
      <c r="D6" s="66">
        <v>1.0</v>
      </c>
      <c r="E6" s="67">
        <v>2260.1</v>
      </c>
      <c r="F6" s="67"/>
      <c r="G6" s="67"/>
      <c r="H6" s="519" t="s">
        <v>42</v>
      </c>
      <c r="I6" s="67"/>
      <c r="J6" s="67"/>
      <c r="K6" s="69">
        <f t="shared" si="1"/>
        <v>0</v>
      </c>
      <c r="L6" s="67">
        <v>2260.1</v>
      </c>
      <c r="M6" s="67"/>
      <c r="N6" s="521"/>
      <c r="O6" s="521">
        <v>-700.0</v>
      </c>
      <c r="P6" s="522"/>
      <c r="Q6" s="521">
        <f t="shared" si="2"/>
        <v>-1000</v>
      </c>
      <c r="R6" s="523"/>
    </row>
    <row r="7" ht="14.25" customHeight="1">
      <c r="B7" s="519"/>
      <c r="C7" s="527" t="s">
        <v>280</v>
      </c>
      <c r="D7" s="66">
        <v>2.0</v>
      </c>
      <c r="E7" s="67">
        <v>4100.0</v>
      </c>
      <c r="F7" s="67"/>
      <c r="G7" s="67"/>
      <c r="H7" s="519"/>
      <c r="I7" s="67"/>
      <c r="J7" s="67">
        <v>1000.0</v>
      </c>
      <c r="K7" s="69">
        <f t="shared" si="1"/>
        <v>0</v>
      </c>
      <c r="L7" s="67"/>
      <c r="M7" s="67"/>
      <c r="N7" s="521">
        <v>3100.0</v>
      </c>
      <c r="O7" s="521">
        <v>-700.0</v>
      </c>
      <c r="P7" s="522"/>
      <c r="Q7" s="521">
        <f t="shared" si="2"/>
        <v>1400</v>
      </c>
      <c r="R7" s="523"/>
    </row>
    <row r="8" ht="14.25" customHeight="1">
      <c r="B8" s="178"/>
      <c r="C8" s="172">
        <v>45450.0</v>
      </c>
      <c r="D8" s="173">
        <v>1.0</v>
      </c>
      <c r="E8" s="176">
        <v>2500.0</v>
      </c>
      <c r="F8" s="176"/>
      <c r="G8" s="176"/>
      <c r="H8" s="178"/>
      <c r="I8" s="176"/>
      <c r="J8" s="176">
        <v>1000.0</v>
      </c>
      <c r="K8" s="69">
        <f t="shared" si="1"/>
        <v>0</v>
      </c>
      <c r="L8" s="176"/>
      <c r="M8" s="176"/>
      <c r="N8" s="528">
        <v>1500.0</v>
      </c>
      <c r="O8" s="528">
        <v>-700.0</v>
      </c>
      <c r="P8" s="529"/>
      <c r="Q8" s="521">
        <f t="shared" si="2"/>
        <v>2200</v>
      </c>
      <c r="R8" s="530"/>
    </row>
    <row r="9" ht="14.25" customHeight="1">
      <c r="B9" s="178"/>
      <c r="C9" s="172">
        <v>45482.0</v>
      </c>
      <c r="D9" s="173"/>
      <c r="E9" s="176">
        <v>1500.0</v>
      </c>
      <c r="F9" s="176"/>
      <c r="G9" s="176"/>
      <c r="H9" s="178" t="s">
        <v>81</v>
      </c>
      <c r="I9" s="176"/>
      <c r="J9" s="176">
        <v>1500.0</v>
      </c>
      <c r="K9" s="69">
        <f t="shared" si="1"/>
        <v>0</v>
      </c>
      <c r="L9" s="176"/>
      <c r="M9" s="176"/>
      <c r="N9" s="528"/>
      <c r="O9" s="528"/>
      <c r="P9" s="529"/>
      <c r="Q9" s="521">
        <f t="shared" si="2"/>
        <v>2200</v>
      </c>
      <c r="R9" s="530"/>
    </row>
    <row r="10" ht="14.25" customHeight="1">
      <c r="B10" s="178"/>
      <c r="C10" s="172">
        <v>45481.0</v>
      </c>
      <c r="D10" s="173">
        <v>1.0</v>
      </c>
      <c r="E10" s="176">
        <v>2800.0</v>
      </c>
      <c r="F10" s="176"/>
      <c r="G10" s="176"/>
      <c r="H10" s="178"/>
      <c r="I10" s="176"/>
      <c r="J10" s="176"/>
      <c r="K10" s="69">
        <f t="shared" si="1"/>
        <v>0</v>
      </c>
      <c r="L10" s="176"/>
      <c r="M10" s="176"/>
      <c r="N10" s="528">
        <v>2800.0</v>
      </c>
      <c r="O10" s="528">
        <v>-700.0</v>
      </c>
      <c r="P10" s="529"/>
      <c r="Q10" s="521">
        <f t="shared" si="2"/>
        <v>4300</v>
      </c>
      <c r="R10" s="530"/>
    </row>
    <row r="11" ht="14.25" customHeight="1">
      <c r="B11" s="178"/>
      <c r="C11" s="172">
        <v>45513.0</v>
      </c>
      <c r="D11" s="173">
        <v>1.0</v>
      </c>
      <c r="E11" s="176">
        <v>2500.0</v>
      </c>
      <c r="F11" s="176"/>
      <c r="G11" s="176"/>
      <c r="H11" s="178" t="s">
        <v>281</v>
      </c>
      <c r="I11" s="176"/>
      <c r="J11" s="176"/>
      <c r="K11" s="69">
        <f t="shared" si="1"/>
        <v>0</v>
      </c>
      <c r="L11" s="176"/>
      <c r="M11" s="176"/>
      <c r="N11" s="528">
        <v>2500.0</v>
      </c>
      <c r="O11" s="528">
        <v>-700.0</v>
      </c>
      <c r="P11" s="529">
        <v>-400.0</v>
      </c>
      <c r="Q11" s="521">
        <f t="shared" si="2"/>
        <v>5700</v>
      </c>
      <c r="R11" s="530" t="s">
        <v>283</v>
      </c>
    </row>
    <row r="12" ht="14.25" customHeight="1">
      <c r="B12" s="178"/>
      <c r="C12" s="208" t="s">
        <v>284</v>
      </c>
      <c r="D12" s="173">
        <v>1.0</v>
      </c>
      <c r="E12" s="176">
        <f>2300+200</f>
        <v>2500</v>
      </c>
      <c r="F12" s="176"/>
      <c r="G12" s="176"/>
      <c r="H12" s="178"/>
      <c r="I12" s="176"/>
      <c r="J12" s="176">
        <v>1000.0</v>
      </c>
      <c r="K12" s="69">
        <f t="shared" si="1"/>
        <v>0</v>
      </c>
      <c r="L12" s="176"/>
      <c r="M12" s="176">
        <v>200.0</v>
      </c>
      <c r="N12" s="528">
        <v>1300.0</v>
      </c>
      <c r="O12" s="528">
        <v>-700.0</v>
      </c>
      <c r="P12" s="529"/>
      <c r="Q12" s="521">
        <f t="shared" si="2"/>
        <v>6300</v>
      </c>
      <c r="R12" s="530"/>
    </row>
    <row r="13" ht="14.25" customHeight="1">
      <c r="B13" s="196"/>
      <c r="C13" s="533" t="s">
        <v>285</v>
      </c>
      <c r="D13" s="193"/>
      <c r="E13" s="194"/>
      <c r="F13" s="194"/>
      <c r="G13" s="194"/>
      <c r="H13" s="196"/>
      <c r="I13" s="194"/>
      <c r="J13" s="194"/>
      <c r="K13" s="90">
        <f t="shared" si="1"/>
        <v>0</v>
      </c>
      <c r="L13" s="194"/>
      <c r="M13" s="194"/>
      <c r="N13" s="194"/>
      <c r="O13" s="194"/>
      <c r="P13" s="198"/>
      <c r="Q13" s="88">
        <f t="shared" si="2"/>
        <v>6300</v>
      </c>
      <c r="R13" s="196"/>
    </row>
    <row r="14" ht="14.25" customHeight="1">
      <c r="B14" s="178"/>
      <c r="C14" s="208" t="s">
        <v>286</v>
      </c>
      <c r="D14" s="173">
        <v>2.0</v>
      </c>
      <c r="E14" s="176">
        <v>4100.0</v>
      </c>
      <c r="F14" s="176"/>
      <c r="G14" s="176"/>
      <c r="H14" s="178"/>
      <c r="I14" s="176">
        <v>1500.0</v>
      </c>
      <c r="J14" s="176"/>
      <c r="K14" s="69">
        <f t="shared" si="1"/>
        <v>0</v>
      </c>
      <c r="L14" s="176"/>
      <c r="M14" s="176"/>
      <c r="N14" s="528">
        <v>2600.0</v>
      </c>
      <c r="O14" s="528">
        <v>-700.0</v>
      </c>
      <c r="P14" s="529"/>
      <c r="Q14" s="521">
        <f t="shared" si="2"/>
        <v>8200</v>
      </c>
      <c r="R14" s="530"/>
    </row>
    <row r="15" ht="14.25" customHeight="1">
      <c r="B15" s="178"/>
      <c r="C15" s="173" t="s">
        <v>46</v>
      </c>
      <c r="D15" s="173"/>
      <c r="E15" s="176">
        <v>500.0</v>
      </c>
      <c r="F15" s="176"/>
      <c r="G15" s="176"/>
      <c r="H15" s="534" t="s">
        <v>81</v>
      </c>
      <c r="I15" s="67"/>
      <c r="J15" s="535"/>
      <c r="K15" s="69">
        <f t="shared" si="1"/>
        <v>0</v>
      </c>
      <c r="L15" s="176"/>
      <c r="M15" s="176">
        <v>500.0</v>
      </c>
      <c r="N15" s="528"/>
      <c r="O15" s="528"/>
      <c r="P15" s="529"/>
      <c r="Q15" s="521">
        <f t="shared" si="2"/>
        <v>8200</v>
      </c>
      <c r="R15" s="530"/>
    </row>
    <row r="16" ht="14.25" customHeight="1">
      <c r="B16" s="178"/>
      <c r="C16" s="208" t="s">
        <v>29</v>
      </c>
      <c r="D16" s="173">
        <v>1.0</v>
      </c>
      <c r="E16" s="176">
        <v>3000.0</v>
      </c>
      <c r="F16" s="176"/>
      <c r="G16" s="176"/>
      <c r="H16" s="534"/>
      <c r="I16" s="68"/>
      <c r="J16" s="535">
        <v>1000.0</v>
      </c>
      <c r="K16" s="69">
        <f t="shared" si="1"/>
        <v>0</v>
      </c>
      <c r="L16" s="176"/>
      <c r="M16" s="176"/>
      <c r="N16" s="528">
        <v>2000.0</v>
      </c>
      <c r="O16" s="528">
        <v>-700.0</v>
      </c>
      <c r="P16" s="529"/>
      <c r="Q16" s="521">
        <f t="shared" si="2"/>
        <v>9500</v>
      </c>
      <c r="R16" s="530"/>
    </row>
    <row r="17" ht="14.25" customHeight="1">
      <c r="B17" s="178"/>
      <c r="C17" s="173" t="s">
        <v>30</v>
      </c>
      <c r="D17" s="173">
        <v>1.0</v>
      </c>
      <c r="E17" s="176">
        <v>2800.0</v>
      </c>
      <c r="F17" s="176"/>
      <c r="G17" s="176"/>
      <c r="H17" s="534"/>
      <c r="I17" s="68"/>
      <c r="J17" s="535">
        <v>1000.0</v>
      </c>
      <c r="K17" s="69">
        <f t="shared" si="1"/>
        <v>0</v>
      </c>
      <c r="L17" s="176"/>
      <c r="M17" s="176"/>
      <c r="N17" s="528">
        <v>1800.0</v>
      </c>
      <c r="O17" s="528">
        <v>-700.0</v>
      </c>
      <c r="P17" s="529"/>
      <c r="Q17" s="521">
        <f t="shared" si="2"/>
        <v>10600</v>
      </c>
      <c r="R17" s="530"/>
    </row>
    <row r="18" ht="14.25" customHeight="1">
      <c r="B18" s="178"/>
      <c r="C18" s="173" t="s">
        <v>102</v>
      </c>
      <c r="D18" s="173">
        <v>2.0</v>
      </c>
      <c r="E18" s="176">
        <v>3500.0</v>
      </c>
      <c r="F18" s="176"/>
      <c r="G18" s="176"/>
      <c r="H18" s="178"/>
      <c r="I18" s="176"/>
      <c r="J18" s="176">
        <v>1500.0</v>
      </c>
      <c r="K18" s="69">
        <f t="shared" si="1"/>
        <v>0</v>
      </c>
      <c r="L18" s="176"/>
      <c r="M18" s="176">
        <v>2000.0</v>
      </c>
      <c r="N18" s="528"/>
      <c r="O18" s="528">
        <v>-700.0</v>
      </c>
      <c r="P18" s="529"/>
      <c r="Q18" s="521">
        <f t="shared" si="2"/>
        <v>9900</v>
      </c>
      <c r="R18" s="530"/>
    </row>
    <row r="19" ht="14.25" customHeight="1">
      <c r="B19" s="178"/>
      <c r="C19" s="173" t="s">
        <v>33</v>
      </c>
      <c r="D19" s="173">
        <v>1.0</v>
      </c>
      <c r="E19" s="176">
        <v>1993.83</v>
      </c>
      <c r="F19" s="176"/>
      <c r="G19" s="176"/>
      <c r="H19" s="178"/>
      <c r="I19" s="176"/>
      <c r="J19" s="176"/>
      <c r="K19" s="69">
        <f t="shared" si="1"/>
        <v>0</v>
      </c>
      <c r="L19" s="176">
        <v>1993.83</v>
      </c>
      <c r="M19" s="176"/>
      <c r="N19" s="528"/>
      <c r="O19" s="528">
        <v>-700.0</v>
      </c>
      <c r="P19" s="529"/>
      <c r="Q19" s="521">
        <f t="shared" si="2"/>
        <v>9200</v>
      </c>
      <c r="R19" s="530"/>
    </row>
    <row r="20" ht="14.25" customHeight="1">
      <c r="B20" s="178"/>
      <c r="C20" s="173" t="s">
        <v>34</v>
      </c>
      <c r="D20" s="173">
        <v>1.0</v>
      </c>
      <c r="E20" s="176">
        <v>2300.0</v>
      </c>
      <c r="F20" s="176">
        <v>350.0</v>
      </c>
      <c r="G20" s="176"/>
      <c r="H20" s="178"/>
      <c r="I20" s="176"/>
      <c r="J20" s="176">
        <v>1000.0</v>
      </c>
      <c r="K20" s="69">
        <f>E20-J20-L20-M20-N20-I20+F20-P20</f>
        <v>0</v>
      </c>
      <c r="L20" s="176"/>
      <c r="M20" s="176"/>
      <c r="N20" s="536">
        <v>1300.0</v>
      </c>
      <c r="O20" s="528">
        <v>-700.0</v>
      </c>
      <c r="P20" s="537">
        <v>350.0</v>
      </c>
      <c r="Q20" s="521">
        <f t="shared" si="2"/>
        <v>10150</v>
      </c>
      <c r="R20" s="538" t="s">
        <v>43</v>
      </c>
    </row>
    <row r="21" ht="14.25" customHeight="1">
      <c r="B21" s="178"/>
      <c r="C21" s="173" t="s">
        <v>35</v>
      </c>
      <c r="D21" s="173">
        <v>2.0</v>
      </c>
      <c r="E21" s="176">
        <v>5500.0</v>
      </c>
      <c r="F21" s="176">
        <v>900.0</v>
      </c>
      <c r="G21" s="176"/>
      <c r="H21" s="178"/>
      <c r="I21" s="176"/>
      <c r="J21" s="176">
        <v>1950.0</v>
      </c>
      <c r="K21" s="69">
        <f t="shared" ref="K21:K30" si="3">E21-J21-L21-M21-N21-I21+F21</f>
        <v>0</v>
      </c>
      <c r="L21" s="176"/>
      <c r="M21" s="176"/>
      <c r="N21" s="528">
        <v>4450.0</v>
      </c>
      <c r="O21" s="528">
        <v>-700.0</v>
      </c>
      <c r="P21" s="529"/>
      <c r="Q21" s="521">
        <f t="shared" si="2"/>
        <v>13900</v>
      </c>
      <c r="R21" s="530"/>
    </row>
    <row r="22" ht="14.25" customHeight="1">
      <c r="B22" s="178"/>
      <c r="C22" s="173" t="s">
        <v>70</v>
      </c>
      <c r="D22" s="173">
        <v>2.0</v>
      </c>
      <c r="E22" s="176">
        <f>4100+500</f>
        <v>4600</v>
      </c>
      <c r="F22" s="176"/>
      <c r="G22" s="176">
        <v>-500.0</v>
      </c>
      <c r="H22" s="178" t="s">
        <v>289</v>
      </c>
      <c r="I22" s="176"/>
      <c r="J22" s="176">
        <v>1500.0</v>
      </c>
      <c r="K22" s="69">
        <f t="shared" si="3"/>
        <v>0</v>
      </c>
      <c r="L22" s="176"/>
      <c r="M22" s="176"/>
      <c r="N22" s="528">
        <v>3100.0</v>
      </c>
      <c r="O22" s="528">
        <v>-700.0</v>
      </c>
      <c r="P22" s="529"/>
      <c r="Q22" s="521">
        <f t="shared" si="2"/>
        <v>16300</v>
      </c>
      <c r="R22" s="530"/>
    </row>
    <row r="23" ht="14.25" customHeight="1">
      <c r="B23" s="178"/>
      <c r="C23" s="173" t="s">
        <v>71</v>
      </c>
      <c r="D23" s="173">
        <v>2.0</v>
      </c>
      <c r="E23" s="176">
        <v>6200.0</v>
      </c>
      <c r="F23" s="176"/>
      <c r="G23" s="176"/>
      <c r="H23" s="178"/>
      <c r="I23" s="176"/>
      <c r="J23" s="176">
        <v>1500.0</v>
      </c>
      <c r="K23" s="69">
        <f t="shared" si="3"/>
        <v>0</v>
      </c>
      <c r="L23" s="176"/>
      <c r="M23" s="176"/>
      <c r="N23" s="528">
        <v>4700.0</v>
      </c>
      <c r="O23" s="528">
        <v>-700.0</v>
      </c>
      <c r="P23" s="529"/>
      <c r="Q23" s="521">
        <f t="shared" si="2"/>
        <v>20300</v>
      </c>
      <c r="R23" s="530"/>
    </row>
    <row r="24" ht="14.25" customHeight="1">
      <c r="B24" s="178"/>
      <c r="C24" s="173" t="s">
        <v>86</v>
      </c>
      <c r="D24" s="173">
        <v>2.0</v>
      </c>
      <c r="E24" s="176">
        <f>2500*2</f>
        <v>5000</v>
      </c>
      <c r="F24" s="176"/>
      <c r="G24" s="176"/>
      <c r="H24" s="178" t="s">
        <v>291</v>
      </c>
      <c r="I24" s="176"/>
      <c r="J24" s="176"/>
      <c r="K24" s="69">
        <f t="shared" si="3"/>
        <v>0</v>
      </c>
      <c r="L24" s="176">
        <v>5000.0</v>
      </c>
      <c r="M24" s="176"/>
      <c r="N24" s="528"/>
      <c r="O24" s="528">
        <v>-700.0</v>
      </c>
      <c r="P24" s="529"/>
      <c r="Q24" s="521">
        <f t="shared" si="2"/>
        <v>19600</v>
      </c>
      <c r="R24" s="530"/>
    </row>
    <row r="25" ht="14.25" customHeight="1">
      <c r="B25" s="178"/>
      <c r="C25" s="173" t="s">
        <v>88</v>
      </c>
      <c r="D25" s="173">
        <v>2.0</v>
      </c>
      <c r="E25" s="176">
        <v>6500.0</v>
      </c>
      <c r="F25" s="176"/>
      <c r="G25" s="176"/>
      <c r="H25" s="178"/>
      <c r="I25" s="176">
        <v>1500.0</v>
      </c>
      <c r="J25" s="176"/>
      <c r="K25" s="69">
        <f t="shared" si="3"/>
        <v>0</v>
      </c>
      <c r="L25" s="176"/>
      <c r="M25" s="176"/>
      <c r="N25" s="528">
        <v>5000.0</v>
      </c>
      <c r="O25" s="528">
        <v>-700.0</v>
      </c>
      <c r="P25" s="529"/>
      <c r="Q25" s="521">
        <f t="shared" si="2"/>
        <v>23900</v>
      </c>
      <c r="R25" s="530"/>
    </row>
    <row r="26" ht="14.25" customHeight="1">
      <c r="B26" s="178"/>
      <c r="C26" s="173" t="s">
        <v>50</v>
      </c>
      <c r="D26" s="173">
        <v>1.0</v>
      </c>
      <c r="E26" s="176">
        <v>3000.0</v>
      </c>
      <c r="F26" s="176">
        <v>400.0</v>
      </c>
      <c r="G26" s="176"/>
      <c r="H26" s="178"/>
      <c r="I26" s="176"/>
      <c r="J26" s="176">
        <v>1400.0</v>
      </c>
      <c r="K26" s="69">
        <f t="shared" si="3"/>
        <v>0</v>
      </c>
      <c r="L26" s="176"/>
      <c r="M26" s="176"/>
      <c r="N26" s="539">
        <v>2000.0</v>
      </c>
      <c r="O26" s="528">
        <v>-700.0</v>
      </c>
      <c r="P26" s="529"/>
      <c r="Q26" s="521">
        <f t="shared" si="2"/>
        <v>25200</v>
      </c>
      <c r="R26" s="530"/>
    </row>
    <row r="27" ht="14.25" customHeight="1">
      <c r="B27" s="178"/>
      <c r="C27" s="173" t="s">
        <v>89</v>
      </c>
      <c r="D27" s="173">
        <v>2.0</v>
      </c>
      <c r="E27" s="176">
        <v>7000.0</v>
      </c>
      <c r="F27" s="176"/>
      <c r="G27" s="176"/>
      <c r="H27" s="178"/>
      <c r="I27" s="176"/>
      <c r="J27" s="176">
        <v>2000.0</v>
      </c>
      <c r="K27" s="69">
        <f t="shared" si="3"/>
        <v>0</v>
      </c>
      <c r="L27" s="176"/>
      <c r="M27" s="176"/>
      <c r="N27" s="528">
        <v>5000.0</v>
      </c>
      <c r="O27" s="528">
        <v>-700.0</v>
      </c>
      <c r="P27" s="529"/>
      <c r="Q27" s="521">
        <f t="shared" si="2"/>
        <v>29500</v>
      </c>
      <c r="R27" s="530"/>
    </row>
    <row r="28" ht="14.25" customHeight="1">
      <c r="B28" s="178"/>
      <c r="C28" s="173"/>
      <c r="D28" s="173"/>
      <c r="E28" s="176"/>
      <c r="F28" s="176"/>
      <c r="G28" s="176"/>
      <c r="H28" s="178"/>
      <c r="I28" s="176"/>
      <c r="J28" s="176"/>
      <c r="K28" s="69">
        <f t="shared" si="3"/>
        <v>0</v>
      </c>
      <c r="L28" s="176"/>
      <c r="M28" s="176"/>
      <c r="N28" s="528"/>
      <c r="O28" s="528"/>
      <c r="P28" s="529">
        <v>-500.0</v>
      </c>
      <c r="Q28" s="521">
        <f t="shared" si="2"/>
        <v>29000</v>
      </c>
      <c r="R28" s="530" t="s">
        <v>76</v>
      </c>
    </row>
    <row r="29" ht="14.25" customHeight="1">
      <c r="B29" s="178"/>
      <c r="C29" s="173"/>
      <c r="D29" s="173"/>
      <c r="E29" s="176"/>
      <c r="F29" s="176"/>
      <c r="G29" s="176"/>
      <c r="H29" s="178"/>
      <c r="I29" s="176"/>
      <c r="J29" s="176"/>
      <c r="K29" s="69">
        <f t="shared" si="3"/>
        <v>0</v>
      </c>
      <c r="L29" s="176"/>
      <c r="M29" s="176"/>
      <c r="N29" s="528"/>
      <c r="O29" s="528"/>
      <c r="P29" s="529">
        <v>-5476.23</v>
      </c>
      <c r="Q29" s="521">
        <f t="shared" si="2"/>
        <v>23523.77</v>
      </c>
      <c r="R29" s="530" t="s">
        <v>59</v>
      </c>
    </row>
    <row r="30" ht="14.25" customHeight="1">
      <c r="B30" s="178"/>
      <c r="C30" s="173"/>
      <c r="D30" s="173"/>
      <c r="E30" s="176"/>
      <c r="F30" s="176"/>
      <c r="G30" s="176"/>
      <c r="H30" s="178"/>
      <c r="I30" s="176"/>
      <c r="J30" s="176"/>
      <c r="K30" s="69">
        <f t="shared" si="3"/>
        <v>0</v>
      </c>
      <c r="L30" s="176"/>
      <c r="M30" s="176"/>
      <c r="N30" s="528"/>
      <c r="O30" s="528"/>
      <c r="P30" s="529">
        <v>-2516.41</v>
      </c>
      <c r="Q30" s="521">
        <f t="shared" si="2"/>
        <v>21007.36</v>
      </c>
      <c r="R30" s="530" t="s">
        <v>55</v>
      </c>
    </row>
    <row r="31" ht="14.25" customHeight="1">
      <c r="B31" s="549" t="s">
        <v>40</v>
      </c>
      <c r="C31" s="551" t="s">
        <v>80</v>
      </c>
      <c r="D31" s="551">
        <f t="shared" ref="D31:P31" si="4">SUM(D4:D30)</f>
        <v>29</v>
      </c>
      <c r="E31" s="553">
        <f t="shared" si="4"/>
        <v>75958.13</v>
      </c>
      <c r="F31" s="553">
        <f t="shared" si="4"/>
        <v>2050</v>
      </c>
      <c r="G31" s="553">
        <f t="shared" si="4"/>
        <v>-500</v>
      </c>
      <c r="H31" s="553">
        <f t="shared" si="4"/>
        <v>0</v>
      </c>
      <c r="I31" s="553">
        <f t="shared" si="4"/>
        <v>3000</v>
      </c>
      <c r="J31" s="553">
        <f t="shared" si="4"/>
        <v>17350</v>
      </c>
      <c r="K31" s="553">
        <f t="shared" si="4"/>
        <v>0</v>
      </c>
      <c r="L31" s="553">
        <f t="shared" si="4"/>
        <v>11058.13</v>
      </c>
      <c r="M31" s="553">
        <f t="shared" si="4"/>
        <v>2700</v>
      </c>
      <c r="N31" s="553">
        <f t="shared" si="4"/>
        <v>43550</v>
      </c>
      <c r="O31" s="553">
        <f t="shared" si="4"/>
        <v>-14000</v>
      </c>
      <c r="P31" s="556">
        <f t="shared" si="4"/>
        <v>-8542.64</v>
      </c>
      <c r="Q31" s="557">
        <f>Q30</f>
        <v>21007.36</v>
      </c>
      <c r="R31" s="558"/>
    </row>
    <row r="32" ht="14.25" customHeight="1">
      <c r="B32" s="519" t="s">
        <v>96</v>
      </c>
      <c r="C32" s="518">
        <v>45325.0</v>
      </c>
      <c r="D32" s="66">
        <v>1.0</v>
      </c>
      <c r="E32" s="67">
        <v>2300.0</v>
      </c>
      <c r="F32" s="67"/>
      <c r="G32" s="67"/>
      <c r="H32" s="519"/>
      <c r="I32" s="67"/>
      <c r="J32" s="67">
        <v>1000.0</v>
      </c>
      <c r="K32" s="69">
        <f t="shared" ref="K32:K51" si="5">E32-J32-L32-M32-N32-I32+F32</f>
        <v>0</v>
      </c>
      <c r="L32" s="67"/>
      <c r="M32" s="67"/>
      <c r="N32" s="521">
        <v>1300.0</v>
      </c>
      <c r="O32" s="521">
        <v>-700.0</v>
      </c>
      <c r="P32" s="522"/>
      <c r="Q32" s="521">
        <f t="shared" ref="Q32:Q52" si="6">Q31+N32+O32+P32</f>
        <v>21607.36</v>
      </c>
      <c r="R32" s="523"/>
    </row>
    <row r="33" ht="14.25" customHeight="1">
      <c r="B33" s="519"/>
      <c r="C33" s="518">
        <v>45720.0</v>
      </c>
      <c r="D33" s="66">
        <v>1.0</v>
      </c>
      <c r="E33" s="67">
        <v>2300.0</v>
      </c>
      <c r="F33" s="67">
        <v>450.0</v>
      </c>
      <c r="G33" s="67"/>
      <c r="H33" s="519"/>
      <c r="I33" s="67"/>
      <c r="J33" s="67">
        <v>1000.0</v>
      </c>
      <c r="K33" s="69">
        <f t="shared" si="5"/>
        <v>0</v>
      </c>
      <c r="L33" s="67"/>
      <c r="M33" s="67"/>
      <c r="N33" s="521">
        <v>1750.0</v>
      </c>
      <c r="O33" s="521">
        <v>-700.0</v>
      </c>
      <c r="P33" s="522"/>
      <c r="Q33" s="521">
        <f t="shared" si="6"/>
        <v>22657.36</v>
      </c>
      <c r="R33" s="523"/>
    </row>
    <row r="34" ht="14.25" customHeight="1">
      <c r="B34" s="519"/>
      <c r="C34" s="518">
        <v>45752.0</v>
      </c>
      <c r="D34" s="66">
        <v>1.0</v>
      </c>
      <c r="E34" s="67">
        <v>2700.0</v>
      </c>
      <c r="F34" s="67"/>
      <c r="G34" s="67"/>
      <c r="H34" s="519"/>
      <c r="I34" s="67"/>
      <c r="J34" s="67">
        <v>1000.0</v>
      </c>
      <c r="K34" s="69">
        <f t="shared" si="5"/>
        <v>0</v>
      </c>
      <c r="L34" s="67"/>
      <c r="M34" s="67"/>
      <c r="N34" s="521">
        <v>1700.0</v>
      </c>
      <c r="O34" s="521">
        <v>-700.0</v>
      </c>
      <c r="P34" s="522"/>
      <c r="Q34" s="521">
        <f t="shared" si="6"/>
        <v>23657.36</v>
      </c>
      <c r="R34" s="523"/>
    </row>
    <row r="35" ht="14.25" customHeight="1">
      <c r="B35" s="519"/>
      <c r="C35" s="518">
        <v>45784.0</v>
      </c>
      <c r="D35" s="66">
        <v>2.0</v>
      </c>
      <c r="E35" s="67">
        <v>4000.0</v>
      </c>
      <c r="F35" s="67"/>
      <c r="G35" s="67"/>
      <c r="H35" s="519"/>
      <c r="I35" s="67"/>
      <c r="J35" s="67">
        <v>500.0</v>
      </c>
      <c r="K35" s="69">
        <f t="shared" si="5"/>
        <v>0</v>
      </c>
      <c r="L35" s="67"/>
      <c r="M35" s="67"/>
      <c r="N35" s="521">
        <v>3500.0</v>
      </c>
      <c r="O35" s="521">
        <v>-700.0</v>
      </c>
      <c r="P35" s="522"/>
      <c r="Q35" s="521">
        <f t="shared" si="6"/>
        <v>26457.36</v>
      </c>
      <c r="R35" s="523"/>
    </row>
    <row r="36" ht="14.25" customHeight="1">
      <c r="B36" s="519"/>
      <c r="C36" s="518">
        <v>45847.0</v>
      </c>
      <c r="D36" s="66">
        <v>2.0</v>
      </c>
      <c r="E36" s="67">
        <v>4617.2</v>
      </c>
      <c r="F36" s="67"/>
      <c r="G36" s="67"/>
      <c r="H36" s="519"/>
      <c r="I36" s="67"/>
      <c r="J36" s="67"/>
      <c r="K36" s="69">
        <f t="shared" si="5"/>
        <v>0</v>
      </c>
      <c r="L36" s="67">
        <v>4617.2</v>
      </c>
      <c r="M36" s="67"/>
      <c r="N36" s="521"/>
      <c r="O36" s="521">
        <v>-700.0</v>
      </c>
      <c r="P36" s="522"/>
      <c r="Q36" s="521">
        <f t="shared" si="6"/>
        <v>25757.36</v>
      </c>
      <c r="R36" s="523"/>
    </row>
    <row r="37" ht="14.25" customHeight="1">
      <c r="B37" s="519"/>
      <c r="C37" s="525">
        <v>45910.0</v>
      </c>
      <c r="D37" s="87"/>
      <c r="E37" s="88"/>
      <c r="F37" s="88"/>
      <c r="G37" s="88"/>
      <c r="H37" s="524"/>
      <c r="I37" s="88"/>
      <c r="J37" s="88"/>
      <c r="K37" s="90">
        <f t="shared" si="5"/>
        <v>0</v>
      </c>
      <c r="L37" s="88"/>
      <c r="M37" s="88"/>
      <c r="N37" s="88"/>
      <c r="O37" s="88"/>
      <c r="P37" s="526"/>
      <c r="Q37" s="88">
        <f t="shared" si="6"/>
        <v>25757.36</v>
      </c>
      <c r="R37" s="524"/>
    </row>
    <row r="38" ht="14.25" customHeight="1">
      <c r="B38" s="519"/>
      <c r="C38" s="518">
        <v>45941.0</v>
      </c>
      <c r="D38" s="66">
        <v>1.0</v>
      </c>
      <c r="E38" s="237">
        <v>2500.0</v>
      </c>
      <c r="F38" s="67"/>
      <c r="G38" s="67"/>
      <c r="H38" s="519"/>
      <c r="I38" s="67"/>
      <c r="J38" s="67">
        <v>1000.0</v>
      </c>
      <c r="K38" s="69">
        <f t="shared" si="5"/>
        <v>0</v>
      </c>
      <c r="L38" s="67"/>
      <c r="M38" s="67"/>
      <c r="N38" s="559">
        <v>1500.0</v>
      </c>
      <c r="O38" s="521">
        <v>-700.0</v>
      </c>
      <c r="P38" s="522"/>
      <c r="Q38" s="521">
        <f t="shared" si="6"/>
        <v>26557.36</v>
      </c>
      <c r="R38" s="523"/>
    </row>
    <row r="39" ht="14.25" customHeight="1">
      <c r="B39" s="519"/>
      <c r="C39" s="518">
        <v>45973.0</v>
      </c>
      <c r="D39" s="66">
        <v>1.0</v>
      </c>
      <c r="E39" s="67">
        <v>3050.0</v>
      </c>
      <c r="F39" s="67"/>
      <c r="G39" s="67"/>
      <c r="H39" s="519"/>
      <c r="I39" s="67"/>
      <c r="J39" s="67">
        <v>1000.0</v>
      </c>
      <c r="K39" s="69">
        <f t="shared" si="5"/>
        <v>0</v>
      </c>
      <c r="L39" s="67"/>
      <c r="M39" s="67"/>
      <c r="N39" s="521">
        <v>2050.0</v>
      </c>
      <c r="O39" s="521">
        <v>-700.0</v>
      </c>
      <c r="P39" s="522"/>
      <c r="Q39" s="521">
        <f t="shared" si="6"/>
        <v>27907.36</v>
      </c>
      <c r="R39" s="523"/>
    </row>
    <row r="40" ht="14.25" customHeight="1">
      <c r="B40" s="519"/>
      <c r="C40" s="518">
        <v>46004.0</v>
      </c>
      <c r="D40" s="66">
        <v>1.0</v>
      </c>
      <c r="E40" s="67">
        <v>2575.84</v>
      </c>
      <c r="F40" s="67"/>
      <c r="G40" s="67"/>
      <c r="H40" s="519"/>
      <c r="I40" s="67"/>
      <c r="J40" s="67"/>
      <c r="K40" s="69">
        <f t="shared" si="5"/>
        <v>0</v>
      </c>
      <c r="L40" s="67">
        <v>2575.84</v>
      </c>
      <c r="M40" s="67"/>
      <c r="N40" s="521"/>
      <c r="O40" s="521">
        <v>-700.0</v>
      </c>
      <c r="P40" s="522"/>
      <c r="Q40" s="521">
        <f t="shared" si="6"/>
        <v>27207.36</v>
      </c>
      <c r="R40" s="523"/>
    </row>
    <row r="41" ht="14.25" customHeight="1">
      <c r="B41" s="519"/>
      <c r="C41" s="87" t="s">
        <v>117</v>
      </c>
      <c r="D41" s="87"/>
      <c r="E41" s="88"/>
      <c r="F41" s="88"/>
      <c r="G41" s="88"/>
      <c r="H41" s="524"/>
      <c r="I41" s="88"/>
      <c r="J41" s="88"/>
      <c r="K41" s="90">
        <f t="shared" si="5"/>
        <v>0</v>
      </c>
      <c r="L41" s="88"/>
      <c r="M41" s="88"/>
      <c r="N41" s="88"/>
      <c r="O41" s="88"/>
      <c r="P41" s="526"/>
      <c r="Q41" s="88">
        <f t="shared" si="6"/>
        <v>27207.36</v>
      </c>
      <c r="R41" s="524"/>
    </row>
    <row r="42" ht="14.25" customHeight="1">
      <c r="B42" s="519"/>
      <c r="C42" s="66" t="s">
        <v>54</v>
      </c>
      <c r="D42" s="66">
        <v>2.0</v>
      </c>
      <c r="E42" s="67">
        <v>4100.0</v>
      </c>
      <c r="F42" s="67"/>
      <c r="G42" s="67"/>
      <c r="H42" s="519"/>
      <c r="I42" s="67"/>
      <c r="J42" s="67">
        <v>1500.0</v>
      </c>
      <c r="K42" s="69">
        <f t="shared" si="5"/>
        <v>0</v>
      </c>
      <c r="L42" s="67"/>
      <c r="M42" s="67"/>
      <c r="N42" s="521">
        <v>2600.0</v>
      </c>
      <c r="O42" s="521">
        <v>-700.0</v>
      </c>
      <c r="P42" s="522"/>
      <c r="Q42" s="521">
        <f t="shared" si="6"/>
        <v>29107.36</v>
      </c>
      <c r="R42" s="523"/>
    </row>
    <row r="43" ht="14.25" customHeight="1">
      <c r="B43" s="519"/>
      <c r="C43" s="66" t="s">
        <v>32</v>
      </c>
      <c r="D43" s="66">
        <v>1.0</v>
      </c>
      <c r="E43" s="67">
        <v>2000.0</v>
      </c>
      <c r="F43" s="67"/>
      <c r="G43" s="67"/>
      <c r="H43" s="519"/>
      <c r="I43" s="67"/>
      <c r="J43" s="67">
        <v>500.0</v>
      </c>
      <c r="K43" s="69">
        <f t="shared" si="5"/>
        <v>0</v>
      </c>
      <c r="L43" s="67"/>
      <c r="M43" s="67"/>
      <c r="N43" s="521">
        <v>1500.0</v>
      </c>
      <c r="O43" s="521">
        <v>-700.0</v>
      </c>
      <c r="P43" s="522"/>
      <c r="Q43" s="521">
        <f t="shared" si="6"/>
        <v>29907.36</v>
      </c>
      <c r="R43" s="523"/>
    </row>
    <row r="44" ht="14.25" customHeight="1">
      <c r="B44" s="519"/>
      <c r="C44" s="66" t="s">
        <v>33</v>
      </c>
      <c r="D44" s="66">
        <v>1.0</v>
      </c>
      <c r="E44" s="67">
        <v>2800.0</v>
      </c>
      <c r="F44" s="67"/>
      <c r="G44" s="67"/>
      <c r="H44" s="519"/>
      <c r="I44" s="67"/>
      <c r="J44" s="67">
        <v>1000.0</v>
      </c>
      <c r="K44" s="69">
        <f t="shared" si="5"/>
        <v>0</v>
      </c>
      <c r="L44" s="67"/>
      <c r="M44" s="67"/>
      <c r="N44" s="521">
        <v>1800.0</v>
      </c>
      <c r="O44" s="521">
        <v>-700.0</v>
      </c>
      <c r="P44" s="522"/>
      <c r="Q44" s="521">
        <f t="shared" si="6"/>
        <v>31007.36</v>
      </c>
      <c r="R44" s="523"/>
    </row>
    <row r="45" ht="14.25" customHeight="1">
      <c r="B45" s="519"/>
      <c r="C45" s="66" t="s">
        <v>34</v>
      </c>
      <c r="D45" s="66">
        <v>1.0</v>
      </c>
      <c r="E45" s="67">
        <v>2400.0</v>
      </c>
      <c r="F45" s="67">
        <v>400.0</v>
      </c>
      <c r="G45" s="67"/>
      <c r="H45" s="519"/>
      <c r="I45" s="67"/>
      <c r="J45" s="67">
        <v>1000.0</v>
      </c>
      <c r="K45" s="69">
        <f t="shared" si="5"/>
        <v>0</v>
      </c>
      <c r="L45" s="67"/>
      <c r="M45" s="67">
        <v>1800.0</v>
      </c>
      <c r="N45" s="521"/>
      <c r="O45" s="521">
        <v>-700.0</v>
      </c>
      <c r="P45" s="522"/>
      <c r="Q45" s="521">
        <f t="shared" si="6"/>
        <v>30307.36</v>
      </c>
      <c r="R45" s="523"/>
    </row>
    <row r="46" ht="14.25" customHeight="1">
      <c r="B46" s="519"/>
      <c r="C46" s="66" t="s">
        <v>69</v>
      </c>
      <c r="D46" s="66">
        <v>1.0</v>
      </c>
      <c r="E46" s="67">
        <v>2300.0</v>
      </c>
      <c r="F46" s="67"/>
      <c r="G46" s="67"/>
      <c r="H46" s="519"/>
      <c r="I46" s="67"/>
      <c r="J46" s="67">
        <v>500.0</v>
      </c>
      <c r="K46" s="69">
        <f t="shared" si="5"/>
        <v>0</v>
      </c>
      <c r="L46" s="67"/>
      <c r="M46" s="67"/>
      <c r="N46" s="521">
        <v>1800.0</v>
      </c>
      <c r="O46" s="521">
        <v>-700.0</v>
      </c>
      <c r="P46" s="522"/>
      <c r="Q46" s="521">
        <f t="shared" si="6"/>
        <v>31407.36</v>
      </c>
      <c r="R46" s="523"/>
    </row>
    <row r="47" ht="14.25" customHeight="1">
      <c r="B47" s="519"/>
      <c r="C47" s="87" t="s">
        <v>68</v>
      </c>
      <c r="D47" s="87"/>
      <c r="E47" s="88"/>
      <c r="F47" s="88"/>
      <c r="G47" s="88"/>
      <c r="H47" s="524"/>
      <c r="I47" s="88"/>
      <c r="J47" s="88"/>
      <c r="K47" s="90">
        <f t="shared" si="5"/>
        <v>0</v>
      </c>
      <c r="L47" s="88"/>
      <c r="M47" s="88"/>
      <c r="N47" s="88"/>
      <c r="O47" s="88"/>
      <c r="P47" s="526"/>
      <c r="Q47" s="88">
        <f t="shared" si="6"/>
        <v>31407.36</v>
      </c>
      <c r="R47" s="524"/>
    </row>
    <row r="48" ht="14.25" customHeight="1">
      <c r="B48" s="519"/>
      <c r="C48" s="66" t="s">
        <v>37</v>
      </c>
      <c r="D48" s="66">
        <v>1.0</v>
      </c>
      <c r="E48" s="67">
        <v>1800.0</v>
      </c>
      <c r="F48" s="67">
        <v>350.0</v>
      </c>
      <c r="G48" s="67"/>
      <c r="H48" s="519"/>
      <c r="I48" s="67"/>
      <c r="J48" s="67">
        <v>700.0</v>
      </c>
      <c r="K48" s="69">
        <f t="shared" si="5"/>
        <v>0</v>
      </c>
      <c r="L48" s="67"/>
      <c r="M48" s="67"/>
      <c r="N48" s="521">
        <v>1450.0</v>
      </c>
      <c r="O48" s="521">
        <v>-700.0</v>
      </c>
      <c r="P48" s="522"/>
      <c r="Q48" s="521">
        <f t="shared" si="6"/>
        <v>32157.36</v>
      </c>
      <c r="R48" s="523"/>
    </row>
    <row r="49" ht="14.25" customHeight="1">
      <c r="B49" s="519"/>
      <c r="C49" s="66" t="s">
        <v>41</v>
      </c>
      <c r="D49" s="66">
        <v>1.0</v>
      </c>
      <c r="E49" s="67">
        <v>2300.0</v>
      </c>
      <c r="F49" s="67"/>
      <c r="G49" s="67"/>
      <c r="H49" s="519"/>
      <c r="I49" s="67"/>
      <c r="J49" s="67">
        <v>1000.0</v>
      </c>
      <c r="K49" s="69">
        <f t="shared" si="5"/>
        <v>0</v>
      </c>
      <c r="L49" s="67"/>
      <c r="M49" s="67">
        <v>1300.0</v>
      </c>
      <c r="N49" s="521"/>
      <c r="O49" s="521">
        <v>-700.0</v>
      </c>
      <c r="P49" s="522"/>
      <c r="Q49" s="521">
        <f t="shared" si="6"/>
        <v>31457.36</v>
      </c>
      <c r="R49" s="523"/>
      <c r="T49" s="561"/>
      <c r="V49" s="358"/>
    </row>
    <row r="50" ht="14.25" customHeight="1">
      <c r="B50" s="519"/>
      <c r="C50" s="66" t="s">
        <v>44</v>
      </c>
      <c r="D50" s="66">
        <v>1.0</v>
      </c>
      <c r="E50" s="67">
        <v>3000.0</v>
      </c>
      <c r="F50" s="67"/>
      <c r="G50" s="67"/>
      <c r="H50" s="519"/>
      <c r="I50" s="67"/>
      <c r="J50" s="67">
        <v>1000.0</v>
      </c>
      <c r="K50" s="69">
        <f t="shared" si="5"/>
        <v>0</v>
      </c>
      <c r="L50" s="67"/>
      <c r="M50" s="67"/>
      <c r="N50" s="521">
        <v>2000.0</v>
      </c>
      <c r="O50" s="521">
        <v>-700.0</v>
      </c>
      <c r="P50" s="522"/>
      <c r="Q50" s="521">
        <f t="shared" si="6"/>
        <v>32757.36</v>
      </c>
      <c r="R50" s="523"/>
      <c r="T50" s="561"/>
      <c r="V50" s="358"/>
    </row>
    <row r="51" ht="14.25" customHeight="1">
      <c r="B51" s="519"/>
      <c r="C51" s="66" t="s">
        <v>99</v>
      </c>
      <c r="D51" s="66">
        <v>2.0</v>
      </c>
      <c r="E51" s="67">
        <v>5100.0</v>
      </c>
      <c r="F51" s="67"/>
      <c r="G51" s="67"/>
      <c r="H51" s="519"/>
      <c r="I51" s="67"/>
      <c r="J51" s="67">
        <v>1500.0</v>
      </c>
      <c r="K51" s="69">
        <f t="shared" si="5"/>
        <v>0</v>
      </c>
      <c r="L51" s="67"/>
      <c r="M51" s="67"/>
      <c r="N51" s="521">
        <v>3600.0</v>
      </c>
      <c r="O51" s="521">
        <v>-700.0</v>
      </c>
      <c r="P51" s="522"/>
      <c r="Q51" s="521">
        <f t="shared" si="6"/>
        <v>35657.36</v>
      </c>
      <c r="R51" s="523"/>
      <c r="T51" s="561"/>
      <c r="V51" s="563"/>
    </row>
    <row r="52" ht="14.25" customHeight="1">
      <c r="B52" s="519"/>
      <c r="C52" s="66" t="s">
        <v>72</v>
      </c>
      <c r="D52" s="66"/>
      <c r="E52" s="67">
        <v>1250.0</v>
      </c>
      <c r="F52" s="67"/>
      <c r="G52" s="67"/>
      <c r="H52" s="519" t="s">
        <v>81</v>
      </c>
      <c r="I52" s="67"/>
      <c r="J52" s="67">
        <v>1250.0</v>
      </c>
      <c r="K52" s="69"/>
      <c r="L52" s="67"/>
      <c r="M52" s="67"/>
      <c r="N52" s="521"/>
      <c r="O52" s="521"/>
      <c r="P52" s="522"/>
      <c r="Q52" s="521">
        <f t="shared" si="6"/>
        <v>35657.36</v>
      </c>
      <c r="R52" s="523" t="s">
        <v>81</v>
      </c>
      <c r="T52" s="561"/>
      <c r="V52" s="358"/>
    </row>
    <row r="53" ht="14.25" customHeight="1">
      <c r="B53" s="519"/>
      <c r="C53" s="66" t="s">
        <v>72</v>
      </c>
      <c r="D53" s="66">
        <v>1.0</v>
      </c>
      <c r="E53" s="67">
        <v>2300.0</v>
      </c>
      <c r="F53" s="67"/>
      <c r="G53" s="67"/>
      <c r="H53" s="519"/>
      <c r="I53" s="67"/>
      <c r="J53" s="67">
        <v>1000.0</v>
      </c>
      <c r="K53" s="69">
        <f t="shared" ref="K53:K57" si="7">E53-J53-L53-M53-N53-I53+F53</f>
        <v>0</v>
      </c>
      <c r="L53" s="67"/>
      <c r="M53" s="67"/>
      <c r="N53" s="521">
        <v>1300.0</v>
      </c>
      <c r="O53" s="521">
        <v>-700.0</v>
      </c>
      <c r="P53" s="522"/>
      <c r="Q53" s="521">
        <f>Q51+N53+O53+P53</f>
        <v>36257.36</v>
      </c>
      <c r="R53" s="523"/>
      <c r="T53" s="561"/>
      <c r="V53" s="564"/>
    </row>
    <row r="54" ht="14.25" customHeight="1">
      <c r="B54" s="519"/>
      <c r="C54" s="66" t="s">
        <v>73</v>
      </c>
      <c r="D54" s="66">
        <v>1.0</v>
      </c>
      <c r="E54" s="67">
        <v>2000.0</v>
      </c>
      <c r="F54" s="67"/>
      <c r="G54" s="67"/>
      <c r="H54" s="519"/>
      <c r="I54" s="67"/>
      <c r="J54" s="67">
        <v>1000.0</v>
      </c>
      <c r="K54" s="69">
        <f t="shared" si="7"/>
        <v>0</v>
      </c>
      <c r="L54" s="67"/>
      <c r="M54" s="67"/>
      <c r="N54" s="521">
        <v>1000.0</v>
      </c>
      <c r="O54" s="521">
        <v>-700.0</v>
      </c>
      <c r="P54" s="522"/>
      <c r="Q54" s="521">
        <f t="shared" ref="Q54:Q55" si="8">Q53+N54+O54+P54</f>
        <v>36557.36</v>
      </c>
      <c r="R54" s="523"/>
      <c r="V54" s="119"/>
    </row>
    <row r="55" ht="14.25" customHeight="1">
      <c r="B55" s="519"/>
      <c r="C55" s="66" t="s">
        <v>49</v>
      </c>
      <c r="D55" s="66">
        <v>1.0</v>
      </c>
      <c r="E55" s="67">
        <v>2300.0</v>
      </c>
      <c r="F55" s="67"/>
      <c r="G55" s="67"/>
      <c r="H55" s="519"/>
      <c r="I55" s="67"/>
      <c r="J55" s="67">
        <v>1000.0</v>
      </c>
      <c r="K55" s="69">
        <f t="shared" si="7"/>
        <v>0</v>
      </c>
      <c r="L55" s="67"/>
      <c r="M55" s="67"/>
      <c r="N55" s="521">
        <v>1300.0</v>
      </c>
      <c r="O55" s="521">
        <v>-700.0</v>
      </c>
      <c r="P55" s="522"/>
      <c r="Q55" s="521">
        <f t="shared" si="8"/>
        <v>37157.36</v>
      </c>
      <c r="R55" s="523"/>
      <c r="T55" s="565"/>
    </row>
    <row r="56" ht="14.25" customHeight="1">
      <c r="B56" s="519"/>
      <c r="C56" s="66" t="s">
        <v>50</v>
      </c>
      <c r="D56" s="66">
        <v>1.0</v>
      </c>
      <c r="E56" s="67">
        <v>2300.0</v>
      </c>
      <c r="F56" s="67"/>
      <c r="G56" s="67"/>
      <c r="H56" s="519"/>
      <c r="I56" s="67"/>
      <c r="J56" s="67">
        <v>1000.0</v>
      </c>
      <c r="K56" s="69">
        <f t="shared" si="7"/>
        <v>0</v>
      </c>
      <c r="L56" s="67"/>
      <c r="M56" s="67"/>
      <c r="N56" s="521">
        <v>1300.0</v>
      </c>
      <c r="O56" s="521">
        <v>-700.0</v>
      </c>
      <c r="P56" s="522"/>
      <c r="Q56" s="521">
        <f t="shared" ref="Q56:Q59" si="9">Q54+N56+O56+P56</f>
        <v>37157.36</v>
      </c>
      <c r="R56" s="523"/>
    </row>
    <row r="57" ht="14.25" customHeight="1">
      <c r="B57" s="519"/>
      <c r="C57" s="66" t="s">
        <v>52</v>
      </c>
      <c r="D57" s="66">
        <v>1.0</v>
      </c>
      <c r="E57" s="67">
        <v>2500.0</v>
      </c>
      <c r="F57" s="67">
        <v>450.0</v>
      </c>
      <c r="G57" s="67"/>
      <c r="H57" s="519"/>
      <c r="I57" s="67"/>
      <c r="J57" s="67">
        <v>1000.0</v>
      </c>
      <c r="K57" s="69">
        <f t="shared" si="7"/>
        <v>0</v>
      </c>
      <c r="L57" s="67"/>
      <c r="M57" s="67">
        <v>1950.0</v>
      </c>
      <c r="N57" s="521"/>
      <c r="O57" s="521">
        <v>-700.0</v>
      </c>
      <c r="P57" s="522"/>
      <c r="Q57" s="521">
        <f t="shared" si="9"/>
        <v>36457.36</v>
      </c>
      <c r="R57" s="523"/>
    </row>
    <row r="58" ht="14.25" customHeight="1">
      <c r="B58" s="519"/>
      <c r="C58" s="66"/>
      <c r="D58" s="66"/>
      <c r="E58" s="67"/>
      <c r="F58" s="67"/>
      <c r="G58" s="67"/>
      <c r="H58" s="519"/>
      <c r="I58" s="67"/>
      <c r="J58" s="67"/>
      <c r="K58" s="69"/>
      <c r="L58" s="67"/>
      <c r="M58" s="67"/>
      <c r="N58" s="521"/>
      <c r="O58" s="521"/>
      <c r="P58" s="522">
        <v>-5190.19</v>
      </c>
      <c r="Q58" s="521">
        <f t="shared" si="9"/>
        <v>31967.17</v>
      </c>
      <c r="R58" s="523" t="s">
        <v>304</v>
      </c>
    </row>
    <row r="59" ht="14.25" customHeight="1">
      <c r="B59" s="519"/>
      <c r="C59" s="66"/>
      <c r="D59" s="66"/>
      <c r="E59" s="67"/>
      <c r="F59" s="67"/>
      <c r="G59" s="67"/>
      <c r="H59" s="519"/>
      <c r="I59" s="67"/>
      <c r="J59" s="67"/>
      <c r="K59" s="69"/>
      <c r="L59" s="67"/>
      <c r="M59" s="67"/>
      <c r="N59" s="521"/>
      <c r="O59" s="521"/>
      <c r="P59" s="522">
        <v>2313.7</v>
      </c>
      <c r="Q59" s="521">
        <f t="shared" si="9"/>
        <v>38771.06</v>
      </c>
      <c r="R59" s="523" t="s">
        <v>55</v>
      </c>
    </row>
    <row r="60" ht="14.25" customHeight="1">
      <c r="B60" s="519"/>
      <c r="C60" s="66"/>
      <c r="D60" s="66"/>
      <c r="E60" s="67"/>
      <c r="F60" s="67"/>
      <c r="G60" s="67"/>
      <c r="H60" s="519"/>
      <c r="I60" s="67"/>
      <c r="J60" s="67"/>
      <c r="K60" s="69">
        <f t="shared" ref="K60:K61" si="10">E60-J60-L60-M60-N60-I60+F60</f>
        <v>0</v>
      </c>
      <c r="L60" s="67"/>
      <c r="M60" s="67"/>
      <c r="N60" s="521"/>
      <c r="O60" s="521"/>
      <c r="P60" s="522">
        <v>-500.0</v>
      </c>
      <c r="Q60" s="521">
        <f>Q57+N60+O60+P60</f>
        <v>35957.36</v>
      </c>
      <c r="R60" s="523" t="s">
        <v>93</v>
      </c>
    </row>
    <row r="61" ht="14.25" customHeight="1">
      <c r="B61" s="519"/>
      <c r="C61" s="66"/>
      <c r="D61" s="66"/>
      <c r="E61" s="67"/>
      <c r="F61" s="67"/>
      <c r="G61" s="67"/>
      <c r="H61" s="519"/>
      <c r="I61" s="67"/>
      <c r="J61" s="67"/>
      <c r="K61" s="69">
        <f t="shared" si="10"/>
        <v>0</v>
      </c>
      <c r="L61" s="67"/>
      <c r="M61" s="67"/>
      <c r="N61" s="521"/>
      <c r="O61" s="521"/>
      <c r="P61" s="522"/>
      <c r="Q61" s="521">
        <f>Q60+N61+O61+P61</f>
        <v>35957.36</v>
      </c>
      <c r="R61" s="523"/>
    </row>
    <row r="62" ht="14.25" customHeight="1">
      <c r="B62" s="549" t="s">
        <v>96</v>
      </c>
      <c r="C62" s="551" t="s">
        <v>80</v>
      </c>
      <c r="D62" s="551">
        <f>sum(D32:D61)</f>
        <v>26</v>
      </c>
      <c r="E62" s="553">
        <f t="shared" ref="E62:P62" si="11">SUM(E32:E61)</f>
        <v>62493.04</v>
      </c>
      <c r="F62" s="553">
        <f t="shared" si="11"/>
        <v>1650</v>
      </c>
      <c r="G62" s="553">
        <f t="shared" si="11"/>
        <v>0</v>
      </c>
      <c r="H62" s="553">
        <f t="shared" si="11"/>
        <v>0</v>
      </c>
      <c r="I62" s="553">
        <f t="shared" si="11"/>
        <v>0</v>
      </c>
      <c r="J62" s="553">
        <f t="shared" si="11"/>
        <v>20450</v>
      </c>
      <c r="K62" s="553">
        <f t="shared" si="11"/>
        <v>0</v>
      </c>
      <c r="L62" s="553">
        <f t="shared" si="11"/>
        <v>7193.04</v>
      </c>
      <c r="M62" s="553">
        <f t="shared" si="11"/>
        <v>5050</v>
      </c>
      <c r="N62" s="553">
        <f t="shared" si="11"/>
        <v>31450</v>
      </c>
      <c r="O62" s="553">
        <f t="shared" si="11"/>
        <v>-15400</v>
      </c>
      <c r="P62" s="553">
        <f t="shared" si="11"/>
        <v>-3376.49</v>
      </c>
      <c r="Q62" s="557">
        <f>Q61</f>
        <v>35957.36</v>
      </c>
      <c r="R62" s="558"/>
    </row>
    <row r="63" ht="14.25" customHeight="1">
      <c r="B63" s="572" t="s">
        <v>105</v>
      </c>
      <c r="C63" s="573">
        <v>45659.0</v>
      </c>
      <c r="D63" s="241">
        <v>1.0</v>
      </c>
      <c r="E63" s="237">
        <v>2800.0</v>
      </c>
      <c r="F63" s="67"/>
      <c r="G63" s="67"/>
      <c r="H63" s="519"/>
      <c r="I63" s="67"/>
      <c r="J63" s="237">
        <v>1000.0</v>
      </c>
      <c r="K63" s="69">
        <f t="shared" ref="K63:K89" si="12">E63-J63-L63-M63-N63-I63+F63</f>
        <v>0</v>
      </c>
      <c r="L63" s="67"/>
      <c r="M63" s="67"/>
      <c r="N63" s="559">
        <v>1800.0</v>
      </c>
      <c r="O63" s="559">
        <v>-700.0</v>
      </c>
      <c r="P63" s="522"/>
      <c r="Q63" s="521">
        <f t="shared" ref="Q63:Q89" si="13">Q62+N63+O63+P63</f>
        <v>37057.36</v>
      </c>
      <c r="R63" s="523"/>
    </row>
    <row r="64" ht="14.25" customHeight="1">
      <c r="B64" s="519"/>
      <c r="C64" s="573">
        <v>45691.0</v>
      </c>
      <c r="D64" s="241">
        <v>2.0</v>
      </c>
      <c r="E64" s="237">
        <v>2500.0</v>
      </c>
      <c r="F64" s="67"/>
      <c r="G64" s="67"/>
      <c r="H64" s="519"/>
      <c r="I64" s="67"/>
      <c r="J64" s="237">
        <v>1000.0</v>
      </c>
      <c r="K64" s="69">
        <f t="shared" si="12"/>
        <v>0</v>
      </c>
      <c r="L64" s="67"/>
      <c r="M64" s="237">
        <v>1500.0</v>
      </c>
      <c r="N64" s="521"/>
      <c r="O64" s="559">
        <v>-700.0</v>
      </c>
      <c r="P64" s="522"/>
      <c r="Q64" s="521">
        <f t="shared" si="13"/>
        <v>36357.36</v>
      </c>
      <c r="R64" s="523"/>
      <c r="T64" s="561"/>
      <c r="V64" s="358"/>
    </row>
    <row r="65" ht="14.25" customHeight="1">
      <c r="B65" s="519"/>
      <c r="C65" s="573">
        <v>45720.0</v>
      </c>
      <c r="D65" s="241">
        <v>1.0</v>
      </c>
      <c r="E65" s="237">
        <v>2300.0</v>
      </c>
      <c r="F65" s="237">
        <v>450.0</v>
      </c>
      <c r="G65" s="67"/>
      <c r="H65" s="519"/>
      <c r="I65" s="67"/>
      <c r="J65" s="237">
        <v>1000.0</v>
      </c>
      <c r="K65" s="69">
        <f t="shared" si="12"/>
        <v>0</v>
      </c>
      <c r="L65" s="67"/>
      <c r="M65" s="237">
        <v>1750.0</v>
      </c>
      <c r="N65" s="521"/>
      <c r="O65" s="559">
        <v>-700.0</v>
      </c>
      <c r="P65" s="522"/>
      <c r="Q65" s="521">
        <f t="shared" si="13"/>
        <v>35657.36</v>
      </c>
      <c r="R65" s="523"/>
      <c r="T65" s="561"/>
      <c r="V65" s="358"/>
    </row>
    <row r="66" ht="14.25" customHeight="1">
      <c r="B66" s="524"/>
      <c r="C66" s="576">
        <v>45753.0</v>
      </c>
      <c r="D66" s="87"/>
      <c r="E66" s="88"/>
      <c r="F66" s="88"/>
      <c r="G66" s="88"/>
      <c r="H66" s="524"/>
      <c r="I66" s="88"/>
      <c r="J66" s="88"/>
      <c r="K66" s="90">
        <f t="shared" si="12"/>
        <v>0</v>
      </c>
      <c r="L66" s="88"/>
      <c r="M66" s="88"/>
      <c r="N66" s="88"/>
      <c r="O66" s="88"/>
      <c r="P66" s="526"/>
      <c r="Q66" s="88">
        <f t="shared" si="13"/>
        <v>35657.36</v>
      </c>
      <c r="R66" s="524"/>
      <c r="T66" s="561"/>
      <c r="V66" s="358"/>
    </row>
    <row r="67" ht="14.25" customHeight="1">
      <c r="B67" s="519"/>
      <c r="C67" s="573">
        <v>45815.0</v>
      </c>
      <c r="D67" s="241">
        <v>1.0</v>
      </c>
      <c r="E67" s="237">
        <v>2800.0</v>
      </c>
      <c r="F67" s="67"/>
      <c r="G67" s="67"/>
      <c r="H67" s="519"/>
      <c r="I67" s="67"/>
      <c r="J67" s="237">
        <v>500.0</v>
      </c>
      <c r="K67" s="69">
        <f t="shared" si="12"/>
        <v>0</v>
      </c>
      <c r="L67" s="67"/>
      <c r="M67" s="67"/>
      <c r="N67" s="559">
        <v>2300.0</v>
      </c>
      <c r="O67" s="559">
        <v>-700.0</v>
      </c>
      <c r="P67" s="522"/>
      <c r="Q67" s="521">
        <f t="shared" si="13"/>
        <v>37257.36</v>
      </c>
      <c r="R67" s="523"/>
      <c r="T67" s="561"/>
      <c r="V67" s="358"/>
    </row>
    <row r="68" ht="14.25" customHeight="1">
      <c r="B68" s="519"/>
      <c r="C68" s="573">
        <v>45846.0</v>
      </c>
      <c r="D68" s="241">
        <v>1.0</v>
      </c>
      <c r="E68" s="237">
        <v>2850.0</v>
      </c>
      <c r="F68" s="67"/>
      <c r="G68" s="67"/>
      <c r="H68" s="519"/>
      <c r="I68" s="67"/>
      <c r="J68" s="237">
        <v>1200.0</v>
      </c>
      <c r="K68" s="69">
        <f t="shared" si="12"/>
        <v>0</v>
      </c>
      <c r="L68" s="67"/>
      <c r="M68" s="237">
        <v>1650.0</v>
      </c>
      <c r="N68" s="521"/>
      <c r="O68" s="559">
        <v>-700.0</v>
      </c>
      <c r="P68" s="522"/>
      <c r="Q68" s="521">
        <f t="shared" si="13"/>
        <v>36557.36</v>
      </c>
      <c r="R68" s="523"/>
      <c r="T68" s="561"/>
      <c r="V68" s="358"/>
    </row>
    <row r="69" ht="14.25" customHeight="1">
      <c r="B69" s="519"/>
      <c r="C69" s="573">
        <v>45879.0</v>
      </c>
      <c r="D69" s="241">
        <v>2.0</v>
      </c>
      <c r="E69" s="237">
        <v>5300.0</v>
      </c>
      <c r="F69" s="67"/>
      <c r="G69" s="67"/>
      <c r="H69" s="519"/>
      <c r="I69" s="67"/>
      <c r="J69" s="237">
        <v>1500.0</v>
      </c>
      <c r="K69" s="69">
        <f t="shared" si="12"/>
        <v>0</v>
      </c>
      <c r="L69" s="67"/>
      <c r="M69" s="67"/>
      <c r="N69" s="559">
        <v>3800.0</v>
      </c>
      <c r="O69" s="559">
        <v>-700.0</v>
      </c>
      <c r="P69" s="522"/>
      <c r="Q69" s="521">
        <f t="shared" si="13"/>
        <v>39657.36</v>
      </c>
      <c r="R69" s="523"/>
      <c r="T69" s="561"/>
      <c r="V69" s="358"/>
    </row>
    <row r="70" ht="14.25" customHeight="1">
      <c r="B70" s="519"/>
      <c r="C70" s="573">
        <v>45941.0</v>
      </c>
      <c r="D70" s="241">
        <v>1.0</v>
      </c>
      <c r="E70" s="237">
        <f>2800+500</f>
        <v>3300</v>
      </c>
      <c r="F70" s="237">
        <v>250.0</v>
      </c>
      <c r="G70" s="67"/>
      <c r="H70" s="519"/>
      <c r="I70" s="67"/>
      <c r="J70" s="237">
        <v>1000.0</v>
      </c>
      <c r="K70" s="69">
        <f t="shared" si="12"/>
        <v>0</v>
      </c>
      <c r="L70" s="67"/>
      <c r="M70" s="237">
        <v>250.0</v>
      </c>
      <c r="N70" s="559">
        <v>2300.0</v>
      </c>
      <c r="O70" s="559">
        <v>-700.0</v>
      </c>
      <c r="P70" s="522"/>
      <c r="Q70" s="521">
        <f t="shared" si="13"/>
        <v>41257.36</v>
      </c>
      <c r="R70" s="588" t="s">
        <v>85</v>
      </c>
      <c r="T70" s="561"/>
      <c r="V70" s="358"/>
    </row>
    <row r="71" ht="14.25" customHeight="1">
      <c r="B71" s="524"/>
      <c r="C71" s="576">
        <v>45974.0</v>
      </c>
      <c r="D71" s="87"/>
      <c r="E71" s="88"/>
      <c r="F71" s="88"/>
      <c r="G71" s="88"/>
      <c r="H71" s="524"/>
      <c r="I71" s="88"/>
      <c r="J71" s="88"/>
      <c r="K71" s="90">
        <f t="shared" si="12"/>
        <v>0</v>
      </c>
      <c r="L71" s="88"/>
      <c r="M71" s="88"/>
      <c r="N71" s="88"/>
      <c r="O71" s="88"/>
      <c r="P71" s="526"/>
      <c r="Q71" s="88">
        <f t="shared" si="13"/>
        <v>41257.36</v>
      </c>
      <c r="R71" s="524"/>
      <c r="T71" s="561"/>
      <c r="V71" s="358"/>
    </row>
    <row r="72" ht="14.25" customHeight="1">
      <c r="B72" s="519"/>
      <c r="C72" s="241" t="s">
        <v>46</v>
      </c>
      <c r="D72" s="241">
        <v>1.0</v>
      </c>
      <c r="E72" s="237">
        <v>2300.0</v>
      </c>
      <c r="F72" s="67"/>
      <c r="G72" s="67"/>
      <c r="H72" s="519"/>
      <c r="I72" s="67"/>
      <c r="J72" s="237">
        <v>500.0</v>
      </c>
      <c r="K72" s="69">
        <f t="shared" si="12"/>
        <v>0</v>
      </c>
      <c r="L72" s="67"/>
      <c r="M72" s="237">
        <v>1800.0</v>
      </c>
      <c r="N72" s="521"/>
      <c r="O72" s="559">
        <v>-700.0</v>
      </c>
      <c r="P72" s="522"/>
      <c r="Q72" s="521">
        <f t="shared" si="13"/>
        <v>40557.36</v>
      </c>
      <c r="R72" s="523"/>
      <c r="T72" s="561"/>
      <c r="V72" s="358"/>
    </row>
    <row r="73" ht="14.25" customHeight="1">
      <c r="B73" s="519"/>
      <c r="C73" s="241" t="s">
        <v>29</v>
      </c>
      <c r="D73" s="241">
        <v>1.0</v>
      </c>
      <c r="E73" s="237">
        <v>2200.0</v>
      </c>
      <c r="F73" s="67"/>
      <c r="G73" s="67"/>
      <c r="H73" s="519"/>
      <c r="I73" s="67"/>
      <c r="J73" s="237">
        <v>1000.0</v>
      </c>
      <c r="K73" s="69">
        <f t="shared" si="12"/>
        <v>0</v>
      </c>
      <c r="L73" s="67"/>
      <c r="M73" s="67"/>
      <c r="N73" s="559">
        <v>1200.0</v>
      </c>
      <c r="O73" s="559">
        <v>-700.0</v>
      </c>
      <c r="P73" s="522"/>
      <c r="Q73" s="521">
        <f t="shared" si="13"/>
        <v>41057.36</v>
      </c>
      <c r="R73" s="523"/>
      <c r="T73" s="561"/>
      <c r="V73" s="358"/>
    </row>
    <row r="74" ht="14.25" customHeight="1">
      <c r="B74" s="519"/>
      <c r="C74" s="241" t="s">
        <v>30</v>
      </c>
      <c r="D74" s="241">
        <v>1.0</v>
      </c>
      <c r="E74" s="237">
        <v>2800.0</v>
      </c>
      <c r="F74" s="67"/>
      <c r="G74" s="67"/>
      <c r="H74" s="519"/>
      <c r="I74" s="67"/>
      <c r="J74" s="237">
        <v>1000.0</v>
      </c>
      <c r="K74" s="69">
        <f t="shared" si="12"/>
        <v>0</v>
      </c>
      <c r="L74" s="67"/>
      <c r="M74" s="237"/>
      <c r="N74" s="559">
        <v>1800.0</v>
      </c>
      <c r="O74" s="559">
        <v>-700.0</v>
      </c>
      <c r="P74" s="522"/>
      <c r="Q74" s="521">
        <f t="shared" si="13"/>
        <v>42157.36</v>
      </c>
      <c r="R74" s="523"/>
      <c r="T74" s="561"/>
      <c r="V74" s="358"/>
    </row>
    <row r="75" ht="14.25" customHeight="1">
      <c r="B75" s="519"/>
      <c r="C75" s="241" t="s">
        <v>31</v>
      </c>
      <c r="D75" s="241">
        <v>1.0</v>
      </c>
      <c r="E75" s="237">
        <v>2500.0</v>
      </c>
      <c r="F75" s="237">
        <v>350.0</v>
      </c>
      <c r="G75" s="67"/>
      <c r="H75" s="519"/>
      <c r="I75" s="67"/>
      <c r="J75" s="237">
        <v>1000.0</v>
      </c>
      <c r="K75" s="69">
        <f t="shared" si="12"/>
        <v>0</v>
      </c>
      <c r="L75" s="67"/>
      <c r="M75" s="67"/>
      <c r="N75" s="559">
        <v>1850.0</v>
      </c>
      <c r="O75" s="559">
        <v>-700.0</v>
      </c>
      <c r="P75" s="522"/>
      <c r="Q75" s="521">
        <f t="shared" si="13"/>
        <v>43307.36</v>
      </c>
      <c r="R75" s="523"/>
      <c r="T75" s="561"/>
      <c r="V75" s="358"/>
    </row>
    <row r="76" ht="14.25" customHeight="1">
      <c r="B76" s="524"/>
      <c r="C76" s="299" t="s">
        <v>32</v>
      </c>
      <c r="D76" s="87"/>
      <c r="E76" s="88"/>
      <c r="F76" s="88"/>
      <c r="G76" s="88"/>
      <c r="H76" s="524"/>
      <c r="I76" s="88"/>
      <c r="J76" s="88"/>
      <c r="K76" s="90">
        <f t="shared" si="12"/>
        <v>0</v>
      </c>
      <c r="L76" s="88"/>
      <c r="M76" s="88"/>
      <c r="N76" s="88"/>
      <c r="O76" s="88"/>
      <c r="P76" s="526"/>
      <c r="Q76" s="88">
        <f t="shared" si="13"/>
        <v>43307.36</v>
      </c>
      <c r="R76" s="524"/>
      <c r="T76" s="561"/>
      <c r="V76" s="358"/>
    </row>
    <row r="77" ht="14.25" customHeight="1">
      <c r="B77" s="519"/>
      <c r="C77" s="241" t="s">
        <v>33</v>
      </c>
      <c r="D77" s="241">
        <v>1.0</v>
      </c>
      <c r="E77" s="237">
        <v>1886.65</v>
      </c>
      <c r="F77" s="67"/>
      <c r="G77" s="67"/>
      <c r="H77" s="519"/>
      <c r="I77" s="67"/>
      <c r="J77" s="67"/>
      <c r="K77" s="69">
        <f t="shared" si="12"/>
        <v>0</v>
      </c>
      <c r="L77" s="237">
        <v>1886.65</v>
      </c>
      <c r="M77" s="67"/>
      <c r="N77" s="521"/>
      <c r="O77" s="559">
        <v>-700.0</v>
      </c>
      <c r="P77" s="522"/>
      <c r="Q77" s="521">
        <f t="shared" si="13"/>
        <v>42607.36</v>
      </c>
      <c r="R77" s="523"/>
      <c r="T77" s="561"/>
      <c r="V77" s="358"/>
    </row>
    <row r="78" ht="14.25" customHeight="1">
      <c r="B78" s="519"/>
      <c r="C78" s="241" t="s">
        <v>64</v>
      </c>
      <c r="D78" s="241">
        <v>2.0</v>
      </c>
      <c r="E78" s="237">
        <v>4100.0</v>
      </c>
      <c r="F78" s="67"/>
      <c r="G78" s="67"/>
      <c r="H78" s="519"/>
      <c r="I78" s="67"/>
      <c r="J78" s="237">
        <v>1500.0</v>
      </c>
      <c r="K78" s="69">
        <f t="shared" si="12"/>
        <v>0</v>
      </c>
      <c r="L78" s="67"/>
      <c r="M78" s="67"/>
      <c r="N78" s="559">
        <v>2600.0</v>
      </c>
      <c r="O78" s="559">
        <v>-700.0</v>
      </c>
      <c r="P78" s="522"/>
      <c r="Q78" s="521">
        <f t="shared" si="13"/>
        <v>44507.36</v>
      </c>
      <c r="R78" s="523"/>
      <c r="T78" s="561"/>
      <c r="V78" s="358"/>
    </row>
    <row r="79" ht="14.25" customHeight="1">
      <c r="B79" s="519"/>
      <c r="C79" s="241" t="s">
        <v>68</v>
      </c>
      <c r="D79" s="241">
        <v>1.0</v>
      </c>
      <c r="E79" s="237">
        <v>2500.0</v>
      </c>
      <c r="F79" s="67"/>
      <c r="G79" s="67"/>
      <c r="H79" s="519"/>
      <c r="I79" s="67"/>
      <c r="J79" s="237">
        <v>1000.0</v>
      </c>
      <c r="K79" s="69">
        <f t="shared" si="12"/>
        <v>0</v>
      </c>
      <c r="L79" s="67"/>
      <c r="M79" s="67"/>
      <c r="N79" s="559">
        <v>1500.0</v>
      </c>
      <c r="O79" s="559">
        <v>-700.0</v>
      </c>
      <c r="P79" s="522"/>
      <c r="Q79" s="521">
        <f t="shared" si="13"/>
        <v>45307.36</v>
      </c>
      <c r="R79" s="523"/>
      <c r="T79" s="561"/>
      <c r="V79" s="563"/>
    </row>
    <row r="80" ht="14.25" customHeight="1">
      <c r="B80" s="519"/>
      <c r="C80" s="241" t="s">
        <v>37</v>
      </c>
      <c r="D80" s="241">
        <v>1.0</v>
      </c>
      <c r="E80" s="237">
        <v>2800.0</v>
      </c>
      <c r="F80" s="237">
        <v>450.0</v>
      </c>
      <c r="G80" s="67"/>
      <c r="H80" s="519"/>
      <c r="I80" s="67"/>
      <c r="J80" s="237">
        <v>1250.0</v>
      </c>
      <c r="K80" s="69">
        <f t="shared" si="12"/>
        <v>0</v>
      </c>
      <c r="L80" s="67"/>
      <c r="M80" s="237">
        <v>2000.0</v>
      </c>
      <c r="N80" s="521"/>
      <c r="O80" s="559">
        <v>-700.0</v>
      </c>
      <c r="P80" s="522"/>
      <c r="Q80" s="521">
        <f t="shared" si="13"/>
        <v>44607.36</v>
      </c>
      <c r="R80" s="523"/>
      <c r="T80" s="561"/>
      <c r="V80" s="358"/>
    </row>
    <row r="81" ht="14.25" customHeight="1">
      <c r="B81" s="519"/>
      <c r="C81" s="241" t="s">
        <v>41</v>
      </c>
      <c r="D81" s="241">
        <v>1.0</v>
      </c>
      <c r="E81" s="237">
        <v>2200.0</v>
      </c>
      <c r="F81" s="67"/>
      <c r="G81" s="67"/>
      <c r="H81" s="519"/>
      <c r="I81" s="67"/>
      <c r="J81" s="237">
        <v>500.0</v>
      </c>
      <c r="K81" s="69">
        <f t="shared" si="12"/>
        <v>0</v>
      </c>
      <c r="L81" s="67"/>
      <c r="M81" s="67"/>
      <c r="N81" s="559">
        <v>1700.0</v>
      </c>
      <c r="O81" s="559">
        <v>-700.0</v>
      </c>
      <c r="P81" s="522"/>
      <c r="Q81" s="521">
        <f t="shared" si="13"/>
        <v>45607.36</v>
      </c>
      <c r="R81" s="523"/>
      <c r="T81" s="561"/>
      <c r="V81" s="564"/>
    </row>
    <row r="82" ht="14.25" customHeight="1">
      <c r="B82" s="519"/>
      <c r="C82" s="241" t="s">
        <v>44</v>
      </c>
      <c r="D82" s="241">
        <v>1.0</v>
      </c>
      <c r="E82" s="237">
        <v>1886.65</v>
      </c>
      <c r="F82" s="67"/>
      <c r="G82" s="67"/>
      <c r="H82" s="519"/>
      <c r="I82" s="67"/>
      <c r="J82" s="67"/>
      <c r="K82" s="69">
        <f t="shared" si="12"/>
        <v>0</v>
      </c>
      <c r="L82" s="237">
        <v>1886.65</v>
      </c>
      <c r="M82" s="67"/>
      <c r="N82" s="521"/>
      <c r="O82" s="559">
        <v>-700.0</v>
      </c>
      <c r="P82" s="522"/>
      <c r="Q82" s="521">
        <f t="shared" si="13"/>
        <v>44907.36</v>
      </c>
      <c r="R82" s="523"/>
      <c r="V82" s="119"/>
    </row>
    <row r="83" ht="14.25" customHeight="1">
      <c r="B83" s="519"/>
      <c r="C83" s="241" t="s">
        <v>99</v>
      </c>
      <c r="D83" s="241">
        <v>2.0</v>
      </c>
      <c r="E83" s="237">
        <v>4100.0</v>
      </c>
      <c r="F83" s="67"/>
      <c r="G83" s="67"/>
      <c r="H83" s="519"/>
      <c r="I83" s="67"/>
      <c r="J83" s="237">
        <v>1500.0</v>
      </c>
      <c r="K83" s="69">
        <f t="shared" si="12"/>
        <v>0</v>
      </c>
      <c r="L83" s="67"/>
      <c r="M83" s="67"/>
      <c r="N83" s="559">
        <v>2600.0</v>
      </c>
      <c r="O83" s="559">
        <v>-700.0</v>
      </c>
      <c r="P83" s="522"/>
      <c r="Q83" s="521">
        <f t="shared" si="13"/>
        <v>46807.36</v>
      </c>
      <c r="R83" s="523"/>
      <c r="T83" s="565"/>
    </row>
    <row r="84" ht="14.25" customHeight="1">
      <c r="B84" s="519"/>
      <c r="C84" s="241" t="s">
        <v>72</v>
      </c>
      <c r="D84" s="241">
        <v>1.0</v>
      </c>
      <c r="E84" s="237">
        <v>1886.65</v>
      </c>
      <c r="F84" s="67"/>
      <c r="G84" s="67"/>
      <c r="H84" s="519"/>
      <c r="I84" s="67"/>
      <c r="J84" s="67"/>
      <c r="K84" s="69">
        <f t="shared" si="12"/>
        <v>0</v>
      </c>
      <c r="L84" s="237">
        <v>1886.65</v>
      </c>
      <c r="M84" s="67"/>
      <c r="N84" s="521"/>
      <c r="O84" s="559">
        <v>-700.0</v>
      </c>
      <c r="P84" s="522"/>
      <c r="Q84" s="521">
        <f t="shared" si="13"/>
        <v>46107.36</v>
      </c>
      <c r="R84" s="523"/>
    </row>
    <row r="85" ht="14.25" customHeight="1">
      <c r="B85" s="519"/>
      <c r="C85" s="241" t="s">
        <v>74</v>
      </c>
      <c r="D85" s="241">
        <v>1.0</v>
      </c>
      <c r="E85" s="237">
        <v>2200.0</v>
      </c>
      <c r="F85" s="67"/>
      <c r="G85" s="67"/>
      <c r="H85" s="519"/>
      <c r="I85" s="67"/>
      <c r="J85" s="237">
        <v>500.0</v>
      </c>
      <c r="K85" s="69">
        <f t="shared" si="12"/>
        <v>0</v>
      </c>
      <c r="L85" s="67"/>
      <c r="M85" s="67"/>
      <c r="N85" s="559">
        <v>1700.0</v>
      </c>
      <c r="O85" s="559">
        <v>-700.0</v>
      </c>
      <c r="P85" s="522"/>
      <c r="Q85" s="521">
        <f t="shared" si="13"/>
        <v>47107.36</v>
      </c>
      <c r="R85" s="523"/>
    </row>
    <row r="86" ht="14.25" customHeight="1">
      <c r="B86" s="519"/>
      <c r="C86" s="66"/>
      <c r="D86" s="66"/>
      <c r="E86" s="67"/>
      <c r="F86" s="67"/>
      <c r="G86" s="67"/>
      <c r="H86" s="519"/>
      <c r="I86" s="67"/>
      <c r="J86" s="67"/>
      <c r="K86" s="69">
        <f t="shared" si="12"/>
        <v>0</v>
      </c>
      <c r="L86" s="67"/>
      <c r="M86" s="67"/>
      <c r="N86" s="521"/>
      <c r="O86" s="521"/>
      <c r="P86" s="607">
        <v>-5662.34</v>
      </c>
      <c r="Q86" s="521">
        <f t="shared" si="13"/>
        <v>41445.02</v>
      </c>
      <c r="R86" s="523" t="s">
        <v>304</v>
      </c>
    </row>
    <row r="87" ht="14.25" customHeight="1">
      <c r="B87" s="519"/>
      <c r="C87" s="66"/>
      <c r="D87" s="66"/>
      <c r="E87" s="67"/>
      <c r="F87" s="67"/>
      <c r="G87" s="67"/>
      <c r="H87" s="519"/>
      <c r="I87" s="67"/>
      <c r="J87" s="67"/>
      <c r="K87" s="69">
        <f t="shared" si="12"/>
        <v>0</v>
      </c>
      <c r="L87" s="67"/>
      <c r="M87" s="67"/>
      <c r="N87" s="521"/>
      <c r="O87" s="521"/>
      <c r="P87" s="607">
        <v>-1813.91</v>
      </c>
      <c r="Q87" s="521">
        <f t="shared" si="13"/>
        <v>39631.11</v>
      </c>
      <c r="R87" s="523" t="s">
        <v>55</v>
      </c>
    </row>
    <row r="88" ht="14.25" customHeight="1">
      <c r="B88" s="519"/>
      <c r="C88" s="66"/>
      <c r="D88" s="66"/>
      <c r="E88" s="67"/>
      <c r="F88" s="67"/>
      <c r="G88" s="67"/>
      <c r="H88" s="519"/>
      <c r="I88" s="67"/>
      <c r="J88" s="67"/>
      <c r="K88" s="69">
        <f t="shared" si="12"/>
        <v>0</v>
      </c>
      <c r="L88" s="67"/>
      <c r="M88" s="67"/>
      <c r="N88" s="521"/>
      <c r="O88" s="521"/>
      <c r="P88" s="607">
        <v>-500.0</v>
      </c>
      <c r="Q88" s="521">
        <f t="shared" si="13"/>
        <v>39131.11</v>
      </c>
      <c r="R88" s="523" t="s">
        <v>93</v>
      </c>
    </row>
    <row r="89" ht="14.25" customHeight="1">
      <c r="B89" s="519"/>
      <c r="C89" s="66"/>
      <c r="D89" s="66"/>
      <c r="E89" s="67"/>
      <c r="F89" s="67"/>
      <c r="G89" s="67"/>
      <c r="H89" s="519"/>
      <c r="I89" s="67"/>
      <c r="J89" s="67"/>
      <c r="K89" s="69">
        <f t="shared" si="12"/>
        <v>0</v>
      </c>
      <c r="L89" s="67"/>
      <c r="M89" s="67"/>
      <c r="N89" s="521"/>
      <c r="O89" s="521"/>
      <c r="P89" s="607">
        <v>-39131.11</v>
      </c>
      <c r="Q89" s="521">
        <f t="shared" si="13"/>
        <v>0</v>
      </c>
      <c r="R89" s="523"/>
    </row>
    <row r="90" ht="14.25" customHeight="1">
      <c r="B90" s="611" t="s">
        <v>105</v>
      </c>
      <c r="C90" s="551" t="s">
        <v>80</v>
      </c>
      <c r="D90" s="551">
        <f>sum(D63:D89)</f>
        <v>24</v>
      </c>
      <c r="E90" s="553">
        <f t="shared" ref="E90:P90" si="14">SUM(E63:E89)</f>
        <v>55209.95</v>
      </c>
      <c r="F90" s="553">
        <f t="shared" si="14"/>
        <v>1500</v>
      </c>
      <c r="G90" s="553">
        <f t="shared" si="14"/>
        <v>0</v>
      </c>
      <c r="H90" s="553">
        <f t="shared" si="14"/>
        <v>0</v>
      </c>
      <c r="I90" s="553">
        <f t="shared" si="14"/>
        <v>0</v>
      </c>
      <c r="J90" s="553">
        <f t="shared" si="14"/>
        <v>16950</v>
      </c>
      <c r="K90" s="553">
        <f t="shared" si="14"/>
        <v>0</v>
      </c>
      <c r="L90" s="553">
        <f t="shared" si="14"/>
        <v>5659.95</v>
      </c>
      <c r="M90" s="553">
        <f t="shared" si="14"/>
        <v>8950</v>
      </c>
      <c r="N90" s="553">
        <f t="shared" si="14"/>
        <v>25150</v>
      </c>
      <c r="O90" s="553">
        <f t="shared" si="14"/>
        <v>-14000</v>
      </c>
      <c r="P90" s="553">
        <f t="shared" si="14"/>
        <v>-47107.36</v>
      </c>
      <c r="Q90" s="557">
        <f>Q89</f>
        <v>0</v>
      </c>
      <c r="R90" s="558"/>
    </row>
    <row r="91" ht="14.25" customHeight="1">
      <c r="B91" s="612" t="s">
        <v>91</v>
      </c>
      <c r="C91" s="573">
        <v>45659.0</v>
      </c>
      <c r="D91" s="241">
        <v>1.0</v>
      </c>
      <c r="E91" s="237">
        <v>2700.0</v>
      </c>
      <c r="F91" s="67"/>
      <c r="G91" s="67"/>
      <c r="H91" s="519"/>
      <c r="I91" s="67"/>
      <c r="J91" s="237">
        <v>700.0</v>
      </c>
      <c r="K91" s="69">
        <f t="shared" ref="K91:K114" si="15">E91-J91-L91-M91-N91-I91+F91</f>
        <v>0</v>
      </c>
      <c r="L91" s="67"/>
      <c r="M91" s="67"/>
      <c r="N91" s="559">
        <v>2000.0</v>
      </c>
      <c r="O91" s="559">
        <v>-700.0</v>
      </c>
      <c r="P91" s="522"/>
      <c r="Q91" s="521">
        <f t="shared" ref="Q91:Q116" si="16">Q90+N91+O91+P91</f>
        <v>1300</v>
      </c>
      <c r="R91" s="523"/>
    </row>
    <row r="92" ht="14.25" hidden="1" customHeight="1">
      <c r="B92" s="524"/>
      <c r="C92" s="576">
        <v>45692.0</v>
      </c>
      <c r="D92" s="87"/>
      <c r="E92" s="88"/>
      <c r="F92" s="88"/>
      <c r="G92" s="88"/>
      <c r="H92" s="524"/>
      <c r="I92" s="88"/>
      <c r="J92" s="88"/>
      <c r="K92" s="90">
        <f t="shared" si="15"/>
        <v>0</v>
      </c>
      <c r="L92" s="88"/>
      <c r="M92" s="88"/>
      <c r="N92" s="88"/>
      <c r="O92" s="88"/>
      <c r="P92" s="526"/>
      <c r="Q92" s="88">
        <f t="shared" si="16"/>
        <v>1300</v>
      </c>
      <c r="R92" s="524"/>
    </row>
    <row r="93" ht="14.25" customHeight="1">
      <c r="B93" s="519"/>
      <c r="C93" s="573">
        <v>45752.0</v>
      </c>
      <c r="D93" s="241">
        <v>1.0</v>
      </c>
      <c r="E93" s="237">
        <v>2700.0</v>
      </c>
      <c r="F93" s="67"/>
      <c r="G93" s="67"/>
      <c r="H93" s="519"/>
      <c r="I93" s="67"/>
      <c r="J93" s="237">
        <v>1000.0</v>
      </c>
      <c r="K93" s="69">
        <f t="shared" si="15"/>
        <v>0</v>
      </c>
      <c r="L93" s="67"/>
      <c r="M93" s="237">
        <v>1700.0</v>
      </c>
      <c r="N93" s="521"/>
      <c r="O93" s="559">
        <v>-700.0</v>
      </c>
      <c r="P93" s="522"/>
      <c r="Q93" s="521">
        <f t="shared" si="16"/>
        <v>600</v>
      </c>
      <c r="R93" s="523"/>
    </row>
    <row r="94" ht="14.25" customHeight="1">
      <c r="B94" s="519"/>
      <c r="C94" s="573">
        <v>45783.0</v>
      </c>
      <c r="D94" s="241">
        <v>1.0</v>
      </c>
      <c r="E94" s="237">
        <v>1886.65</v>
      </c>
      <c r="F94" s="67"/>
      <c r="G94" s="67"/>
      <c r="H94" s="612" t="s">
        <v>42</v>
      </c>
      <c r="I94" s="67"/>
      <c r="J94" s="237"/>
      <c r="K94" s="69">
        <f t="shared" si="15"/>
        <v>0</v>
      </c>
      <c r="L94" s="237">
        <v>1886.65</v>
      </c>
      <c r="M94" s="67"/>
      <c r="N94" s="521"/>
      <c r="O94" s="559">
        <v>-700.0</v>
      </c>
      <c r="P94" s="522"/>
      <c r="Q94" s="521">
        <f t="shared" si="16"/>
        <v>-100</v>
      </c>
      <c r="R94" s="523"/>
    </row>
    <row r="95" ht="14.25" customHeight="1">
      <c r="B95" s="519"/>
      <c r="C95" s="573">
        <v>45815.0</v>
      </c>
      <c r="D95" s="241">
        <v>1.0</v>
      </c>
      <c r="E95" s="237">
        <v>2550.0</v>
      </c>
      <c r="F95" s="67"/>
      <c r="G95" s="67"/>
      <c r="H95" s="519"/>
      <c r="I95" s="67"/>
      <c r="J95" s="237">
        <v>1000.0</v>
      </c>
      <c r="K95" s="69">
        <f t="shared" si="15"/>
        <v>0</v>
      </c>
      <c r="L95" s="67"/>
      <c r="M95" s="67"/>
      <c r="N95" s="559">
        <v>1550.0</v>
      </c>
      <c r="O95" s="559">
        <v>-700.0</v>
      </c>
      <c r="P95" s="522"/>
      <c r="Q95" s="521">
        <f t="shared" si="16"/>
        <v>750</v>
      </c>
      <c r="R95" s="523"/>
    </row>
    <row r="96" ht="14.25" customHeight="1">
      <c r="B96" s="519"/>
      <c r="C96" s="573">
        <v>45847.0</v>
      </c>
      <c r="D96" s="241">
        <v>2.0</v>
      </c>
      <c r="E96" s="237">
        <v>5000.0</v>
      </c>
      <c r="F96" s="67"/>
      <c r="G96" s="67"/>
      <c r="H96" s="519"/>
      <c r="I96" s="67"/>
      <c r="J96" s="237">
        <v>1500.0</v>
      </c>
      <c r="K96" s="69">
        <f t="shared" si="15"/>
        <v>0</v>
      </c>
      <c r="L96" s="237">
        <v>3500.0</v>
      </c>
      <c r="M96" s="67"/>
      <c r="N96" s="521"/>
      <c r="O96" s="559">
        <v>-700.0</v>
      </c>
      <c r="P96" s="522"/>
      <c r="Q96" s="521">
        <f t="shared" si="16"/>
        <v>50</v>
      </c>
      <c r="R96" s="523"/>
    </row>
    <row r="97" ht="14.25" customHeight="1">
      <c r="B97" s="519"/>
      <c r="C97" s="573">
        <v>45911.0</v>
      </c>
      <c r="D97" s="241">
        <v>2.0</v>
      </c>
      <c r="E97" s="237">
        <f>200+4300</f>
        <v>4500</v>
      </c>
      <c r="F97" s="67"/>
      <c r="G97" s="67"/>
      <c r="H97" s="519"/>
      <c r="I97" s="67"/>
      <c r="J97" s="237">
        <v>1500.0</v>
      </c>
      <c r="K97" s="69">
        <f t="shared" si="15"/>
        <v>0</v>
      </c>
      <c r="L97" s="67"/>
      <c r="M97" s="67"/>
      <c r="N97" s="559">
        <f>200+2800</f>
        <v>3000</v>
      </c>
      <c r="O97" s="559">
        <v>-700.0</v>
      </c>
      <c r="P97" s="522"/>
      <c r="Q97" s="521">
        <f t="shared" si="16"/>
        <v>2350</v>
      </c>
      <c r="R97" s="523"/>
    </row>
    <row r="98" ht="14.25" hidden="1" customHeight="1">
      <c r="B98" s="524"/>
      <c r="C98" s="576">
        <v>45975.0</v>
      </c>
      <c r="D98" s="87"/>
      <c r="E98" s="88"/>
      <c r="F98" s="88"/>
      <c r="G98" s="88"/>
      <c r="H98" s="524"/>
      <c r="I98" s="88"/>
      <c r="J98" s="88"/>
      <c r="K98" s="90">
        <f t="shared" si="15"/>
        <v>0</v>
      </c>
      <c r="L98" s="88"/>
      <c r="M98" s="88"/>
      <c r="N98" s="88"/>
      <c r="O98" s="88"/>
      <c r="P98" s="526"/>
      <c r="Q98" s="88">
        <f t="shared" si="16"/>
        <v>2350</v>
      </c>
      <c r="R98" s="524"/>
    </row>
    <row r="99" ht="14.25" customHeight="1">
      <c r="B99" s="519"/>
      <c r="C99" s="241" t="s">
        <v>101</v>
      </c>
      <c r="D99" s="241">
        <v>2.0</v>
      </c>
      <c r="E99" s="237">
        <v>4800.0</v>
      </c>
      <c r="F99" s="67"/>
      <c r="G99" s="67"/>
      <c r="H99" s="519"/>
      <c r="I99" s="67"/>
      <c r="J99" s="237">
        <v>1500.0</v>
      </c>
      <c r="K99" s="69">
        <f t="shared" si="15"/>
        <v>0</v>
      </c>
      <c r="L99" s="67"/>
      <c r="M99" s="237">
        <v>3300.0</v>
      </c>
      <c r="N99" s="521"/>
      <c r="O99" s="559">
        <v>-700.0</v>
      </c>
      <c r="P99" s="522"/>
      <c r="Q99" s="521">
        <f t="shared" si="16"/>
        <v>1650</v>
      </c>
      <c r="R99" s="523"/>
    </row>
    <row r="100" ht="14.25" customHeight="1">
      <c r="B100" s="519"/>
      <c r="C100" s="241" t="s">
        <v>31</v>
      </c>
      <c r="D100" s="241">
        <v>1.0</v>
      </c>
      <c r="E100" s="237">
        <v>2300.0</v>
      </c>
      <c r="F100" s="67"/>
      <c r="G100" s="67"/>
      <c r="H100" s="519"/>
      <c r="I100" s="67"/>
      <c r="J100" s="237">
        <v>1000.0</v>
      </c>
      <c r="K100" s="69">
        <f t="shared" si="15"/>
        <v>0</v>
      </c>
      <c r="L100" s="67"/>
      <c r="M100" s="67"/>
      <c r="N100" s="559">
        <v>1300.0</v>
      </c>
      <c r="O100" s="559">
        <v>-700.0</v>
      </c>
      <c r="P100" s="522"/>
      <c r="Q100" s="521">
        <f t="shared" si="16"/>
        <v>2250</v>
      </c>
      <c r="R100" s="523"/>
    </row>
    <row r="101" ht="14.25" hidden="1" customHeight="1">
      <c r="B101" s="524"/>
      <c r="C101" s="299" t="s">
        <v>56</v>
      </c>
      <c r="D101" s="87"/>
      <c r="E101" s="88"/>
      <c r="F101" s="88"/>
      <c r="G101" s="88"/>
      <c r="H101" s="524"/>
      <c r="I101" s="88"/>
      <c r="J101" s="88"/>
      <c r="K101" s="90">
        <f t="shared" si="15"/>
        <v>0</v>
      </c>
      <c r="L101" s="88"/>
      <c r="M101" s="88"/>
      <c r="N101" s="88"/>
      <c r="O101" s="88"/>
      <c r="P101" s="526"/>
      <c r="Q101" s="88">
        <f t="shared" si="16"/>
        <v>2250</v>
      </c>
      <c r="R101" s="524"/>
    </row>
    <row r="102" ht="14.25" customHeight="1">
      <c r="B102" s="519"/>
      <c r="C102" s="241" t="s">
        <v>34</v>
      </c>
      <c r="D102" s="241">
        <v>1.0</v>
      </c>
      <c r="E102" s="237">
        <v>1790.23</v>
      </c>
      <c r="F102" s="67"/>
      <c r="G102" s="67"/>
      <c r="H102" s="612" t="s">
        <v>42</v>
      </c>
      <c r="I102" s="67"/>
      <c r="J102" s="67"/>
      <c r="K102" s="69">
        <f t="shared" si="15"/>
        <v>0</v>
      </c>
      <c r="L102" s="237">
        <v>1790.23</v>
      </c>
      <c r="M102" s="67"/>
      <c r="N102" s="521"/>
      <c r="O102" s="559">
        <v>-700.0</v>
      </c>
      <c r="P102" s="522"/>
      <c r="Q102" s="521">
        <f t="shared" si="16"/>
        <v>1550</v>
      </c>
      <c r="R102" s="523"/>
    </row>
    <row r="103" ht="14.25" hidden="1" customHeight="1">
      <c r="B103" s="524"/>
      <c r="C103" s="299" t="s">
        <v>69</v>
      </c>
      <c r="D103" s="87"/>
      <c r="E103" s="88"/>
      <c r="F103" s="88"/>
      <c r="G103" s="88"/>
      <c r="H103" s="524"/>
      <c r="I103" s="88"/>
      <c r="J103" s="88"/>
      <c r="K103" s="90">
        <f t="shared" si="15"/>
        <v>0</v>
      </c>
      <c r="L103" s="88"/>
      <c r="M103" s="88"/>
      <c r="N103" s="88"/>
      <c r="O103" s="88"/>
      <c r="P103" s="526"/>
      <c r="Q103" s="88">
        <f t="shared" si="16"/>
        <v>1550</v>
      </c>
      <c r="R103" s="524"/>
    </row>
    <row r="104" ht="14.25" customHeight="1">
      <c r="B104" s="519"/>
      <c r="C104" s="241" t="s">
        <v>68</v>
      </c>
      <c r="D104" s="241">
        <v>1.0</v>
      </c>
      <c r="E104" s="237">
        <v>2500.0</v>
      </c>
      <c r="F104" s="67"/>
      <c r="G104" s="67"/>
      <c r="H104" s="519"/>
      <c r="I104" s="67"/>
      <c r="J104" s="237">
        <v>1000.0</v>
      </c>
      <c r="K104" s="69">
        <f t="shared" si="15"/>
        <v>0</v>
      </c>
      <c r="L104" s="67"/>
      <c r="M104" s="67"/>
      <c r="N104" s="615">
        <v>1500.0</v>
      </c>
      <c r="O104" s="559">
        <v>-700.0</v>
      </c>
      <c r="P104" s="522"/>
      <c r="Q104" s="521">
        <f t="shared" si="16"/>
        <v>2350</v>
      </c>
      <c r="R104" s="523"/>
    </row>
    <row r="105" ht="14.25" customHeight="1">
      <c r="B105" s="519"/>
      <c r="C105" s="241" t="s">
        <v>37</v>
      </c>
      <c r="D105" s="241">
        <v>1.0</v>
      </c>
      <c r="E105" s="237">
        <v>2700.0</v>
      </c>
      <c r="F105" s="237">
        <v>400.0</v>
      </c>
      <c r="G105" s="67"/>
      <c r="H105" s="519"/>
      <c r="I105" s="67"/>
      <c r="J105" s="237">
        <v>1500.0</v>
      </c>
      <c r="K105" s="69">
        <f t="shared" si="15"/>
        <v>0</v>
      </c>
      <c r="L105" s="67"/>
      <c r="M105" s="67"/>
      <c r="N105" s="615">
        <v>1600.0</v>
      </c>
      <c r="O105" s="559">
        <v>-700.0</v>
      </c>
      <c r="P105" s="522"/>
      <c r="Q105" s="521">
        <f t="shared" si="16"/>
        <v>3250</v>
      </c>
      <c r="R105" s="523"/>
    </row>
    <row r="106" ht="14.25" hidden="1" customHeight="1">
      <c r="B106" s="524"/>
      <c r="C106" s="299" t="s">
        <v>41</v>
      </c>
      <c r="D106" s="87"/>
      <c r="E106" s="88"/>
      <c r="F106" s="88"/>
      <c r="G106" s="88"/>
      <c r="H106" s="524"/>
      <c r="I106" s="88"/>
      <c r="J106" s="88"/>
      <c r="K106" s="90">
        <f t="shared" si="15"/>
        <v>0</v>
      </c>
      <c r="L106" s="88"/>
      <c r="M106" s="88"/>
      <c r="N106" s="410"/>
      <c r="O106" s="88"/>
      <c r="P106" s="526"/>
      <c r="Q106" s="88">
        <f t="shared" si="16"/>
        <v>3250</v>
      </c>
      <c r="R106" s="524"/>
    </row>
    <row r="107" ht="14.25" customHeight="1">
      <c r="B107" s="519"/>
      <c r="C107" s="241" t="s">
        <v>71</v>
      </c>
      <c r="D107" s="241">
        <v>2.0</v>
      </c>
      <c r="E107" s="237">
        <v>3700.0</v>
      </c>
      <c r="F107" s="67"/>
      <c r="G107" s="67"/>
      <c r="H107" s="519"/>
      <c r="I107" s="67"/>
      <c r="J107" s="237">
        <v>1000.0</v>
      </c>
      <c r="K107" s="69">
        <f t="shared" si="15"/>
        <v>0</v>
      </c>
      <c r="L107" s="67"/>
      <c r="M107" s="67"/>
      <c r="N107" s="615">
        <v>2700.0</v>
      </c>
      <c r="O107" s="559">
        <v>-700.0</v>
      </c>
      <c r="P107" s="522"/>
      <c r="Q107" s="521">
        <f t="shared" si="16"/>
        <v>5250</v>
      </c>
      <c r="R107" s="523"/>
    </row>
    <row r="108" ht="14.25" hidden="1" customHeight="1">
      <c r="B108" s="524"/>
      <c r="C108" s="299" t="s">
        <v>86</v>
      </c>
      <c r="D108" s="87"/>
      <c r="E108" s="88"/>
      <c r="F108" s="88"/>
      <c r="G108" s="88"/>
      <c r="H108" s="524"/>
      <c r="I108" s="88"/>
      <c r="J108" s="88"/>
      <c r="K108" s="90">
        <f t="shared" si="15"/>
        <v>0</v>
      </c>
      <c r="L108" s="88"/>
      <c r="M108" s="88"/>
      <c r="N108" s="410"/>
      <c r="O108" s="88"/>
      <c r="P108" s="526"/>
      <c r="Q108" s="88">
        <f t="shared" si="16"/>
        <v>5250</v>
      </c>
      <c r="R108" s="524"/>
    </row>
    <row r="109" ht="14.25" customHeight="1">
      <c r="B109" s="519"/>
      <c r="C109" s="241" t="s">
        <v>73</v>
      </c>
      <c r="D109" s="241">
        <v>1.0</v>
      </c>
      <c r="E109" s="237">
        <v>2800.0</v>
      </c>
      <c r="F109" s="67"/>
      <c r="G109" s="67"/>
      <c r="H109" s="519"/>
      <c r="I109" s="67"/>
      <c r="J109" s="237">
        <v>1000.0</v>
      </c>
      <c r="K109" s="69">
        <f t="shared" si="15"/>
        <v>0</v>
      </c>
      <c r="L109" s="67"/>
      <c r="M109" s="67"/>
      <c r="N109" s="615">
        <v>1800.0</v>
      </c>
      <c r="O109" s="559">
        <v>-700.0</v>
      </c>
      <c r="P109" s="522"/>
      <c r="Q109" s="521">
        <f t="shared" si="16"/>
        <v>6350</v>
      </c>
      <c r="R109" s="523"/>
    </row>
    <row r="110" ht="14.25" customHeight="1">
      <c r="B110" s="519"/>
      <c r="C110" s="241" t="s">
        <v>49</v>
      </c>
      <c r="D110" s="241">
        <v>1.0</v>
      </c>
      <c r="E110" s="237">
        <v>2800.0</v>
      </c>
      <c r="F110" s="67"/>
      <c r="G110" s="67"/>
      <c r="H110" s="519"/>
      <c r="I110" s="67"/>
      <c r="J110" s="237">
        <v>1000.0</v>
      </c>
      <c r="K110" s="69">
        <f t="shared" si="15"/>
        <v>0</v>
      </c>
      <c r="L110" s="67"/>
      <c r="M110" s="67"/>
      <c r="N110" s="615">
        <v>1800.0</v>
      </c>
      <c r="O110" s="559">
        <v>-700.0</v>
      </c>
      <c r="P110" s="522"/>
      <c r="Q110" s="521">
        <f t="shared" si="16"/>
        <v>7450</v>
      </c>
      <c r="R110" s="523"/>
    </row>
    <row r="111" ht="14.25" customHeight="1">
      <c r="B111" s="519"/>
      <c r="C111" s="241" t="s">
        <v>50</v>
      </c>
      <c r="D111" s="241">
        <v>1.0</v>
      </c>
      <c r="E111" s="237">
        <v>2500.0</v>
      </c>
      <c r="F111" s="67"/>
      <c r="G111" s="67"/>
      <c r="H111" s="519"/>
      <c r="I111" s="67"/>
      <c r="J111" s="237">
        <v>1000.0</v>
      </c>
      <c r="K111" s="69">
        <f t="shared" si="15"/>
        <v>0</v>
      </c>
      <c r="L111" s="67"/>
      <c r="M111" s="67"/>
      <c r="N111" s="615">
        <v>1500.0</v>
      </c>
      <c r="O111" s="559">
        <v>-700.0</v>
      </c>
      <c r="P111" s="522"/>
      <c r="Q111" s="521">
        <f t="shared" si="16"/>
        <v>8250</v>
      </c>
      <c r="R111" s="523"/>
    </row>
    <row r="112" ht="14.25" customHeight="1">
      <c r="B112" s="519"/>
      <c r="C112" s="241" t="s">
        <v>52</v>
      </c>
      <c r="D112" s="241">
        <v>1.0</v>
      </c>
      <c r="E112" s="237">
        <v>2300.0</v>
      </c>
      <c r="F112" s="67"/>
      <c r="G112" s="67"/>
      <c r="H112" s="519"/>
      <c r="I112" s="67"/>
      <c r="J112" s="237">
        <v>1000.0</v>
      </c>
      <c r="K112" s="69">
        <f t="shared" si="15"/>
        <v>0</v>
      </c>
      <c r="L112" s="67"/>
      <c r="M112" s="67"/>
      <c r="N112" s="559">
        <v>1300.0</v>
      </c>
      <c r="O112" s="559">
        <v>-700.0</v>
      </c>
      <c r="P112" s="522"/>
      <c r="Q112" s="521">
        <f t="shared" si="16"/>
        <v>8850</v>
      </c>
      <c r="R112" s="523"/>
    </row>
    <row r="113" ht="14.25" customHeight="1">
      <c r="B113" s="519"/>
      <c r="C113" s="66"/>
      <c r="D113" s="66"/>
      <c r="E113" s="67"/>
      <c r="F113" s="67"/>
      <c r="G113" s="67"/>
      <c r="H113" s="519"/>
      <c r="I113" s="67"/>
      <c r="J113" s="67"/>
      <c r="K113" s="69">
        <f t="shared" si="15"/>
        <v>0</v>
      </c>
      <c r="L113" s="67"/>
      <c r="M113" s="67"/>
      <c r="N113" s="521"/>
      <c r="O113" s="521"/>
      <c r="P113" s="607">
        <v>-6229.98</v>
      </c>
      <c r="Q113" s="521">
        <f t="shared" si="16"/>
        <v>2620.02</v>
      </c>
      <c r="R113" s="523" t="s">
        <v>304</v>
      </c>
    </row>
    <row r="114" ht="14.25" customHeight="1">
      <c r="B114" s="519"/>
      <c r="C114" s="66"/>
      <c r="D114" s="66"/>
      <c r="E114" s="67"/>
      <c r="F114" s="67"/>
      <c r="G114" s="67"/>
      <c r="H114" s="519"/>
      <c r="I114" s="67"/>
      <c r="J114" s="67"/>
      <c r="K114" s="69">
        <f t="shared" si="15"/>
        <v>0</v>
      </c>
      <c r="L114" s="67"/>
      <c r="M114" s="67"/>
      <c r="N114" s="521"/>
      <c r="O114" s="521"/>
      <c r="P114" s="607">
        <v>-2121.84</v>
      </c>
      <c r="Q114" s="521">
        <f t="shared" si="16"/>
        <v>498.18</v>
      </c>
      <c r="R114" s="523" t="s">
        <v>55</v>
      </c>
    </row>
    <row r="115" ht="14.25" customHeight="1">
      <c r="B115" s="519"/>
      <c r="C115" s="66"/>
      <c r="D115" s="66"/>
      <c r="E115" s="67"/>
      <c r="F115" s="67"/>
      <c r="G115" s="67"/>
      <c r="H115" s="519"/>
      <c r="I115" s="67"/>
      <c r="J115" s="67"/>
      <c r="K115" s="69"/>
      <c r="L115" s="67"/>
      <c r="M115" s="67"/>
      <c r="N115" s="521"/>
      <c r="O115" s="521"/>
      <c r="P115" s="607">
        <v>-397.75</v>
      </c>
      <c r="Q115" s="521">
        <f t="shared" si="16"/>
        <v>100.43</v>
      </c>
      <c r="R115" s="588" t="s">
        <v>84</v>
      </c>
    </row>
    <row r="116" ht="14.25" customHeight="1">
      <c r="B116" s="519"/>
      <c r="C116" s="66"/>
      <c r="D116" s="66"/>
      <c r="E116" s="67"/>
      <c r="F116" s="67"/>
      <c r="G116" s="67"/>
      <c r="H116" s="519"/>
      <c r="I116" s="67"/>
      <c r="J116" s="67"/>
      <c r="K116" s="69">
        <f>E116-J116-L116-M116-N116-I116+F116</f>
        <v>0</v>
      </c>
      <c r="L116" s="67"/>
      <c r="M116" s="67"/>
      <c r="N116" s="521"/>
      <c r="O116" s="521"/>
      <c r="P116" s="607">
        <v>-500.0</v>
      </c>
      <c r="Q116" s="521">
        <f t="shared" si="16"/>
        <v>-399.57</v>
      </c>
      <c r="R116" s="523" t="s">
        <v>93</v>
      </c>
    </row>
    <row r="117" ht="14.25" customHeight="1">
      <c r="B117" s="611" t="s">
        <v>121</v>
      </c>
      <c r="C117" s="551" t="s">
        <v>80</v>
      </c>
      <c r="D117" s="551">
        <f>sum(D91:D116)</f>
        <v>20</v>
      </c>
      <c r="E117" s="553">
        <f t="shared" ref="E117:H117" si="17">SUM(E91:E116)</f>
        <v>47526.88</v>
      </c>
      <c r="F117" s="553">
        <f t="shared" si="17"/>
        <v>400</v>
      </c>
      <c r="G117" s="553">
        <f t="shared" si="17"/>
        <v>0</v>
      </c>
      <c r="H117" s="553">
        <f t="shared" si="17"/>
        <v>0</v>
      </c>
      <c r="I117" s="628">
        <f>SUM(I89:I116)</f>
        <v>0</v>
      </c>
      <c r="J117" s="553">
        <f>SUM(J91:J116)</f>
        <v>15700</v>
      </c>
      <c r="K117" s="553">
        <f>SUM(K89:K116)</f>
        <v>0</v>
      </c>
      <c r="L117" s="553">
        <f t="shared" ref="L117:P117" si="18">SUM(L91:L116)</f>
        <v>7176.88</v>
      </c>
      <c r="M117" s="553">
        <f t="shared" si="18"/>
        <v>5000</v>
      </c>
      <c r="N117" s="553">
        <f t="shared" si="18"/>
        <v>20050</v>
      </c>
      <c r="O117" s="553">
        <f t="shared" si="18"/>
        <v>-11200</v>
      </c>
      <c r="P117" s="553">
        <f t="shared" si="18"/>
        <v>-9249.57</v>
      </c>
      <c r="Q117" s="557">
        <f>Q116</f>
        <v>-399.57</v>
      </c>
      <c r="R117" s="558"/>
    </row>
    <row r="118" ht="14.25" customHeight="1">
      <c r="B118" s="612" t="s">
        <v>112</v>
      </c>
      <c r="C118" s="241" t="s">
        <v>320</v>
      </c>
      <c r="D118" s="241">
        <v>1.0</v>
      </c>
      <c r="E118" s="237">
        <v>2300.0</v>
      </c>
      <c r="F118" s="67"/>
      <c r="G118" s="67"/>
      <c r="H118" s="519"/>
      <c r="I118" s="67"/>
      <c r="J118" s="237">
        <v>1000.0</v>
      </c>
      <c r="K118" s="69">
        <f t="shared" ref="K118:K143" si="19">E118-J118-L118-M118-N118-I118+F118</f>
        <v>0</v>
      </c>
      <c r="L118" s="67"/>
      <c r="M118" s="237">
        <v>1300.0</v>
      </c>
      <c r="N118" s="559"/>
      <c r="O118" s="559">
        <v>-700.0</v>
      </c>
      <c r="P118" s="522"/>
      <c r="Q118" s="521">
        <f t="shared" ref="Q118:Q145" si="20">Q117+N118+O118+P118</f>
        <v>-1099.57</v>
      </c>
      <c r="R118" s="523"/>
    </row>
    <row r="119" ht="14.25" hidden="1" customHeight="1">
      <c r="B119" s="524"/>
      <c r="C119" s="576">
        <v>45692.0</v>
      </c>
      <c r="D119" s="87"/>
      <c r="E119" s="88"/>
      <c r="F119" s="88"/>
      <c r="G119" s="88"/>
      <c r="H119" s="524"/>
      <c r="I119" s="88"/>
      <c r="J119" s="88"/>
      <c r="K119" s="90">
        <f t="shared" si="19"/>
        <v>0</v>
      </c>
      <c r="L119" s="88"/>
      <c r="M119" s="88"/>
      <c r="N119" s="88"/>
      <c r="O119" s="88"/>
      <c r="P119" s="526"/>
      <c r="Q119" s="88">
        <f t="shared" si="20"/>
        <v>-1099.57</v>
      </c>
      <c r="R119" s="524"/>
    </row>
    <row r="120" ht="14.25" customHeight="1">
      <c r="B120" s="519"/>
      <c r="C120" s="573">
        <v>45752.0</v>
      </c>
      <c r="D120" s="241">
        <v>1.0</v>
      </c>
      <c r="E120" s="237">
        <v>2500.0</v>
      </c>
      <c r="F120" s="67"/>
      <c r="G120" s="67"/>
      <c r="H120" s="519"/>
      <c r="I120" s="67"/>
      <c r="J120" s="237">
        <v>1000.0</v>
      </c>
      <c r="K120" s="69">
        <f t="shared" si="19"/>
        <v>0</v>
      </c>
      <c r="L120" s="67"/>
      <c r="M120" s="237"/>
      <c r="N120" s="559">
        <v>1500.0</v>
      </c>
      <c r="O120" s="559">
        <v>-700.0</v>
      </c>
      <c r="P120" s="522"/>
      <c r="Q120" s="521">
        <f t="shared" si="20"/>
        <v>-299.57</v>
      </c>
      <c r="R120" s="523"/>
    </row>
    <row r="121" ht="14.25" customHeight="1">
      <c r="B121" s="519"/>
      <c r="C121" s="573">
        <v>45783.0</v>
      </c>
      <c r="D121" s="241">
        <v>1.0</v>
      </c>
      <c r="E121" s="237">
        <v>2850.0</v>
      </c>
      <c r="F121" s="67"/>
      <c r="G121" s="67"/>
      <c r="H121" s="612"/>
      <c r="I121" s="67"/>
      <c r="J121" s="237">
        <v>500.0</v>
      </c>
      <c r="K121" s="69">
        <f t="shared" si="19"/>
        <v>0</v>
      </c>
      <c r="L121" s="237"/>
      <c r="M121" s="67"/>
      <c r="N121" s="559">
        <v>2350.0</v>
      </c>
      <c r="O121" s="559">
        <v>-700.0</v>
      </c>
      <c r="P121" s="522"/>
      <c r="Q121" s="521">
        <f t="shared" si="20"/>
        <v>1350.43</v>
      </c>
      <c r="R121" s="523"/>
    </row>
    <row r="122" ht="14.25" customHeight="1">
      <c r="B122" s="519"/>
      <c r="C122" s="573">
        <v>45815.0</v>
      </c>
      <c r="D122" s="241">
        <v>1.0</v>
      </c>
      <c r="E122" s="237">
        <v>2000.0</v>
      </c>
      <c r="F122" s="67"/>
      <c r="G122" s="67"/>
      <c r="H122" s="519"/>
      <c r="I122" s="67"/>
      <c r="J122" s="237"/>
      <c r="K122" s="69">
        <f t="shared" si="19"/>
        <v>0</v>
      </c>
      <c r="L122" s="67"/>
      <c r="M122" s="237">
        <v>2000.0</v>
      </c>
      <c r="N122" s="559"/>
      <c r="O122" s="559">
        <v>-700.0</v>
      </c>
      <c r="P122" s="522"/>
      <c r="Q122" s="521">
        <f t="shared" si="20"/>
        <v>650.43</v>
      </c>
      <c r="R122" s="523"/>
    </row>
    <row r="123" ht="14.25" hidden="1" customHeight="1">
      <c r="B123" s="524"/>
      <c r="C123" s="576">
        <v>45846.0</v>
      </c>
      <c r="D123" s="299"/>
      <c r="E123" s="294"/>
      <c r="F123" s="88"/>
      <c r="G123" s="88"/>
      <c r="H123" s="524"/>
      <c r="I123" s="88"/>
      <c r="J123" s="294"/>
      <c r="K123" s="90">
        <f t="shared" si="19"/>
        <v>0</v>
      </c>
      <c r="L123" s="294"/>
      <c r="M123" s="88"/>
      <c r="N123" s="88"/>
      <c r="O123" s="294"/>
      <c r="P123" s="526"/>
      <c r="Q123" s="88">
        <f t="shared" si="20"/>
        <v>650.43</v>
      </c>
      <c r="R123" s="524"/>
    </row>
    <row r="124" ht="14.25" customHeight="1">
      <c r="B124" s="519"/>
      <c r="C124" s="573">
        <v>45878.0</v>
      </c>
      <c r="D124" s="241">
        <v>1.0</v>
      </c>
      <c r="E124" s="237">
        <v>2700.0</v>
      </c>
      <c r="F124" s="237">
        <v>400.0</v>
      </c>
      <c r="G124" s="237"/>
      <c r="H124" s="519"/>
      <c r="I124" s="67"/>
      <c r="J124" s="237"/>
      <c r="K124" s="69">
        <f t="shared" si="19"/>
        <v>0</v>
      </c>
      <c r="L124" s="67"/>
      <c r="M124" s="237">
        <v>3100.0</v>
      </c>
      <c r="N124" s="559"/>
      <c r="O124" s="559">
        <v>-700.0</v>
      </c>
      <c r="P124" s="522"/>
      <c r="Q124" s="521">
        <f t="shared" si="20"/>
        <v>-49.57</v>
      </c>
      <c r="R124" s="523"/>
    </row>
    <row r="125" ht="14.25" hidden="1" customHeight="1">
      <c r="B125" s="524"/>
      <c r="C125" s="576">
        <v>45911.0</v>
      </c>
      <c r="D125" s="87"/>
      <c r="E125" s="88"/>
      <c r="F125" s="88"/>
      <c r="G125" s="88"/>
      <c r="H125" s="524"/>
      <c r="I125" s="88"/>
      <c r="J125" s="88"/>
      <c r="K125" s="90">
        <f t="shared" si="19"/>
        <v>0</v>
      </c>
      <c r="L125" s="88"/>
      <c r="M125" s="88"/>
      <c r="N125" s="88"/>
      <c r="O125" s="88"/>
      <c r="P125" s="526"/>
      <c r="Q125" s="88">
        <f t="shared" si="20"/>
        <v>-49.57</v>
      </c>
      <c r="R125" s="524"/>
    </row>
    <row r="126" ht="14.25" customHeight="1">
      <c r="B126" s="519"/>
      <c r="C126" s="573">
        <v>45973.0</v>
      </c>
      <c r="D126" s="241"/>
      <c r="E126" s="237">
        <v>1000.0</v>
      </c>
      <c r="F126" s="67"/>
      <c r="G126" s="67"/>
      <c r="H126" s="519"/>
      <c r="I126" s="67"/>
      <c r="J126" s="237">
        <v>1000.0</v>
      </c>
      <c r="K126" s="69">
        <f t="shared" si="19"/>
        <v>0</v>
      </c>
      <c r="L126" s="67"/>
      <c r="M126" s="237"/>
      <c r="N126" s="521"/>
      <c r="O126" s="559"/>
      <c r="P126" s="522"/>
      <c r="Q126" s="521">
        <f t="shared" si="20"/>
        <v>-49.57</v>
      </c>
      <c r="R126" s="588" t="s">
        <v>81</v>
      </c>
    </row>
    <row r="127" ht="14.25" customHeight="1">
      <c r="B127" s="519"/>
      <c r="C127" s="573">
        <v>46004.0</v>
      </c>
      <c r="D127" s="241">
        <v>1.0</v>
      </c>
      <c r="E127" s="237">
        <v>2381.35</v>
      </c>
      <c r="F127" s="67"/>
      <c r="G127" s="67"/>
      <c r="H127" s="612" t="s">
        <v>42</v>
      </c>
      <c r="I127" s="67"/>
      <c r="J127" s="237"/>
      <c r="K127" s="69">
        <f t="shared" si="19"/>
        <v>0</v>
      </c>
      <c r="L127" s="237">
        <v>2381.35</v>
      </c>
      <c r="M127" s="67"/>
      <c r="N127" s="559"/>
      <c r="O127" s="559">
        <v>-700.0</v>
      </c>
      <c r="P127" s="522"/>
      <c r="Q127" s="521">
        <f t="shared" si="20"/>
        <v>-749.57</v>
      </c>
      <c r="R127" s="523"/>
    </row>
    <row r="128" ht="14.25" customHeight="1">
      <c r="B128" s="519"/>
      <c r="C128" s="241" t="s">
        <v>46</v>
      </c>
      <c r="D128" s="241">
        <v>1.0</v>
      </c>
      <c r="E128" s="237">
        <v>2500.0</v>
      </c>
      <c r="F128" s="67"/>
      <c r="G128" s="67"/>
      <c r="H128" s="612"/>
      <c r="I128" s="67"/>
      <c r="J128" s="237">
        <v>1000.0</v>
      </c>
      <c r="K128" s="69">
        <f t="shared" si="19"/>
        <v>0</v>
      </c>
      <c r="L128" s="237"/>
      <c r="M128" s="67"/>
      <c r="N128" s="559">
        <v>1500.0</v>
      </c>
      <c r="O128" s="559">
        <v>-700.0</v>
      </c>
      <c r="P128" s="522"/>
      <c r="Q128" s="521">
        <f t="shared" si="20"/>
        <v>50.43</v>
      </c>
      <c r="R128" s="523"/>
    </row>
    <row r="129" ht="14.25" customHeight="1">
      <c r="B129" s="519"/>
      <c r="C129" s="241" t="s">
        <v>29</v>
      </c>
      <c r="D129" s="241">
        <v>1.0</v>
      </c>
      <c r="E129" s="237">
        <v>1886.65</v>
      </c>
      <c r="F129" s="67"/>
      <c r="G129" s="67"/>
      <c r="H129" s="612" t="s">
        <v>42</v>
      </c>
      <c r="I129" s="67"/>
      <c r="J129" s="67"/>
      <c r="K129" s="69">
        <f t="shared" si="19"/>
        <v>0</v>
      </c>
      <c r="L129" s="237">
        <v>1886.65</v>
      </c>
      <c r="M129" s="67"/>
      <c r="N129" s="521"/>
      <c r="O129" s="559">
        <v>-700.0</v>
      </c>
      <c r="P129" s="522"/>
      <c r="Q129" s="521">
        <f t="shared" si="20"/>
        <v>-649.57</v>
      </c>
      <c r="R129" s="523"/>
    </row>
    <row r="130" ht="14.25" customHeight="1">
      <c r="B130" s="519"/>
      <c r="C130" s="241" t="s">
        <v>30</v>
      </c>
      <c r="D130" s="241">
        <v>1.0</v>
      </c>
      <c r="E130" s="237">
        <v>2300.0</v>
      </c>
      <c r="F130" s="67"/>
      <c r="G130" s="67"/>
      <c r="H130" s="519"/>
      <c r="I130" s="67"/>
      <c r="J130" s="237">
        <v>1000.0</v>
      </c>
      <c r="K130" s="69">
        <f t="shared" si="19"/>
        <v>0</v>
      </c>
      <c r="L130" s="67"/>
      <c r="M130" s="237">
        <v>1300.0</v>
      </c>
      <c r="N130" s="559"/>
      <c r="O130" s="559">
        <v>-700.0</v>
      </c>
      <c r="P130" s="522"/>
      <c r="Q130" s="521">
        <f t="shared" si="20"/>
        <v>-1349.57</v>
      </c>
      <c r="R130" s="523"/>
    </row>
    <row r="131" ht="14.25" customHeight="1">
      <c r="B131" s="519"/>
      <c r="C131" s="241" t="s">
        <v>31</v>
      </c>
      <c r="D131" s="241">
        <v>1.0</v>
      </c>
      <c r="E131" s="237">
        <v>2200.0</v>
      </c>
      <c r="F131" s="67"/>
      <c r="G131" s="67"/>
      <c r="H131" s="519"/>
      <c r="I131" s="67"/>
      <c r="J131" s="237">
        <v>700.0</v>
      </c>
      <c r="K131" s="69">
        <f t="shared" si="19"/>
        <v>0</v>
      </c>
      <c r="L131" s="67"/>
      <c r="M131" s="67"/>
      <c r="N131" s="615">
        <v>1500.0</v>
      </c>
      <c r="O131" s="615">
        <v>-700.0</v>
      </c>
      <c r="P131" s="631"/>
      <c r="Q131" s="632">
        <f t="shared" si="20"/>
        <v>-549.57</v>
      </c>
      <c r="R131" s="633"/>
    </row>
    <row r="132" ht="14.25" customHeight="1">
      <c r="B132" s="519"/>
      <c r="C132" s="241" t="s">
        <v>32</v>
      </c>
      <c r="D132" s="241">
        <v>1.0</v>
      </c>
      <c r="E132" s="237">
        <v>3000.0</v>
      </c>
      <c r="F132" s="237"/>
      <c r="G132" s="67"/>
      <c r="H132" s="519"/>
      <c r="I132" s="67"/>
      <c r="J132" s="237">
        <v>1000.0</v>
      </c>
      <c r="K132" s="69">
        <f t="shared" si="19"/>
        <v>0</v>
      </c>
      <c r="L132" s="67"/>
      <c r="M132" s="67"/>
      <c r="N132" s="559">
        <v>2000.0</v>
      </c>
      <c r="O132" s="559">
        <v>-700.0</v>
      </c>
      <c r="P132" s="522"/>
      <c r="Q132" s="521">
        <f t="shared" si="20"/>
        <v>750.43</v>
      </c>
      <c r="R132" s="523"/>
    </row>
    <row r="133" ht="14.25" customHeight="1">
      <c r="B133" s="519"/>
      <c r="C133" s="241" t="s">
        <v>200</v>
      </c>
      <c r="D133" s="241">
        <v>3.0</v>
      </c>
      <c r="E133" s="237">
        <v>9000.0</v>
      </c>
      <c r="F133" s="67"/>
      <c r="G133" s="67"/>
      <c r="H133" s="519"/>
      <c r="I133" s="67"/>
      <c r="J133" s="237">
        <v>1500.0</v>
      </c>
      <c r="K133" s="69">
        <f t="shared" si="19"/>
        <v>0</v>
      </c>
      <c r="L133" s="67"/>
      <c r="M133" s="67"/>
      <c r="N133" s="559">
        <v>7500.0</v>
      </c>
      <c r="O133" s="559">
        <v>-700.0</v>
      </c>
      <c r="P133" s="522"/>
      <c r="Q133" s="521">
        <f t="shared" si="20"/>
        <v>7550.43</v>
      </c>
      <c r="R133" s="523"/>
    </row>
    <row r="134" ht="14.25" hidden="1" customHeight="1">
      <c r="B134" s="524"/>
      <c r="C134" s="299" t="s">
        <v>68</v>
      </c>
      <c r="D134" s="299"/>
      <c r="E134" s="294"/>
      <c r="F134" s="88"/>
      <c r="G134" s="88"/>
      <c r="H134" s="524"/>
      <c r="I134" s="88"/>
      <c r="J134" s="294"/>
      <c r="K134" s="90">
        <f t="shared" si="19"/>
        <v>0</v>
      </c>
      <c r="L134" s="88"/>
      <c r="M134" s="88"/>
      <c r="N134" s="294"/>
      <c r="O134" s="294"/>
      <c r="P134" s="526"/>
      <c r="Q134" s="88">
        <f t="shared" si="20"/>
        <v>7550.43</v>
      </c>
      <c r="R134" s="524"/>
    </row>
    <row r="135" ht="14.25" customHeight="1">
      <c r="B135" s="519"/>
      <c r="C135" s="241" t="s">
        <v>37</v>
      </c>
      <c r="D135" s="241">
        <v>1.0</v>
      </c>
      <c r="E135" s="237">
        <v>1639.3</v>
      </c>
      <c r="F135" s="67"/>
      <c r="G135" s="67"/>
      <c r="H135" s="519"/>
      <c r="I135" s="67"/>
      <c r="J135" s="237"/>
      <c r="K135" s="69">
        <f t="shared" si="19"/>
        <v>0</v>
      </c>
      <c r="L135" s="237">
        <v>1639.3</v>
      </c>
      <c r="M135" s="67"/>
      <c r="N135" s="559"/>
      <c r="O135" s="559">
        <v>-700.0</v>
      </c>
      <c r="P135" s="522"/>
      <c r="Q135" s="521">
        <f t="shared" si="20"/>
        <v>6850.43</v>
      </c>
      <c r="R135" s="523"/>
    </row>
    <row r="136" ht="14.25" customHeight="1">
      <c r="B136" s="519"/>
      <c r="C136" s="241" t="s">
        <v>41</v>
      </c>
      <c r="D136" s="241">
        <v>1.0</v>
      </c>
      <c r="E136" s="237">
        <v>1639.3</v>
      </c>
      <c r="F136" s="67"/>
      <c r="G136" s="67"/>
      <c r="H136" s="519"/>
      <c r="I136" s="67"/>
      <c r="J136" s="237"/>
      <c r="K136" s="69">
        <f t="shared" si="19"/>
        <v>0</v>
      </c>
      <c r="L136" s="237">
        <v>1639.3</v>
      </c>
      <c r="M136" s="67"/>
      <c r="N136" s="559"/>
      <c r="O136" s="559">
        <v>-700.0</v>
      </c>
      <c r="P136" s="522"/>
      <c r="Q136" s="521">
        <f t="shared" si="20"/>
        <v>6150.43</v>
      </c>
      <c r="R136" s="523"/>
    </row>
    <row r="137" ht="14.25" customHeight="1">
      <c r="B137" s="519"/>
      <c r="C137" s="241" t="s">
        <v>71</v>
      </c>
      <c r="D137" s="241">
        <v>2.0</v>
      </c>
      <c r="E137" s="237">
        <v>4300.0</v>
      </c>
      <c r="F137" s="67"/>
      <c r="G137" s="67"/>
      <c r="H137" s="519"/>
      <c r="I137" s="67"/>
      <c r="J137" s="237">
        <v>1500.0</v>
      </c>
      <c r="K137" s="69">
        <f t="shared" si="19"/>
        <v>0</v>
      </c>
      <c r="L137" s="67"/>
      <c r="M137" s="67"/>
      <c r="N137" s="559">
        <v>2800.0</v>
      </c>
      <c r="O137" s="559">
        <v>-700.0</v>
      </c>
      <c r="P137" s="522"/>
      <c r="Q137" s="521">
        <f t="shared" si="20"/>
        <v>8250.43</v>
      </c>
      <c r="R137" s="523"/>
    </row>
    <row r="138" ht="14.25" customHeight="1">
      <c r="B138" s="519"/>
      <c r="C138" s="241" t="s">
        <v>47</v>
      </c>
      <c r="D138" s="241">
        <v>1.0</v>
      </c>
      <c r="E138" s="237">
        <v>2800.0</v>
      </c>
      <c r="F138" s="67"/>
      <c r="G138" s="67"/>
      <c r="H138" s="519"/>
      <c r="I138" s="67"/>
      <c r="J138" s="237">
        <v>1000.0</v>
      </c>
      <c r="K138" s="69">
        <f t="shared" si="19"/>
        <v>0</v>
      </c>
      <c r="L138" s="67"/>
      <c r="M138" s="67"/>
      <c r="N138" s="559">
        <v>1800.0</v>
      </c>
      <c r="O138" s="559">
        <v>-700.0</v>
      </c>
      <c r="P138" s="522"/>
      <c r="Q138" s="521">
        <f t="shared" si="20"/>
        <v>9350.43</v>
      </c>
      <c r="R138" s="523"/>
    </row>
    <row r="139" ht="14.25" customHeight="1">
      <c r="B139" s="519"/>
      <c r="C139" s="241" t="s">
        <v>72</v>
      </c>
      <c r="D139" s="241">
        <v>1.0</v>
      </c>
      <c r="E139" s="237">
        <v>1639.3</v>
      </c>
      <c r="F139" s="67"/>
      <c r="G139" s="67"/>
      <c r="H139" s="519"/>
      <c r="I139" s="67"/>
      <c r="J139" s="237"/>
      <c r="K139" s="69">
        <f t="shared" si="19"/>
        <v>0</v>
      </c>
      <c r="L139" s="237">
        <v>1639.3</v>
      </c>
      <c r="M139" s="67"/>
      <c r="N139" s="559"/>
      <c r="O139" s="559">
        <v>-700.0</v>
      </c>
      <c r="P139" s="607">
        <v>450.0</v>
      </c>
      <c r="Q139" s="521">
        <f t="shared" si="20"/>
        <v>9100.43</v>
      </c>
      <c r="R139" s="588" t="s">
        <v>43</v>
      </c>
    </row>
    <row r="140" ht="14.25" customHeight="1">
      <c r="B140" s="519"/>
      <c r="C140" s="241" t="s">
        <v>73</v>
      </c>
      <c r="D140" s="241">
        <v>1.0</v>
      </c>
      <c r="E140" s="237">
        <v>2000.0</v>
      </c>
      <c r="F140" s="67"/>
      <c r="G140" s="67"/>
      <c r="H140" s="519"/>
      <c r="I140" s="67"/>
      <c r="J140" s="237">
        <v>500.0</v>
      </c>
      <c r="K140" s="69">
        <f t="shared" si="19"/>
        <v>0</v>
      </c>
      <c r="L140" s="67"/>
      <c r="M140" s="67"/>
      <c r="N140" s="559">
        <v>1500.0</v>
      </c>
      <c r="O140" s="559">
        <v>-700.0</v>
      </c>
      <c r="P140" s="522"/>
      <c r="Q140" s="521">
        <f t="shared" si="20"/>
        <v>9900.43</v>
      </c>
      <c r="R140" s="523"/>
    </row>
    <row r="141" ht="14.25" customHeight="1">
      <c r="B141" s="519"/>
      <c r="C141" s="241" t="s">
        <v>167</v>
      </c>
      <c r="D141" s="241">
        <v>2.0</v>
      </c>
      <c r="E141" s="237">
        <v>4100.0</v>
      </c>
      <c r="F141" s="67"/>
      <c r="G141" s="67"/>
      <c r="H141" s="519"/>
      <c r="I141" s="67"/>
      <c r="J141" s="237">
        <v>1500.0</v>
      </c>
      <c r="K141" s="69">
        <f t="shared" si="19"/>
        <v>0</v>
      </c>
      <c r="L141" s="67"/>
      <c r="M141" s="67"/>
      <c r="N141" s="559">
        <v>2600.0</v>
      </c>
      <c r="O141" s="559">
        <v>-700.0</v>
      </c>
      <c r="P141" s="522"/>
      <c r="Q141" s="521">
        <f t="shared" si="20"/>
        <v>11800.43</v>
      </c>
      <c r="R141" s="523"/>
    </row>
    <row r="142" ht="14.25" customHeight="1">
      <c r="B142" s="519"/>
      <c r="C142" s="66"/>
      <c r="D142" s="66"/>
      <c r="E142" s="67"/>
      <c r="F142" s="67"/>
      <c r="G142" s="67"/>
      <c r="H142" s="519"/>
      <c r="I142" s="67"/>
      <c r="J142" s="67"/>
      <c r="K142" s="69">
        <f t="shared" si="19"/>
        <v>0</v>
      </c>
      <c r="L142" s="67"/>
      <c r="M142" s="67"/>
      <c r="N142" s="521"/>
      <c r="O142" s="521"/>
      <c r="P142" s="607">
        <v>-5319.9</v>
      </c>
      <c r="Q142" s="521">
        <f t="shared" si="20"/>
        <v>6480.53</v>
      </c>
      <c r="R142" s="523" t="s">
        <v>304</v>
      </c>
    </row>
    <row r="143" ht="14.25" customHeight="1">
      <c r="B143" s="519"/>
      <c r="C143" s="66"/>
      <c r="D143" s="66"/>
      <c r="E143" s="67"/>
      <c r="F143" s="67"/>
      <c r="G143" s="67"/>
      <c r="H143" s="519"/>
      <c r="I143" s="67"/>
      <c r="J143" s="67"/>
      <c r="K143" s="69">
        <f t="shared" si="19"/>
        <v>0</v>
      </c>
      <c r="L143" s="67"/>
      <c r="M143" s="67"/>
      <c r="N143" s="521"/>
      <c r="O143" s="521"/>
      <c r="P143" s="607">
        <v>-2130.19</v>
      </c>
      <c r="Q143" s="521">
        <f t="shared" si="20"/>
        <v>4350.34</v>
      </c>
      <c r="R143" s="523" t="s">
        <v>55</v>
      </c>
    </row>
    <row r="144" ht="14.25" customHeight="1">
      <c r="B144" s="519"/>
      <c r="C144" s="66"/>
      <c r="D144" s="66"/>
      <c r="E144" s="67"/>
      <c r="F144" s="67"/>
      <c r="G144" s="67"/>
      <c r="H144" s="519"/>
      <c r="I144" s="67"/>
      <c r="J144" s="67"/>
      <c r="K144" s="69"/>
      <c r="L144" s="67"/>
      <c r="M144" s="67"/>
      <c r="N144" s="521"/>
      <c r="O144" s="521"/>
      <c r="P144" s="607">
        <v>-500.0</v>
      </c>
      <c r="Q144" s="521">
        <f t="shared" si="20"/>
        <v>3850.34</v>
      </c>
      <c r="R144" s="588" t="s">
        <v>76</v>
      </c>
    </row>
    <row r="145" ht="14.25" customHeight="1">
      <c r="B145" s="519"/>
      <c r="C145" s="66"/>
      <c r="D145" s="66"/>
      <c r="E145" s="67"/>
      <c r="F145" s="67"/>
      <c r="G145" s="67"/>
      <c r="H145" s="519"/>
      <c r="I145" s="67"/>
      <c r="J145" s="67"/>
      <c r="K145" s="69"/>
      <c r="L145" s="67"/>
      <c r="M145" s="67"/>
      <c r="N145" s="521"/>
      <c r="O145" s="521"/>
      <c r="P145" s="607">
        <v>-1200.0</v>
      </c>
      <c r="Q145" s="521">
        <f t="shared" si="20"/>
        <v>2650.34</v>
      </c>
      <c r="R145" s="588" t="s">
        <v>109</v>
      </c>
    </row>
    <row r="146" ht="14.25" customHeight="1">
      <c r="B146" s="611" t="s">
        <v>132</v>
      </c>
      <c r="C146" s="551" t="s">
        <v>80</v>
      </c>
      <c r="D146" s="551">
        <f>sum(D118:D145)</f>
        <v>23</v>
      </c>
      <c r="E146" s="553">
        <f t="shared" ref="E146:H146" si="21">SUM(E118:E145)</f>
        <v>54735.9</v>
      </c>
      <c r="F146" s="553">
        <f t="shared" si="21"/>
        <v>400</v>
      </c>
      <c r="G146" s="553">
        <f t="shared" si="21"/>
        <v>0</v>
      </c>
      <c r="H146" s="553">
        <f t="shared" si="21"/>
        <v>0</v>
      </c>
      <c r="I146" s="628">
        <f>SUM(I116:I145)</f>
        <v>0</v>
      </c>
      <c r="J146" s="553">
        <f>SUM(J118:J145)</f>
        <v>13200</v>
      </c>
      <c r="K146" s="553">
        <f>SUM(K116:K145)</f>
        <v>0</v>
      </c>
      <c r="L146" s="553">
        <f t="shared" ref="L146:P146" si="22">SUM(L118:L145)</f>
        <v>9185.9</v>
      </c>
      <c r="M146" s="553">
        <f t="shared" si="22"/>
        <v>7700</v>
      </c>
      <c r="N146" s="553">
        <f t="shared" si="22"/>
        <v>25050</v>
      </c>
      <c r="O146" s="553">
        <f t="shared" si="22"/>
        <v>-13300</v>
      </c>
      <c r="P146" s="553">
        <f t="shared" si="22"/>
        <v>-8700.09</v>
      </c>
      <c r="Q146" s="557">
        <f>Q145</f>
        <v>2650.34</v>
      </c>
      <c r="R146" s="558"/>
    </row>
    <row r="147" ht="14.25" customHeight="1">
      <c r="B147" s="612" t="s">
        <v>141</v>
      </c>
      <c r="C147" s="573">
        <v>45659.0</v>
      </c>
      <c r="D147" s="241">
        <v>1.0</v>
      </c>
      <c r="E147" s="237">
        <v>2550.0</v>
      </c>
      <c r="F147" s="67"/>
      <c r="G147" s="67"/>
      <c r="H147" s="519"/>
      <c r="I147" s="67"/>
      <c r="J147" s="237">
        <v>1000.0</v>
      </c>
      <c r="K147" s="69">
        <f t="shared" ref="K147:K175" si="23">E147-J147-L147-M147-N147-I147+F147</f>
        <v>0</v>
      </c>
      <c r="L147" s="67"/>
      <c r="M147" s="237"/>
      <c r="N147" s="559">
        <v>1550.0</v>
      </c>
      <c r="O147" s="559">
        <v>-700.0</v>
      </c>
      <c r="P147" s="522"/>
      <c r="Q147" s="521">
        <f t="shared" ref="Q147:Q175" si="24">Q146+N147+O147+P147</f>
        <v>3500.34</v>
      </c>
      <c r="R147" s="588"/>
    </row>
    <row r="148" ht="14.25" customHeight="1">
      <c r="B148" s="519"/>
      <c r="C148" s="573">
        <v>45691.0</v>
      </c>
      <c r="D148" s="241">
        <v>1.0</v>
      </c>
      <c r="E148" s="237">
        <v>2200.0</v>
      </c>
      <c r="F148" s="67"/>
      <c r="G148" s="67"/>
      <c r="H148" s="519"/>
      <c r="I148" s="67"/>
      <c r="J148" s="237">
        <v>600.0</v>
      </c>
      <c r="K148" s="69">
        <f t="shared" si="23"/>
        <v>0</v>
      </c>
      <c r="L148" s="67"/>
      <c r="M148" s="237"/>
      <c r="N148" s="559">
        <v>1600.0</v>
      </c>
      <c r="O148" s="559">
        <v>-700.0</v>
      </c>
      <c r="P148" s="522"/>
      <c r="Q148" s="521">
        <f t="shared" si="24"/>
        <v>4400.34</v>
      </c>
      <c r="R148" s="588"/>
    </row>
    <row r="149" ht="14.25" customHeight="1">
      <c r="B149" s="519"/>
      <c r="C149" s="573">
        <v>45720.0</v>
      </c>
      <c r="D149" s="241">
        <v>1.0</v>
      </c>
      <c r="E149" s="237">
        <v>2800.0</v>
      </c>
      <c r="F149" s="67"/>
      <c r="G149" s="67"/>
      <c r="H149" s="519"/>
      <c r="I149" s="67"/>
      <c r="J149" s="237">
        <v>1000.0</v>
      </c>
      <c r="K149" s="69">
        <f t="shared" si="23"/>
        <v>0</v>
      </c>
      <c r="L149" s="67"/>
      <c r="M149" s="237"/>
      <c r="N149" s="559">
        <v>1800.0</v>
      </c>
      <c r="O149" s="559">
        <v>-700.0</v>
      </c>
      <c r="P149" s="522"/>
      <c r="Q149" s="521">
        <f t="shared" si="24"/>
        <v>5500.34</v>
      </c>
      <c r="R149" s="523"/>
    </row>
    <row r="150" ht="14.25" hidden="1" customHeight="1">
      <c r="B150" s="524"/>
      <c r="C150" s="576">
        <v>45752.0</v>
      </c>
      <c r="D150" s="299"/>
      <c r="E150" s="294"/>
      <c r="F150" s="88"/>
      <c r="G150" s="88"/>
      <c r="H150" s="634"/>
      <c r="I150" s="88"/>
      <c r="J150" s="294"/>
      <c r="K150" s="90">
        <f t="shared" si="23"/>
        <v>0</v>
      </c>
      <c r="L150" s="294"/>
      <c r="M150" s="88"/>
      <c r="N150" s="294"/>
      <c r="O150" s="294"/>
      <c r="P150" s="526"/>
      <c r="Q150" s="88">
        <f t="shared" si="24"/>
        <v>5500.34</v>
      </c>
      <c r="R150" s="524"/>
    </row>
    <row r="151" ht="14.25" customHeight="1">
      <c r="B151" s="519"/>
      <c r="C151" s="573">
        <v>45784.0</v>
      </c>
      <c r="D151" s="241">
        <v>2.0</v>
      </c>
      <c r="E151" s="237">
        <v>4100.0</v>
      </c>
      <c r="F151" s="237">
        <v>700.0</v>
      </c>
      <c r="G151" s="67"/>
      <c r="H151" s="519"/>
      <c r="I151" s="67"/>
      <c r="J151" s="237">
        <v>1850.0</v>
      </c>
      <c r="K151" s="69">
        <f t="shared" si="23"/>
        <v>0</v>
      </c>
      <c r="L151" s="67"/>
      <c r="M151" s="237"/>
      <c r="N151" s="559">
        <v>2950.0</v>
      </c>
      <c r="O151" s="559">
        <v>-700.0</v>
      </c>
      <c r="P151" s="522"/>
      <c r="Q151" s="521">
        <f t="shared" si="24"/>
        <v>7750.34</v>
      </c>
      <c r="R151" s="523"/>
    </row>
    <row r="152" ht="14.25" customHeight="1">
      <c r="B152" s="519"/>
      <c r="C152" s="573">
        <v>45847.0</v>
      </c>
      <c r="D152" s="241">
        <v>2.0</v>
      </c>
      <c r="E152" s="237">
        <v>4100.0</v>
      </c>
      <c r="F152" s="237"/>
      <c r="G152" s="237"/>
      <c r="H152" s="519"/>
      <c r="I152" s="67"/>
      <c r="J152" s="237">
        <v>1500.0</v>
      </c>
      <c r="K152" s="69">
        <f t="shared" si="23"/>
        <v>0</v>
      </c>
      <c r="L152" s="67"/>
      <c r="M152" s="237">
        <v>2600.0</v>
      </c>
      <c r="N152" s="559"/>
      <c r="O152" s="559">
        <v>-700.0</v>
      </c>
      <c r="P152" s="522"/>
      <c r="Q152" s="521">
        <f t="shared" si="24"/>
        <v>7050.34</v>
      </c>
      <c r="R152" s="523"/>
    </row>
    <row r="153" ht="14.25" customHeight="1">
      <c r="B153" s="519"/>
      <c r="C153" s="573">
        <v>45910.0</v>
      </c>
      <c r="D153" s="241">
        <v>1.0</v>
      </c>
      <c r="E153" s="237">
        <v>2500.0</v>
      </c>
      <c r="F153" s="237"/>
      <c r="G153" s="237"/>
      <c r="H153" s="519"/>
      <c r="I153" s="67"/>
      <c r="J153" s="237">
        <v>1000.0</v>
      </c>
      <c r="K153" s="69">
        <f t="shared" si="23"/>
        <v>0</v>
      </c>
      <c r="L153" s="67"/>
      <c r="M153" s="237">
        <v>1500.0</v>
      </c>
      <c r="N153" s="559"/>
      <c r="O153" s="559">
        <v>-700.0</v>
      </c>
      <c r="P153" s="522"/>
      <c r="Q153" s="521">
        <f t="shared" si="24"/>
        <v>6350.34</v>
      </c>
      <c r="R153" s="523"/>
    </row>
    <row r="154" ht="14.25" customHeight="1">
      <c r="B154" s="519"/>
      <c r="C154" s="573">
        <v>45941.0</v>
      </c>
      <c r="D154" s="241">
        <v>1.0</v>
      </c>
      <c r="E154" s="237">
        <v>3000.0</v>
      </c>
      <c r="F154" s="67"/>
      <c r="G154" s="67"/>
      <c r="H154" s="519"/>
      <c r="I154" s="67"/>
      <c r="J154" s="237">
        <v>500.0</v>
      </c>
      <c r="K154" s="69">
        <f t="shared" si="23"/>
        <v>0</v>
      </c>
      <c r="L154" s="67"/>
      <c r="M154" s="237">
        <v>2500.0</v>
      </c>
      <c r="N154" s="521"/>
      <c r="O154" s="559">
        <v>-700.0</v>
      </c>
      <c r="P154" s="522"/>
      <c r="Q154" s="521">
        <f t="shared" si="24"/>
        <v>5650.34</v>
      </c>
      <c r="R154" s="588"/>
    </row>
    <row r="155" ht="14.25" customHeight="1">
      <c r="B155" s="519"/>
      <c r="C155" s="573">
        <v>45973.0</v>
      </c>
      <c r="D155" s="241">
        <v>1.0</v>
      </c>
      <c r="E155" s="237">
        <v>2300.0</v>
      </c>
      <c r="F155" s="67"/>
      <c r="G155" s="67"/>
      <c r="H155" s="519"/>
      <c r="I155" s="67"/>
      <c r="J155" s="237">
        <v>1000.0</v>
      </c>
      <c r="K155" s="69">
        <f t="shared" si="23"/>
        <v>0</v>
      </c>
      <c r="L155" s="67"/>
      <c r="M155" s="237"/>
      <c r="N155" s="559">
        <v>1300.0</v>
      </c>
      <c r="O155" s="559">
        <v>-700.0</v>
      </c>
      <c r="P155" s="522"/>
      <c r="Q155" s="521">
        <f t="shared" si="24"/>
        <v>6250.34</v>
      </c>
      <c r="R155" s="588"/>
    </row>
    <row r="156" ht="14.25" hidden="1" customHeight="1">
      <c r="B156" s="524"/>
      <c r="C156" s="576">
        <v>46004.0</v>
      </c>
      <c r="D156" s="299"/>
      <c r="E156" s="294"/>
      <c r="F156" s="88"/>
      <c r="G156" s="88"/>
      <c r="H156" s="634"/>
      <c r="I156" s="88"/>
      <c r="J156" s="294"/>
      <c r="K156" s="90">
        <f t="shared" si="23"/>
        <v>0</v>
      </c>
      <c r="L156" s="294"/>
      <c r="M156" s="88"/>
      <c r="N156" s="294"/>
      <c r="O156" s="294"/>
      <c r="P156" s="526"/>
      <c r="Q156" s="88">
        <f t="shared" si="24"/>
        <v>6250.34</v>
      </c>
      <c r="R156" s="524"/>
    </row>
    <row r="157" ht="14.25" customHeight="1">
      <c r="B157" s="519"/>
      <c r="C157" s="241" t="s">
        <v>46</v>
      </c>
      <c r="D157" s="241">
        <v>1.0</v>
      </c>
      <c r="E157" s="237">
        <v>2300.0</v>
      </c>
      <c r="F157" s="67"/>
      <c r="G157" s="67"/>
      <c r="H157" s="612"/>
      <c r="I157" s="67"/>
      <c r="J157" s="237"/>
      <c r="K157" s="69">
        <f t="shared" si="23"/>
        <v>0</v>
      </c>
      <c r="L157" s="237"/>
      <c r="M157" s="67"/>
      <c r="N157" s="559">
        <v>2300.0</v>
      </c>
      <c r="O157" s="559">
        <v>-700.0</v>
      </c>
      <c r="P157" s="522"/>
      <c r="Q157" s="521">
        <f t="shared" si="24"/>
        <v>7850.34</v>
      </c>
      <c r="R157" s="523"/>
    </row>
    <row r="158" ht="14.25" hidden="1" customHeight="1">
      <c r="B158" s="524"/>
      <c r="C158" s="299" t="s">
        <v>29</v>
      </c>
      <c r="D158" s="299"/>
      <c r="E158" s="294"/>
      <c r="F158" s="88"/>
      <c r="G158" s="88"/>
      <c r="H158" s="634"/>
      <c r="I158" s="88"/>
      <c r="J158" s="88"/>
      <c r="K158" s="90">
        <f t="shared" si="23"/>
        <v>0</v>
      </c>
      <c r="L158" s="294"/>
      <c r="M158" s="88"/>
      <c r="N158" s="88"/>
      <c r="O158" s="294"/>
      <c r="P158" s="526"/>
      <c r="Q158" s="88">
        <f t="shared" si="24"/>
        <v>7850.34</v>
      </c>
      <c r="R158" s="524"/>
    </row>
    <row r="159" ht="14.25" customHeight="1">
      <c r="B159" s="519"/>
      <c r="C159" s="241" t="s">
        <v>54</v>
      </c>
      <c r="D159" s="241">
        <v>2.0</v>
      </c>
      <c r="E159" s="237">
        <v>4300.0</v>
      </c>
      <c r="F159" s="67"/>
      <c r="G159" s="67"/>
      <c r="H159" s="519"/>
      <c r="I159" s="67"/>
      <c r="J159" s="237">
        <v>1500.0</v>
      </c>
      <c r="K159" s="69">
        <f t="shared" si="23"/>
        <v>0</v>
      </c>
      <c r="L159" s="67"/>
      <c r="M159" s="237"/>
      <c r="N159" s="559">
        <v>2800.0</v>
      </c>
      <c r="O159" s="559">
        <v>-700.0</v>
      </c>
      <c r="P159" s="522"/>
      <c r="Q159" s="521">
        <f t="shared" si="24"/>
        <v>9950.34</v>
      </c>
      <c r="R159" s="523"/>
    </row>
    <row r="160" ht="14.25" customHeight="1">
      <c r="B160" s="519"/>
      <c r="C160" s="241" t="s">
        <v>32</v>
      </c>
      <c r="D160" s="241">
        <v>1.0</v>
      </c>
      <c r="E160" s="237">
        <v>2800.0</v>
      </c>
      <c r="F160" s="67"/>
      <c r="G160" s="67"/>
      <c r="H160" s="519"/>
      <c r="I160" s="67"/>
      <c r="J160" s="237">
        <v>1000.0</v>
      </c>
      <c r="K160" s="69">
        <f t="shared" si="23"/>
        <v>0</v>
      </c>
      <c r="L160" s="67"/>
      <c r="M160" s="237">
        <v>1800.0</v>
      </c>
      <c r="N160" s="559"/>
      <c r="O160" s="559">
        <v>-700.0</v>
      </c>
      <c r="P160" s="522"/>
      <c r="Q160" s="521">
        <f t="shared" si="24"/>
        <v>9250.34</v>
      </c>
      <c r="R160" s="523"/>
    </row>
    <row r="161" ht="14.25" customHeight="1">
      <c r="B161" s="519"/>
      <c r="C161" s="241" t="s">
        <v>33</v>
      </c>
      <c r="D161" s="241">
        <v>1.0</v>
      </c>
      <c r="E161" s="237">
        <v>1886.65</v>
      </c>
      <c r="F161" s="237"/>
      <c r="G161" s="67"/>
      <c r="H161" s="612" t="s">
        <v>42</v>
      </c>
      <c r="I161" s="67"/>
      <c r="J161" s="237"/>
      <c r="K161" s="69">
        <f t="shared" si="23"/>
        <v>0</v>
      </c>
      <c r="L161" s="237">
        <v>1886.65</v>
      </c>
      <c r="M161" s="67"/>
      <c r="N161" s="559"/>
      <c r="O161" s="559">
        <v>-700.0</v>
      </c>
      <c r="P161" s="522"/>
      <c r="Q161" s="521">
        <f t="shared" si="24"/>
        <v>8550.34</v>
      </c>
      <c r="R161" s="523"/>
    </row>
    <row r="162" ht="14.25" customHeight="1">
      <c r="B162" s="519"/>
      <c r="C162" s="241" t="s">
        <v>34</v>
      </c>
      <c r="D162" s="241">
        <v>1.0</v>
      </c>
      <c r="E162" s="237">
        <v>2800.0</v>
      </c>
      <c r="F162" s="67"/>
      <c r="G162" s="67"/>
      <c r="H162" s="519"/>
      <c r="I162" s="67"/>
      <c r="J162" s="237">
        <v>1000.0</v>
      </c>
      <c r="K162" s="69">
        <f t="shared" si="23"/>
        <v>0</v>
      </c>
      <c r="L162" s="67"/>
      <c r="M162" s="67"/>
      <c r="N162" s="559">
        <v>1800.0</v>
      </c>
      <c r="O162" s="559">
        <v>-700.0</v>
      </c>
      <c r="P162" s="522"/>
      <c r="Q162" s="521">
        <f t="shared" si="24"/>
        <v>9650.34</v>
      </c>
      <c r="R162" s="523"/>
    </row>
    <row r="163" ht="14.25" customHeight="1">
      <c r="B163" s="519"/>
      <c r="C163" s="241" t="s">
        <v>69</v>
      </c>
      <c r="D163" s="241">
        <v>1.0</v>
      </c>
      <c r="E163" s="237">
        <v>2177.65</v>
      </c>
      <c r="F163" s="67"/>
      <c r="G163" s="67"/>
      <c r="H163" s="612" t="s">
        <v>42</v>
      </c>
      <c r="I163" s="67"/>
      <c r="J163" s="237"/>
      <c r="K163" s="69">
        <f t="shared" si="23"/>
        <v>0</v>
      </c>
      <c r="L163" s="237">
        <v>2177.65</v>
      </c>
      <c r="M163" s="67"/>
      <c r="N163" s="559"/>
      <c r="O163" s="559">
        <v>-700.0</v>
      </c>
      <c r="P163" s="522"/>
      <c r="Q163" s="521">
        <f t="shared" si="24"/>
        <v>8950.34</v>
      </c>
      <c r="R163" s="523"/>
    </row>
    <row r="164" ht="14.25" customHeight="1">
      <c r="B164" s="519"/>
      <c r="C164" s="241" t="s">
        <v>78</v>
      </c>
      <c r="D164" s="241">
        <v>2.0</v>
      </c>
      <c r="E164" s="237">
        <v>4947.0</v>
      </c>
      <c r="F164" s="67"/>
      <c r="G164" s="67"/>
      <c r="H164" s="612" t="s">
        <v>42</v>
      </c>
      <c r="I164" s="67"/>
      <c r="J164" s="237"/>
      <c r="K164" s="69">
        <f t="shared" si="23"/>
        <v>0</v>
      </c>
      <c r="L164" s="237">
        <v>4947.0</v>
      </c>
      <c r="M164" s="67"/>
      <c r="N164" s="559"/>
      <c r="O164" s="559">
        <v>-700.0</v>
      </c>
      <c r="P164" s="522"/>
      <c r="Q164" s="521">
        <f t="shared" si="24"/>
        <v>8250.34</v>
      </c>
      <c r="R164" s="523"/>
    </row>
    <row r="165" ht="14.25" customHeight="1">
      <c r="B165" s="519"/>
      <c r="C165" s="241" t="s">
        <v>41</v>
      </c>
      <c r="D165" s="241">
        <v>1.0</v>
      </c>
      <c r="E165" s="237">
        <v>2000.0</v>
      </c>
      <c r="F165" s="67"/>
      <c r="G165" s="67"/>
      <c r="H165" s="519"/>
      <c r="I165" s="67"/>
      <c r="J165" s="237">
        <v>1000.0</v>
      </c>
      <c r="K165" s="69">
        <f t="shared" si="23"/>
        <v>0</v>
      </c>
      <c r="L165" s="237"/>
      <c r="M165" s="67"/>
      <c r="N165" s="559">
        <v>1000.0</v>
      </c>
      <c r="O165" s="559">
        <v>-700.0</v>
      </c>
      <c r="P165" s="522"/>
      <c r="Q165" s="521">
        <f t="shared" si="24"/>
        <v>8550.34</v>
      </c>
      <c r="R165" s="523"/>
    </row>
    <row r="166" ht="14.25" customHeight="1">
      <c r="B166" s="519"/>
      <c r="C166" s="241" t="s">
        <v>44</v>
      </c>
      <c r="D166" s="241">
        <v>1.0</v>
      </c>
      <c r="E166" s="237">
        <v>2800.0</v>
      </c>
      <c r="F166" s="67"/>
      <c r="G166" s="67"/>
      <c r="H166" s="519"/>
      <c r="I166" s="67"/>
      <c r="J166" s="237">
        <v>1000.0</v>
      </c>
      <c r="K166" s="69">
        <f t="shared" si="23"/>
        <v>0</v>
      </c>
      <c r="L166" s="67"/>
      <c r="M166" s="67"/>
      <c r="N166" s="559">
        <v>1800.0</v>
      </c>
      <c r="O166" s="559">
        <v>-700.0</v>
      </c>
      <c r="P166" s="522"/>
      <c r="Q166" s="521">
        <f t="shared" si="24"/>
        <v>9650.34</v>
      </c>
      <c r="R166" s="523"/>
    </row>
    <row r="167" ht="14.25" customHeight="1">
      <c r="B167" s="519"/>
      <c r="C167" s="241" t="s">
        <v>99</v>
      </c>
      <c r="D167" s="241">
        <v>2.0</v>
      </c>
      <c r="E167" s="237">
        <v>3783.0</v>
      </c>
      <c r="F167" s="67"/>
      <c r="G167" s="67"/>
      <c r="H167" s="612" t="s">
        <v>42</v>
      </c>
      <c r="I167" s="67"/>
      <c r="J167" s="237"/>
      <c r="K167" s="69">
        <f t="shared" si="23"/>
        <v>0</v>
      </c>
      <c r="L167" s="237">
        <v>3783.0</v>
      </c>
      <c r="M167" s="67"/>
      <c r="N167" s="559"/>
      <c r="O167" s="559">
        <v>-700.0</v>
      </c>
      <c r="P167" s="522"/>
      <c r="Q167" s="521">
        <f t="shared" si="24"/>
        <v>8950.34</v>
      </c>
      <c r="R167" s="523"/>
    </row>
    <row r="168" ht="14.25" hidden="1" customHeight="1">
      <c r="B168" s="524"/>
      <c r="C168" s="299" t="s">
        <v>72</v>
      </c>
      <c r="D168" s="299"/>
      <c r="E168" s="294"/>
      <c r="F168" s="88"/>
      <c r="G168" s="88"/>
      <c r="H168" s="524"/>
      <c r="I168" s="88"/>
      <c r="J168" s="294"/>
      <c r="K168" s="90">
        <f t="shared" si="23"/>
        <v>0</v>
      </c>
      <c r="L168" s="294"/>
      <c r="M168" s="88"/>
      <c r="N168" s="294"/>
      <c r="O168" s="294"/>
      <c r="P168" s="526"/>
      <c r="Q168" s="88">
        <f t="shared" si="24"/>
        <v>8950.34</v>
      </c>
      <c r="R168" s="524"/>
    </row>
    <row r="169" ht="14.25" customHeight="1">
      <c r="B169" s="519"/>
      <c r="C169" s="241" t="s">
        <v>73</v>
      </c>
      <c r="D169" s="241">
        <v>1.0</v>
      </c>
      <c r="E169" s="237">
        <v>1886.65</v>
      </c>
      <c r="F169" s="67"/>
      <c r="G169" s="67"/>
      <c r="H169" s="612" t="s">
        <v>42</v>
      </c>
      <c r="I169" s="67"/>
      <c r="J169" s="237"/>
      <c r="K169" s="69">
        <f t="shared" si="23"/>
        <v>0</v>
      </c>
      <c r="L169" s="237">
        <v>1886.65</v>
      </c>
      <c r="M169" s="67"/>
      <c r="N169" s="559"/>
      <c r="O169" s="559">
        <v>-700.0</v>
      </c>
      <c r="P169" s="522"/>
      <c r="Q169" s="521">
        <f t="shared" si="24"/>
        <v>8250.34</v>
      </c>
      <c r="R169" s="523"/>
    </row>
    <row r="170" ht="14.25" customHeight="1">
      <c r="B170" s="519"/>
      <c r="C170" s="241" t="s">
        <v>49</v>
      </c>
      <c r="D170" s="241">
        <v>1.0</v>
      </c>
      <c r="E170" s="237">
        <v>2300.0</v>
      </c>
      <c r="F170" s="67"/>
      <c r="G170" s="67"/>
      <c r="H170" s="519"/>
      <c r="I170" s="67"/>
      <c r="J170" s="237">
        <v>1000.0</v>
      </c>
      <c r="K170" s="69">
        <f t="shared" si="23"/>
        <v>0</v>
      </c>
      <c r="L170" s="67"/>
      <c r="M170" s="67"/>
      <c r="N170" s="559">
        <v>1300.0</v>
      </c>
      <c r="O170" s="559">
        <v>-700.0</v>
      </c>
      <c r="P170" s="522"/>
      <c r="Q170" s="521">
        <f t="shared" si="24"/>
        <v>8850.34</v>
      </c>
      <c r="R170" s="523"/>
    </row>
    <row r="171" ht="14.25" customHeight="1">
      <c r="B171" s="519"/>
      <c r="C171" s="241" t="s">
        <v>167</v>
      </c>
      <c r="D171" s="241"/>
      <c r="E171" s="237">
        <v>2000.0</v>
      </c>
      <c r="F171" s="67"/>
      <c r="G171" s="67"/>
      <c r="H171" s="612" t="s">
        <v>98</v>
      </c>
      <c r="I171" s="67"/>
      <c r="J171" s="237">
        <v>2000.0</v>
      </c>
      <c r="K171" s="69">
        <f t="shared" si="23"/>
        <v>0</v>
      </c>
      <c r="L171" s="67"/>
      <c r="M171" s="67"/>
      <c r="N171" s="559"/>
      <c r="O171" s="559"/>
      <c r="P171" s="522"/>
      <c r="Q171" s="521">
        <f t="shared" si="24"/>
        <v>8850.34</v>
      </c>
      <c r="R171" s="523"/>
    </row>
    <row r="172" ht="14.25" customHeight="1">
      <c r="B172" s="519"/>
      <c r="C172" s="241" t="s">
        <v>75</v>
      </c>
      <c r="D172" s="241">
        <v>2.0</v>
      </c>
      <c r="E172" s="237">
        <v>4600.0</v>
      </c>
      <c r="F172" s="67"/>
      <c r="G172" s="237"/>
      <c r="H172" s="519"/>
      <c r="I172" s="67"/>
      <c r="J172" s="237">
        <v>1000.0</v>
      </c>
      <c r="K172" s="69">
        <f t="shared" si="23"/>
        <v>0</v>
      </c>
      <c r="L172" s="67"/>
      <c r="M172" s="237">
        <v>3600.0</v>
      </c>
      <c r="N172" s="559"/>
      <c r="O172" s="559">
        <v>-700.0</v>
      </c>
      <c r="P172" s="522"/>
      <c r="Q172" s="521">
        <f t="shared" si="24"/>
        <v>8150.34</v>
      </c>
      <c r="R172" s="523"/>
    </row>
    <row r="173" ht="14.25" customHeight="1">
      <c r="B173" s="519"/>
      <c r="C173" s="66"/>
      <c r="D173" s="66"/>
      <c r="E173" s="67"/>
      <c r="F173" s="67"/>
      <c r="G173" s="67"/>
      <c r="H173" s="519"/>
      <c r="I173" s="67"/>
      <c r="J173" s="67"/>
      <c r="K173" s="69">
        <f t="shared" si="23"/>
        <v>0</v>
      </c>
      <c r="L173" s="67"/>
      <c r="M173" s="67"/>
      <c r="N173" s="521"/>
      <c r="O173" s="521"/>
      <c r="P173" s="607">
        <v>-5625.68</v>
      </c>
      <c r="Q173" s="521">
        <f t="shared" si="24"/>
        <v>2524.66</v>
      </c>
      <c r="R173" s="523" t="s">
        <v>304</v>
      </c>
    </row>
    <row r="174" ht="14.25" customHeight="1">
      <c r="B174" s="519"/>
      <c r="C174" s="66"/>
      <c r="D174" s="66"/>
      <c r="E174" s="67"/>
      <c r="F174" s="67"/>
      <c r="G174" s="67"/>
      <c r="H174" s="519"/>
      <c r="I174" s="67"/>
      <c r="J174" s="67"/>
      <c r="K174" s="69">
        <f t="shared" si="23"/>
        <v>0</v>
      </c>
      <c r="L174" s="67"/>
      <c r="M174" s="67"/>
      <c r="N174" s="521"/>
      <c r="O174" s="521"/>
      <c r="P174" s="607">
        <v>-2715.7</v>
      </c>
      <c r="Q174" s="521">
        <f t="shared" si="24"/>
        <v>-191.04</v>
      </c>
      <c r="R174" s="523" t="s">
        <v>55</v>
      </c>
    </row>
    <row r="175" ht="14.25" customHeight="1">
      <c r="B175" s="519"/>
      <c r="C175" s="66"/>
      <c r="D175" s="66"/>
      <c r="E175" s="67"/>
      <c r="F175" s="67"/>
      <c r="G175" s="67"/>
      <c r="H175" s="519"/>
      <c r="I175" s="67"/>
      <c r="J175" s="67"/>
      <c r="K175" s="69">
        <f t="shared" si="23"/>
        <v>0</v>
      </c>
      <c r="L175" s="67"/>
      <c r="M175" s="67"/>
      <c r="N175" s="521"/>
      <c r="O175" s="521"/>
      <c r="P175" s="607">
        <v>191.04</v>
      </c>
      <c r="Q175" s="521">
        <f t="shared" si="24"/>
        <v>0</v>
      </c>
      <c r="R175" s="523" t="s">
        <v>55</v>
      </c>
    </row>
    <row r="176" ht="14.25" customHeight="1">
      <c r="B176" s="611" t="s">
        <v>141</v>
      </c>
      <c r="C176" s="551" t="s">
        <v>80</v>
      </c>
      <c r="D176" s="551">
        <f>sum(D147:D174)</f>
        <v>27</v>
      </c>
      <c r="E176" s="553">
        <f t="shared" ref="E176:H176" si="25">SUM(E147:E174)</f>
        <v>64130.95</v>
      </c>
      <c r="F176" s="553">
        <f t="shared" si="25"/>
        <v>700</v>
      </c>
      <c r="G176" s="553">
        <f t="shared" si="25"/>
        <v>0</v>
      </c>
      <c r="H176" s="553">
        <f t="shared" si="25"/>
        <v>0</v>
      </c>
      <c r="I176" s="628">
        <f>SUM(I146:I174)</f>
        <v>0</v>
      </c>
      <c r="J176" s="553">
        <f>SUM(J147:J174)</f>
        <v>17950</v>
      </c>
      <c r="K176" s="553">
        <f>SUM(K146:K174)</f>
        <v>0</v>
      </c>
      <c r="L176" s="553">
        <f t="shared" ref="L176:O176" si="26">SUM(L147:L174)</f>
        <v>14680.95</v>
      </c>
      <c r="M176" s="553">
        <f t="shared" si="26"/>
        <v>12000</v>
      </c>
      <c r="N176" s="553">
        <f t="shared" si="26"/>
        <v>20200</v>
      </c>
      <c r="O176" s="553">
        <f t="shared" si="26"/>
        <v>-14700</v>
      </c>
      <c r="P176" s="553">
        <f>SUM(P147:P175)</f>
        <v>-8150.34</v>
      </c>
      <c r="Q176" s="557">
        <f>Q175</f>
        <v>0</v>
      </c>
      <c r="R176" s="558"/>
    </row>
    <row r="177" ht="14.25" customHeight="1">
      <c r="B177" s="612" t="s">
        <v>146</v>
      </c>
      <c r="C177" s="573">
        <v>45659.0</v>
      </c>
      <c r="D177" s="241">
        <v>1.0</v>
      </c>
      <c r="E177" s="237">
        <v>2300.0</v>
      </c>
      <c r="F177" s="67"/>
      <c r="G177" s="67"/>
      <c r="H177" s="519"/>
      <c r="I177" s="67"/>
      <c r="J177" s="237">
        <v>1300.0</v>
      </c>
      <c r="K177" s="69">
        <f>E177-J177-L177-M177-N177-I177+F177</f>
        <v>0</v>
      </c>
      <c r="L177" s="67"/>
      <c r="M177" s="67"/>
      <c r="N177" s="559">
        <v>1000.0</v>
      </c>
      <c r="O177" s="559">
        <v>-700.0</v>
      </c>
      <c r="P177" s="522"/>
      <c r="Q177" s="521">
        <f t="shared" ref="Q177:Q206" si="27">Q176+N177+O177+P177</f>
        <v>300</v>
      </c>
      <c r="R177" s="523"/>
    </row>
    <row r="178" ht="14.25" customHeight="1">
      <c r="B178" s="612"/>
      <c r="C178" s="573">
        <v>45691.0</v>
      </c>
      <c r="D178" s="241">
        <v>1.0</v>
      </c>
      <c r="E178" s="237">
        <v>1800.0</v>
      </c>
      <c r="F178" s="237">
        <v>400.0</v>
      </c>
      <c r="G178" s="237">
        <v>850.0</v>
      </c>
      <c r="H178" s="519"/>
      <c r="I178" s="67"/>
      <c r="J178" s="237"/>
      <c r="K178" s="69">
        <f t="shared" ref="K178:K203" si="28">E178-J178-L178-M178-N178-I178+F178+G178</f>
        <v>0</v>
      </c>
      <c r="L178" s="67"/>
      <c r="M178" s="237"/>
      <c r="N178" s="559">
        <v>3050.0</v>
      </c>
      <c r="O178" s="559">
        <v>-700.0</v>
      </c>
      <c r="P178" s="522"/>
      <c r="Q178" s="521">
        <f t="shared" si="27"/>
        <v>2650</v>
      </c>
      <c r="R178" s="588"/>
    </row>
    <row r="179" ht="14.25" customHeight="1">
      <c r="B179" s="519"/>
      <c r="C179" s="573">
        <v>45720.0</v>
      </c>
      <c r="D179" s="241">
        <v>1.0</v>
      </c>
      <c r="E179" s="237">
        <v>1800.0</v>
      </c>
      <c r="F179" s="67"/>
      <c r="G179" s="237">
        <v>600.0</v>
      </c>
      <c r="H179" s="519"/>
      <c r="I179" s="67"/>
      <c r="J179" s="237"/>
      <c r="K179" s="69">
        <f t="shared" si="28"/>
        <v>0</v>
      </c>
      <c r="L179" s="67"/>
      <c r="M179" s="237"/>
      <c r="N179" s="559">
        <v>2400.0</v>
      </c>
      <c r="O179" s="559">
        <v>-700.0</v>
      </c>
      <c r="P179" s="522"/>
      <c r="Q179" s="521">
        <f t="shared" si="27"/>
        <v>4350</v>
      </c>
      <c r="R179" s="588"/>
    </row>
    <row r="180" ht="14.25" hidden="1" customHeight="1">
      <c r="B180" s="524"/>
      <c r="C180" s="576">
        <v>45753.0</v>
      </c>
      <c r="D180" s="299"/>
      <c r="E180" s="294"/>
      <c r="F180" s="88"/>
      <c r="G180" s="88"/>
      <c r="H180" s="524"/>
      <c r="I180" s="88"/>
      <c r="J180" s="294"/>
      <c r="K180" s="90">
        <f t="shared" si="28"/>
        <v>0</v>
      </c>
      <c r="L180" s="88"/>
      <c r="M180" s="294"/>
      <c r="N180" s="294"/>
      <c r="O180" s="294"/>
      <c r="P180" s="526"/>
      <c r="Q180" s="88">
        <f t="shared" si="27"/>
        <v>4350</v>
      </c>
      <c r="R180" s="524"/>
      <c r="S180" s="408"/>
    </row>
    <row r="181" ht="14.25" hidden="1" customHeight="1">
      <c r="B181" s="524"/>
      <c r="C181" s="576"/>
      <c r="D181" s="299"/>
      <c r="E181" s="294"/>
      <c r="F181" s="88"/>
      <c r="G181" s="88"/>
      <c r="H181" s="634"/>
      <c r="I181" s="88"/>
      <c r="J181" s="294"/>
      <c r="K181" s="69">
        <f t="shared" si="28"/>
        <v>0</v>
      </c>
      <c r="L181" s="294"/>
      <c r="M181" s="88"/>
      <c r="N181" s="294"/>
      <c r="O181" s="294"/>
      <c r="P181" s="526"/>
      <c r="Q181" s="88">
        <f t="shared" si="27"/>
        <v>4350</v>
      </c>
      <c r="R181" s="524"/>
    </row>
    <row r="182" ht="14.25" customHeight="1">
      <c r="B182" s="519"/>
      <c r="C182" s="573">
        <v>45815.0</v>
      </c>
      <c r="D182" s="241">
        <v>1.0</v>
      </c>
      <c r="E182" s="237">
        <v>2500.0</v>
      </c>
      <c r="F182" s="237"/>
      <c r="G182" s="67"/>
      <c r="H182" s="519"/>
      <c r="I182" s="67"/>
      <c r="J182" s="237">
        <v>1000.0</v>
      </c>
      <c r="K182" s="69">
        <f t="shared" si="28"/>
        <v>0</v>
      </c>
      <c r="L182" s="67"/>
      <c r="M182" s="237"/>
      <c r="N182" s="559">
        <v>1500.0</v>
      </c>
      <c r="O182" s="559">
        <v>-700.0</v>
      </c>
      <c r="P182" s="522"/>
      <c r="Q182" s="521">
        <f t="shared" si="27"/>
        <v>5150</v>
      </c>
      <c r="R182" s="523"/>
    </row>
    <row r="183" ht="14.25" customHeight="1">
      <c r="B183" s="519"/>
      <c r="C183" s="573">
        <v>45846.0</v>
      </c>
      <c r="D183" s="241">
        <v>1.0</v>
      </c>
      <c r="E183" s="237">
        <f>200+2700</f>
        <v>2900</v>
      </c>
      <c r="F183" s="237"/>
      <c r="G183" s="237"/>
      <c r="H183" s="519"/>
      <c r="I183" s="67"/>
      <c r="J183" s="237">
        <v>700.0</v>
      </c>
      <c r="K183" s="69">
        <f t="shared" si="28"/>
        <v>0</v>
      </c>
      <c r="L183" s="67"/>
      <c r="M183" s="237"/>
      <c r="N183" s="559">
        <v>2200.0</v>
      </c>
      <c r="O183" s="559">
        <v>-700.0</v>
      </c>
      <c r="P183" s="522"/>
      <c r="Q183" s="521">
        <f t="shared" si="27"/>
        <v>6650</v>
      </c>
      <c r="R183" s="523"/>
    </row>
    <row r="184" ht="14.25" hidden="1" customHeight="1">
      <c r="B184" s="524"/>
      <c r="C184" s="576">
        <v>45878.0</v>
      </c>
      <c r="D184" s="299"/>
      <c r="E184" s="294"/>
      <c r="F184" s="294"/>
      <c r="G184" s="294"/>
      <c r="H184" s="524"/>
      <c r="I184" s="88"/>
      <c r="J184" s="294"/>
      <c r="K184" s="90">
        <f t="shared" si="28"/>
        <v>0</v>
      </c>
      <c r="L184" s="88"/>
      <c r="M184" s="294"/>
      <c r="N184" s="294"/>
      <c r="O184" s="294"/>
      <c r="P184" s="526"/>
      <c r="Q184" s="88">
        <f t="shared" si="27"/>
        <v>6650</v>
      </c>
      <c r="R184" s="524"/>
    </row>
    <row r="185" ht="14.25" customHeight="1">
      <c r="B185" s="519"/>
      <c r="C185" s="573">
        <v>45910.0</v>
      </c>
      <c r="D185" s="241">
        <v>1.0</v>
      </c>
      <c r="E185" s="237">
        <f>1879.65+400</f>
        <v>2279.65</v>
      </c>
      <c r="F185" s="67"/>
      <c r="G185" s="67"/>
      <c r="H185" s="612" t="s">
        <v>42</v>
      </c>
      <c r="I185" s="67"/>
      <c r="J185" s="237"/>
      <c r="K185" s="69">
        <f t="shared" si="28"/>
        <v>0</v>
      </c>
      <c r="L185" s="237">
        <v>1879.65</v>
      </c>
      <c r="M185" s="237"/>
      <c r="N185" s="559">
        <v>400.0</v>
      </c>
      <c r="O185" s="559">
        <v>-700.0</v>
      </c>
      <c r="P185" s="522"/>
      <c r="Q185" s="521">
        <f t="shared" si="27"/>
        <v>6350</v>
      </c>
      <c r="R185" s="588"/>
    </row>
    <row r="186" ht="14.25" customHeight="1">
      <c r="B186" s="519"/>
      <c r="C186" s="573">
        <v>45941.0</v>
      </c>
      <c r="D186" s="241">
        <v>1.0</v>
      </c>
      <c r="E186" s="237">
        <v>2300.0</v>
      </c>
      <c r="F186" s="237">
        <v>450.0</v>
      </c>
      <c r="G186" s="67"/>
      <c r="H186" s="612"/>
      <c r="I186" s="67"/>
      <c r="J186" s="237">
        <v>1250.0</v>
      </c>
      <c r="K186" s="69">
        <f t="shared" si="28"/>
        <v>0</v>
      </c>
      <c r="L186" s="67"/>
      <c r="M186" s="237">
        <v>1500.0</v>
      </c>
      <c r="N186" s="559"/>
      <c r="O186" s="559">
        <v>-700.0</v>
      </c>
      <c r="P186" s="522"/>
      <c r="Q186" s="521">
        <f t="shared" si="27"/>
        <v>5650</v>
      </c>
      <c r="R186" s="588" t="s">
        <v>157</v>
      </c>
    </row>
    <row r="187" ht="14.25" hidden="1" customHeight="1">
      <c r="B187" s="524"/>
      <c r="C187" s="576"/>
      <c r="D187" s="299"/>
      <c r="E187" s="294"/>
      <c r="F187" s="88"/>
      <c r="G187" s="88"/>
      <c r="H187" s="634"/>
      <c r="I187" s="88"/>
      <c r="J187" s="294"/>
      <c r="K187" s="69">
        <f t="shared" si="28"/>
        <v>0</v>
      </c>
      <c r="L187" s="294"/>
      <c r="M187" s="88"/>
      <c r="N187" s="294"/>
      <c r="O187" s="294"/>
      <c r="P187" s="526"/>
      <c r="Q187" s="88">
        <f t="shared" si="27"/>
        <v>5650</v>
      </c>
      <c r="R187" s="524"/>
    </row>
    <row r="188" ht="14.25" customHeight="1">
      <c r="B188" s="519"/>
      <c r="C188" s="573">
        <v>45973.0</v>
      </c>
      <c r="D188" s="241">
        <v>1.0</v>
      </c>
      <c r="E188" s="237">
        <v>2300.0</v>
      </c>
      <c r="F188" s="67"/>
      <c r="G188" s="67"/>
      <c r="H188" s="612"/>
      <c r="I188" s="67"/>
      <c r="J188" s="237">
        <v>1000.0</v>
      </c>
      <c r="K188" s="69">
        <f t="shared" si="28"/>
        <v>0</v>
      </c>
      <c r="L188" s="237"/>
      <c r="M188" s="67"/>
      <c r="N188" s="559">
        <v>1300.0</v>
      </c>
      <c r="O188" s="559">
        <v>-700.0</v>
      </c>
      <c r="P188" s="522"/>
      <c r="Q188" s="521">
        <f t="shared" si="27"/>
        <v>6250</v>
      </c>
      <c r="R188" s="523"/>
    </row>
    <row r="189" ht="14.25" hidden="1" customHeight="1">
      <c r="B189" s="524"/>
      <c r="C189" s="299"/>
      <c r="D189" s="299"/>
      <c r="E189" s="294"/>
      <c r="F189" s="88"/>
      <c r="G189" s="88"/>
      <c r="H189" s="634"/>
      <c r="I189" s="88"/>
      <c r="J189" s="88"/>
      <c r="K189" s="69">
        <f t="shared" si="28"/>
        <v>0</v>
      </c>
      <c r="L189" s="294"/>
      <c r="M189" s="88"/>
      <c r="N189" s="88"/>
      <c r="O189" s="294"/>
      <c r="P189" s="526"/>
      <c r="Q189" s="88">
        <f t="shared" si="27"/>
        <v>6250</v>
      </c>
      <c r="R189" s="524"/>
    </row>
    <row r="190" ht="14.25" customHeight="1">
      <c r="B190" s="519"/>
      <c r="C190" s="573">
        <v>46004.0</v>
      </c>
      <c r="D190" s="241">
        <v>1.0</v>
      </c>
      <c r="E190" s="237">
        <v>2800.0</v>
      </c>
      <c r="F190" s="67"/>
      <c r="G190" s="67"/>
      <c r="H190" s="519"/>
      <c r="I190" s="67"/>
      <c r="J190" s="237">
        <v>1000.0</v>
      </c>
      <c r="K190" s="69">
        <f t="shared" si="28"/>
        <v>0</v>
      </c>
      <c r="L190" s="67"/>
      <c r="M190" s="237"/>
      <c r="N190" s="559">
        <v>1800.0</v>
      </c>
      <c r="O190" s="559">
        <v>-700.0</v>
      </c>
      <c r="P190" s="522"/>
      <c r="Q190" s="521">
        <f t="shared" si="27"/>
        <v>7350</v>
      </c>
      <c r="R190" s="523"/>
    </row>
    <row r="191" ht="14.25" customHeight="1">
      <c r="B191" s="519"/>
      <c r="C191" s="241" t="s">
        <v>46</v>
      </c>
      <c r="D191" s="241">
        <v>1.0</v>
      </c>
      <c r="E191" s="237">
        <v>2662.43</v>
      </c>
      <c r="F191" s="67"/>
      <c r="G191" s="67"/>
      <c r="H191" s="612" t="s">
        <v>42</v>
      </c>
      <c r="I191" s="67"/>
      <c r="J191" s="237"/>
      <c r="K191" s="69">
        <f t="shared" si="28"/>
        <v>0</v>
      </c>
      <c r="L191" s="237">
        <v>2662.43</v>
      </c>
      <c r="M191" s="237"/>
      <c r="N191" s="559"/>
      <c r="O191" s="559">
        <v>-700.0</v>
      </c>
      <c r="P191" s="522"/>
      <c r="Q191" s="521">
        <f t="shared" si="27"/>
        <v>6650</v>
      </c>
      <c r="R191" s="523"/>
    </row>
    <row r="192" ht="14.25" customHeight="1">
      <c r="B192" s="519"/>
      <c r="C192" s="241" t="s">
        <v>101</v>
      </c>
      <c r="D192" s="241">
        <v>2.0</v>
      </c>
      <c r="E192" s="237">
        <v>5100.0</v>
      </c>
      <c r="F192" s="237"/>
      <c r="G192" s="67"/>
      <c r="H192" s="612"/>
      <c r="I192" s="67"/>
      <c r="J192" s="237">
        <v>1500.0</v>
      </c>
      <c r="K192" s="69">
        <f t="shared" si="28"/>
        <v>0</v>
      </c>
      <c r="L192" s="237"/>
      <c r="M192" s="237">
        <v>3600.0</v>
      </c>
      <c r="N192" s="559"/>
      <c r="O192" s="559">
        <v>-700.0</v>
      </c>
      <c r="P192" s="522"/>
      <c r="Q192" s="521">
        <f t="shared" si="27"/>
        <v>5950</v>
      </c>
      <c r="R192" s="588" t="s">
        <v>157</v>
      </c>
    </row>
    <row r="193" ht="14.25" hidden="1" customHeight="1">
      <c r="B193" s="524"/>
      <c r="C193" s="299" t="s">
        <v>247</v>
      </c>
      <c r="D193" s="299"/>
      <c r="E193" s="294"/>
      <c r="F193" s="88"/>
      <c r="G193" s="88"/>
      <c r="H193" s="524"/>
      <c r="I193" s="88"/>
      <c r="J193" s="294"/>
      <c r="K193" s="90">
        <f t="shared" si="28"/>
        <v>0</v>
      </c>
      <c r="L193" s="88"/>
      <c r="M193" s="88"/>
      <c r="N193" s="294"/>
      <c r="O193" s="294"/>
      <c r="P193" s="526"/>
      <c r="Q193" s="88">
        <f t="shared" si="27"/>
        <v>5950</v>
      </c>
      <c r="R193" s="524"/>
    </row>
    <row r="194" ht="14.25" customHeight="1">
      <c r="B194" s="519"/>
      <c r="C194" s="241" t="s">
        <v>34</v>
      </c>
      <c r="D194" s="241">
        <v>1.0</v>
      </c>
      <c r="E194" s="237">
        <v>2000.0</v>
      </c>
      <c r="F194" s="67"/>
      <c r="G194" s="67"/>
      <c r="H194" s="612"/>
      <c r="I194" s="67"/>
      <c r="J194" s="237">
        <v>500.0</v>
      </c>
      <c r="K194" s="69">
        <f t="shared" si="28"/>
        <v>0</v>
      </c>
      <c r="L194" s="237"/>
      <c r="M194" s="237">
        <v>1500.0</v>
      </c>
      <c r="N194" s="559"/>
      <c r="O194" s="559">
        <v>-700.0</v>
      </c>
      <c r="P194" s="522"/>
      <c r="Q194" s="521">
        <f t="shared" si="27"/>
        <v>5250</v>
      </c>
      <c r="R194" s="523"/>
    </row>
    <row r="195" ht="14.25" customHeight="1">
      <c r="B195" s="519"/>
      <c r="C195" s="241" t="s">
        <v>69</v>
      </c>
      <c r="D195" s="241">
        <v>1.0</v>
      </c>
      <c r="E195" s="237">
        <v>2200.0</v>
      </c>
      <c r="F195" s="67"/>
      <c r="G195" s="67"/>
      <c r="H195" s="612"/>
      <c r="I195" s="67"/>
      <c r="J195" s="237">
        <v>500.0</v>
      </c>
      <c r="K195" s="69">
        <f t="shared" si="28"/>
        <v>0</v>
      </c>
      <c r="L195" s="237"/>
      <c r="M195" s="67"/>
      <c r="N195" s="559">
        <v>1700.0</v>
      </c>
      <c r="O195" s="559">
        <v>-700.0</v>
      </c>
      <c r="P195" s="522"/>
      <c r="Q195" s="521">
        <f t="shared" si="27"/>
        <v>6250</v>
      </c>
      <c r="R195" s="523"/>
    </row>
    <row r="196" ht="14.25" customHeight="1">
      <c r="B196" s="519"/>
      <c r="C196" s="241" t="s">
        <v>78</v>
      </c>
      <c r="D196" s="241">
        <v>2.0</v>
      </c>
      <c r="E196" s="237">
        <v>4928.64</v>
      </c>
      <c r="F196" s="67"/>
      <c r="G196" s="67"/>
      <c r="H196" s="612" t="s">
        <v>42</v>
      </c>
      <c r="I196" s="67"/>
      <c r="J196" s="237"/>
      <c r="K196" s="69">
        <f t="shared" si="28"/>
        <v>0</v>
      </c>
      <c r="L196" s="237">
        <v>4928.64</v>
      </c>
      <c r="M196" s="67"/>
      <c r="N196" s="559"/>
      <c r="O196" s="559">
        <v>-700.0</v>
      </c>
      <c r="P196" s="522"/>
      <c r="Q196" s="521">
        <f t="shared" si="27"/>
        <v>5550</v>
      </c>
      <c r="R196" s="523"/>
    </row>
    <row r="197" ht="14.25" customHeight="1">
      <c r="B197" s="519"/>
      <c r="C197" s="241" t="s">
        <v>104</v>
      </c>
      <c r="D197" s="241">
        <v>3.0</v>
      </c>
      <c r="E197" s="237">
        <f>7250-1050</f>
        <v>6200</v>
      </c>
      <c r="F197" s="67">
        <f>350*3</f>
        <v>1050</v>
      </c>
      <c r="G197" s="67"/>
      <c r="H197" s="519"/>
      <c r="I197" s="67"/>
      <c r="J197" s="237">
        <v>2675.0</v>
      </c>
      <c r="K197" s="69">
        <f t="shared" si="28"/>
        <v>0</v>
      </c>
      <c r="L197" s="67"/>
      <c r="M197" s="67"/>
      <c r="N197" s="559">
        <v>4575.0</v>
      </c>
      <c r="O197" s="559">
        <v>-700.0</v>
      </c>
      <c r="P197" s="522"/>
      <c r="Q197" s="521">
        <f t="shared" si="27"/>
        <v>9425</v>
      </c>
      <c r="R197" s="523"/>
    </row>
    <row r="198" ht="14.25" hidden="1" customHeight="1">
      <c r="B198" s="524"/>
      <c r="C198" s="299" t="s">
        <v>47</v>
      </c>
      <c r="D198" s="299"/>
      <c r="E198" s="294"/>
      <c r="F198" s="88"/>
      <c r="G198" s="88"/>
      <c r="H198" s="634"/>
      <c r="I198" s="88"/>
      <c r="J198" s="294"/>
      <c r="K198" s="90">
        <f t="shared" si="28"/>
        <v>0</v>
      </c>
      <c r="L198" s="294"/>
      <c r="M198" s="88"/>
      <c r="N198" s="294"/>
      <c r="O198" s="294"/>
      <c r="P198" s="526"/>
      <c r="Q198" s="88">
        <f t="shared" si="27"/>
        <v>9425</v>
      </c>
      <c r="R198" s="524"/>
    </row>
    <row r="199" ht="14.25" hidden="1" customHeight="1">
      <c r="B199" s="524"/>
      <c r="C199" s="299"/>
      <c r="D199" s="299"/>
      <c r="E199" s="294"/>
      <c r="F199" s="88"/>
      <c r="G199" s="88"/>
      <c r="H199" s="524"/>
      <c r="I199" s="88"/>
      <c r="J199" s="294"/>
      <c r="K199" s="69">
        <f t="shared" si="28"/>
        <v>0</v>
      </c>
      <c r="L199" s="294"/>
      <c r="M199" s="88"/>
      <c r="N199" s="294"/>
      <c r="O199" s="294"/>
      <c r="P199" s="526"/>
      <c r="Q199" s="88">
        <f t="shared" si="27"/>
        <v>9425</v>
      </c>
      <c r="R199" s="524"/>
    </row>
    <row r="200" ht="14.25" customHeight="1">
      <c r="B200" s="519"/>
      <c r="C200" s="241" t="s">
        <v>72</v>
      </c>
      <c r="D200" s="241">
        <v>1.0</v>
      </c>
      <c r="E200" s="237">
        <v>2300.0</v>
      </c>
      <c r="F200" s="67"/>
      <c r="G200" s="67"/>
      <c r="H200" s="612"/>
      <c r="I200" s="67"/>
      <c r="J200" s="237">
        <v>1000.0</v>
      </c>
      <c r="K200" s="69">
        <f t="shared" si="28"/>
        <v>0</v>
      </c>
      <c r="L200" s="237"/>
      <c r="M200" s="67"/>
      <c r="N200" s="559">
        <v>1300.0</v>
      </c>
      <c r="O200" s="559">
        <v>-700.0</v>
      </c>
      <c r="P200" s="522"/>
      <c r="Q200" s="521">
        <f t="shared" si="27"/>
        <v>10025</v>
      </c>
      <c r="R200" s="523"/>
    </row>
    <row r="201" ht="14.25" customHeight="1">
      <c r="B201" s="519"/>
      <c r="C201" s="241" t="s">
        <v>73</v>
      </c>
      <c r="D201" s="241">
        <v>1.0</v>
      </c>
      <c r="E201" s="237">
        <v>2800.0</v>
      </c>
      <c r="F201" s="67"/>
      <c r="G201" s="67"/>
      <c r="H201" s="519"/>
      <c r="I201" s="67"/>
      <c r="J201" s="237">
        <v>1000.0</v>
      </c>
      <c r="K201" s="69">
        <f t="shared" si="28"/>
        <v>0</v>
      </c>
      <c r="L201" s="67"/>
      <c r="M201" s="67"/>
      <c r="N201" s="559">
        <v>1800.0</v>
      </c>
      <c r="O201" s="559">
        <v>-700.0</v>
      </c>
      <c r="P201" s="522"/>
      <c r="Q201" s="521">
        <f t="shared" si="27"/>
        <v>11125</v>
      </c>
      <c r="R201" s="523"/>
    </row>
    <row r="202" ht="14.25" hidden="1" customHeight="1">
      <c r="B202" s="524"/>
      <c r="C202" s="299" t="s">
        <v>49</v>
      </c>
      <c r="D202" s="299"/>
      <c r="E202" s="294"/>
      <c r="F202" s="88"/>
      <c r="G202" s="88"/>
      <c r="H202" s="634"/>
      <c r="I202" s="88"/>
      <c r="J202" s="294"/>
      <c r="K202" s="90">
        <f t="shared" si="28"/>
        <v>0</v>
      </c>
      <c r="L202" s="88"/>
      <c r="M202" s="88"/>
      <c r="N202" s="294"/>
      <c r="O202" s="294"/>
      <c r="P202" s="526"/>
      <c r="Q202" s="88">
        <f t="shared" si="27"/>
        <v>11125</v>
      </c>
      <c r="R202" s="524"/>
    </row>
    <row r="203" ht="14.25" customHeight="1">
      <c r="B203" s="519"/>
      <c r="C203" s="241" t="s">
        <v>50</v>
      </c>
      <c r="D203" s="241">
        <v>1.0</v>
      </c>
      <c r="E203" s="237">
        <v>2000.0</v>
      </c>
      <c r="F203" s="67"/>
      <c r="G203" s="237"/>
      <c r="H203" s="519"/>
      <c r="I203" s="67"/>
      <c r="J203" s="237">
        <v>1000.0</v>
      </c>
      <c r="K203" s="69">
        <f t="shared" si="28"/>
        <v>0</v>
      </c>
      <c r="L203" s="67"/>
      <c r="M203" s="237"/>
      <c r="N203" s="615">
        <v>1000.0</v>
      </c>
      <c r="O203" s="559">
        <v>-700.0</v>
      </c>
      <c r="P203" s="522"/>
      <c r="Q203" s="521">
        <f t="shared" si="27"/>
        <v>11425</v>
      </c>
      <c r="R203" s="523"/>
    </row>
    <row r="204" ht="14.25" customHeight="1">
      <c r="B204" s="519"/>
      <c r="C204" s="66"/>
      <c r="D204" s="66"/>
      <c r="E204" s="67"/>
      <c r="F204" s="67"/>
      <c r="G204" s="67"/>
      <c r="H204" s="519"/>
      <c r="I204" s="67"/>
      <c r="J204" s="67"/>
      <c r="K204" s="69"/>
      <c r="L204" s="67"/>
      <c r="M204" s="67"/>
      <c r="N204" s="521"/>
      <c r="O204" s="521"/>
      <c r="P204" s="607">
        <v>-500.0</v>
      </c>
      <c r="Q204" s="521">
        <f t="shared" si="27"/>
        <v>10925</v>
      </c>
      <c r="R204" s="588" t="s">
        <v>187</v>
      </c>
    </row>
    <row r="205" ht="14.25" customHeight="1">
      <c r="B205" s="519"/>
      <c r="C205" s="66"/>
      <c r="D205" s="66"/>
      <c r="E205" s="67"/>
      <c r="F205" s="67"/>
      <c r="G205" s="67"/>
      <c r="H205" s="519"/>
      <c r="I205" s="67"/>
      <c r="J205" s="67"/>
      <c r="K205" s="69">
        <f t="shared" ref="K205:K206" si="29">E205-J205-L205-M205-N205-I205+F205+G205</f>
        <v>0</v>
      </c>
      <c r="L205" s="67"/>
      <c r="M205" s="67"/>
      <c r="N205" s="521"/>
      <c r="O205" s="521"/>
      <c r="P205" s="607">
        <v>-5817.27</v>
      </c>
      <c r="Q205" s="521">
        <f t="shared" si="27"/>
        <v>5107.73</v>
      </c>
      <c r="R205" s="523" t="s">
        <v>304</v>
      </c>
    </row>
    <row r="206" ht="14.25" customHeight="1">
      <c r="B206" s="519"/>
      <c r="C206" s="66"/>
      <c r="D206" s="66"/>
      <c r="E206" s="67"/>
      <c r="F206" s="67"/>
      <c r="G206" s="67"/>
      <c r="H206" s="519"/>
      <c r="I206" s="67"/>
      <c r="J206" s="67"/>
      <c r="K206" s="69">
        <f t="shared" si="29"/>
        <v>0</v>
      </c>
      <c r="L206" s="67"/>
      <c r="M206" s="67"/>
      <c r="N206" s="521"/>
      <c r="O206" s="521"/>
      <c r="P206" s="607">
        <v>-2915.89</v>
      </c>
      <c r="Q206" s="521">
        <f t="shared" si="27"/>
        <v>2191.84</v>
      </c>
      <c r="R206" s="523" t="s">
        <v>55</v>
      </c>
    </row>
    <row r="207" ht="14.25" customHeight="1">
      <c r="B207" s="611" t="s">
        <v>154</v>
      </c>
      <c r="C207" s="551" t="s">
        <v>80</v>
      </c>
      <c r="D207" s="551">
        <f>sum(D177:D206)</f>
        <v>22</v>
      </c>
      <c r="E207" s="553">
        <f t="shared" ref="E207:O207" si="30">SUM(E177:E206)</f>
        <v>51170.72</v>
      </c>
      <c r="F207" s="553">
        <f t="shared" si="30"/>
        <v>1900</v>
      </c>
      <c r="G207" s="553">
        <f t="shared" si="30"/>
        <v>1450</v>
      </c>
      <c r="H207" s="553">
        <f t="shared" si="30"/>
        <v>0</v>
      </c>
      <c r="I207" s="553">
        <f t="shared" si="30"/>
        <v>0</v>
      </c>
      <c r="J207" s="553">
        <f t="shared" si="30"/>
        <v>14425</v>
      </c>
      <c r="K207" s="553">
        <f t="shared" si="30"/>
        <v>0</v>
      </c>
      <c r="L207" s="553">
        <f t="shared" si="30"/>
        <v>9470.72</v>
      </c>
      <c r="M207" s="553">
        <f t="shared" si="30"/>
        <v>6600</v>
      </c>
      <c r="N207" s="553">
        <f t="shared" si="30"/>
        <v>24025</v>
      </c>
      <c r="O207" s="553">
        <f t="shared" si="30"/>
        <v>-12600</v>
      </c>
      <c r="P207" s="553">
        <f>SUM(P178:P206)</f>
        <v>-9233.16</v>
      </c>
      <c r="Q207" s="557">
        <f>Q206</f>
        <v>2191.84</v>
      </c>
      <c r="R207" s="558"/>
    </row>
    <row r="208" ht="14.25" customHeight="1">
      <c r="B208" s="634" t="s">
        <v>172</v>
      </c>
      <c r="C208" s="576">
        <v>45660.0</v>
      </c>
      <c r="D208" s="299"/>
      <c r="E208" s="294"/>
      <c r="F208" s="88"/>
      <c r="G208" s="294"/>
      <c r="H208" s="524"/>
      <c r="I208" s="88"/>
      <c r="J208" s="294"/>
      <c r="K208" s="90"/>
      <c r="L208" s="88"/>
      <c r="M208" s="88"/>
      <c r="N208" s="88"/>
      <c r="O208" s="88"/>
      <c r="P208" s="638"/>
      <c r="Q208" s="88">
        <f t="shared" ref="Q208:Q226" si="31">Q207+N208+O208+P208</f>
        <v>2191.84</v>
      </c>
      <c r="R208" s="634"/>
    </row>
    <row r="209" ht="14.25" customHeight="1">
      <c r="B209" s="612"/>
      <c r="C209" s="573">
        <v>45720.0</v>
      </c>
      <c r="D209" s="241">
        <v>1.0</v>
      </c>
      <c r="E209" s="237">
        <v>1879.65</v>
      </c>
      <c r="F209" s="237">
        <v>400.0</v>
      </c>
      <c r="G209" s="237"/>
      <c r="H209" s="612" t="s">
        <v>42</v>
      </c>
      <c r="I209" s="67"/>
      <c r="J209" s="237"/>
      <c r="K209" s="69">
        <f t="shared" ref="K209:K216" si="32">E209-J209-L209-M209-N209-I209+F209+G209</f>
        <v>0</v>
      </c>
      <c r="L209" s="237">
        <v>1879.65</v>
      </c>
      <c r="M209" s="237"/>
      <c r="N209" s="559">
        <v>400.0</v>
      </c>
      <c r="O209" s="559">
        <v>-700.0</v>
      </c>
      <c r="P209" s="607"/>
      <c r="Q209" s="521">
        <f t="shared" si="31"/>
        <v>1891.84</v>
      </c>
      <c r="R209" s="588" t="s">
        <v>43</v>
      </c>
    </row>
    <row r="210" ht="14.25" customHeight="1">
      <c r="A210" s="641"/>
      <c r="B210" s="612"/>
      <c r="C210" s="573">
        <v>45752.0</v>
      </c>
      <c r="D210" s="241">
        <v>1.0</v>
      </c>
      <c r="E210" s="237">
        <v>2200.0</v>
      </c>
      <c r="F210" s="67"/>
      <c r="G210" s="67"/>
      <c r="H210" s="612"/>
      <c r="I210" s="67"/>
      <c r="J210" s="237">
        <v>1000.0</v>
      </c>
      <c r="K210" s="69">
        <f t="shared" si="32"/>
        <v>0</v>
      </c>
      <c r="L210" s="237"/>
      <c r="M210" s="237"/>
      <c r="N210" s="559">
        <v>1200.0</v>
      </c>
      <c r="O210" s="559">
        <v>-700.0</v>
      </c>
      <c r="P210" s="522"/>
      <c r="Q210" s="521">
        <f t="shared" si="31"/>
        <v>2391.84</v>
      </c>
      <c r="R210" s="588"/>
    </row>
    <row r="211" ht="14.25" customHeight="1">
      <c r="B211" s="519"/>
      <c r="C211" s="573">
        <v>45784.0</v>
      </c>
      <c r="D211" s="241">
        <v>2.0</v>
      </c>
      <c r="E211" s="237">
        <v>5100.0</v>
      </c>
      <c r="F211" s="67"/>
      <c r="G211" s="67"/>
      <c r="H211" s="519"/>
      <c r="I211" s="67"/>
      <c r="J211" s="237">
        <v>1500.0</v>
      </c>
      <c r="K211" s="69">
        <f t="shared" si="32"/>
        <v>0</v>
      </c>
      <c r="L211" s="67"/>
      <c r="M211" s="642">
        <v>3600.0</v>
      </c>
      <c r="N211" s="559"/>
      <c r="O211" s="559">
        <v>-700.0</v>
      </c>
      <c r="P211" s="522"/>
      <c r="Q211" s="521">
        <f t="shared" si="31"/>
        <v>1691.84</v>
      </c>
      <c r="R211" s="523"/>
    </row>
    <row r="212" ht="14.25" hidden="1" customHeight="1">
      <c r="B212" s="524"/>
      <c r="C212" s="576"/>
      <c r="D212" s="299"/>
      <c r="E212" s="294"/>
      <c r="F212" s="88"/>
      <c r="G212" s="88"/>
      <c r="H212" s="634"/>
      <c r="I212" s="88"/>
      <c r="J212" s="294"/>
      <c r="K212" s="69">
        <f t="shared" si="32"/>
        <v>0</v>
      </c>
      <c r="L212" s="294"/>
      <c r="M212" s="88"/>
      <c r="N212" s="294"/>
      <c r="O212" s="294"/>
      <c r="P212" s="526"/>
      <c r="Q212" s="88">
        <f t="shared" si="31"/>
        <v>1691.84</v>
      </c>
      <c r="R212" s="524"/>
    </row>
    <row r="213" ht="14.25" customHeight="1">
      <c r="B213" s="519"/>
      <c r="C213" s="573">
        <v>45847.0</v>
      </c>
      <c r="D213" s="241">
        <v>2.0</v>
      </c>
      <c r="E213" s="237">
        <v>4100.0</v>
      </c>
      <c r="F213" s="237">
        <v>700.0</v>
      </c>
      <c r="G213" s="67"/>
      <c r="H213" s="519"/>
      <c r="I213" s="67"/>
      <c r="J213" s="237">
        <v>1850.0</v>
      </c>
      <c r="K213" s="69">
        <f t="shared" si="32"/>
        <v>0</v>
      </c>
      <c r="L213" s="67"/>
      <c r="M213" s="237"/>
      <c r="N213" s="559">
        <v>2950.0</v>
      </c>
      <c r="O213" s="559">
        <v>-700.0</v>
      </c>
      <c r="P213" s="522"/>
      <c r="Q213" s="521">
        <f t="shared" si="31"/>
        <v>3941.84</v>
      </c>
      <c r="R213" s="523"/>
    </row>
    <row r="214" ht="14.25" customHeight="1">
      <c r="B214" s="519"/>
      <c r="C214" s="573">
        <v>45911.0</v>
      </c>
      <c r="D214" s="241">
        <v>2.0</v>
      </c>
      <c r="E214" s="237">
        <v>4100.0</v>
      </c>
      <c r="F214" s="237">
        <v>700.0</v>
      </c>
      <c r="G214" s="237"/>
      <c r="H214" s="519"/>
      <c r="I214" s="67"/>
      <c r="J214" s="237">
        <v>1500.0</v>
      </c>
      <c r="K214" s="69">
        <f t="shared" si="32"/>
        <v>0</v>
      </c>
      <c r="L214" s="67"/>
      <c r="M214" s="237"/>
      <c r="N214" s="559">
        <v>3300.0</v>
      </c>
      <c r="O214" s="559">
        <v>-700.0</v>
      </c>
      <c r="P214" s="522"/>
      <c r="Q214" s="521">
        <f t="shared" si="31"/>
        <v>6541.84</v>
      </c>
      <c r="R214" s="588" t="s">
        <v>331</v>
      </c>
    </row>
    <row r="215" ht="14.25" customHeight="1">
      <c r="B215" s="519"/>
      <c r="C215" s="573">
        <v>45975.0</v>
      </c>
      <c r="D215" s="241">
        <v>3.0</v>
      </c>
      <c r="E215" s="237">
        <v>6500.0</v>
      </c>
      <c r="F215" s="237"/>
      <c r="G215" s="237"/>
      <c r="H215" s="519"/>
      <c r="I215" s="237">
        <v>2000.0</v>
      </c>
      <c r="J215" s="237"/>
      <c r="K215" s="69">
        <f t="shared" si="32"/>
        <v>0</v>
      </c>
      <c r="L215" s="67"/>
      <c r="M215" s="237">
        <v>4500.0</v>
      </c>
      <c r="N215" s="559"/>
      <c r="O215" s="559">
        <v>-700.0</v>
      </c>
      <c r="P215" s="522"/>
      <c r="Q215" s="521">
        <f t="shared" si="31"/>
        <v>5841.84</v>
      </c>
      <c r="R215" s="588" t="s">
        <v>157</v>
      </c>
    </row>
    <row r="216" ht="14.25" hidden="1" customHeight="1">
      <c r="B216" s="524"/>
      <c r="C216" s="299" t="s">
        <v>29</v>
      </c>
      <c r="D216" s="299"/>
      <c r="E216" s="294"/>
      <c r="F216" s="88"/>
      <c r="G216" s="88"/>
      <c r="H216" s="524"/>
      <c r="I216" s="88"/>
      <c r="J216" s="294"/>
      <c r="K216" s="90">
        <f t="shared" si="32"/>
        <v>0</v>
      </c>
      <c r="L216" s="88"/>
      <c r="M216" s="294"/>
      <c r="N216" s="88"/>
      <c r="O216" s="294"/>
      <c r="P216" s="526"/>
      <c r="Q216" s="88">
        <f t="shared" si="31"/>
        <v>5841.84</v>
      </c>
      <c r="R216" s="634"/>
    </row>
    <row r="217" ht="14.25" customHeight="1">
      <c r="B217" s="519"/>
      <c r="C217" s="241" t="s">
        <v>30</v>
      </c>
      <c r="D217" s="241">
        <v>1.0</v>
      </c>
      <c r="E217" s="237">
        <v>2000.0</v>
      </c>
      <c r="F217" s="237">
        <v>450.0</v>
      </c>
      <c r="G217" s="67"/>
      <c r="H217" s="519"/>
      <c r="I217" s="67"/>
      <c r="J217" s="237">
        <v>1000.0</v>
      </c>
      <c r="K217" s="69">
        <f>E217-J217-L217-M217-N217-I217+F217+G217-P217</f>
        <v>0</v>
      </c>
      <c r="L217" s="67"/>
      <c r="M217" s="237"/>
      <c r="N217" s="559">
        <v>1000.0</v>
      </c>
      <c r="O217" s="559">
        <v>-700.0</v>
      </c>
      <c r="P217" s="607">
        <v>450.0</v>
      </c>
      <c r="Q217" s="521">
        <f t="shared" si="31"/>
        <v>6591.84</v>
      </c>
      <c r="R217" s="588" t="s">
        <v>43</v>
      </c>
    </row>
    <row r="218" ht="14.25" hidden="1" customHeight="1">
      <c r="B218" s="524"/>
      <c r="C218" s="576"/>
      <c r="D218" s="299"/>
      <c r="E218" s="294"/>
      <c r="F218" s="88"/>
      <c r="G218" s="88"/>
      <c r="H218" s="634"/>
      <c r="I218" s="88"/>
      <c r="J218" s="294"/>
      <c r="K218" s="69">
        <f t="shared" ref="K218:K230" si="33">E218-J218-L218-M218-N218-I218+F218+G218</f>
        <v>0</v>
      </c>
      <c r="L218" s="294"/>
      <c r="M218" s="88"/>
      <c r="N218" s="294"/>
      <c r="O218" s="294"/>
      <c r="P218" s="526"/>
      <c r="Q218" s="88">
        <f t="shared" si="31"/>
        <v>6591.84</v>
      </c>
      <c r="R218" s="524"/>
    </row>
    <row r="219" ht="14.25" customHeight="1">
      <c r="B219" s="519"/>
      <c r="C219" s="241" t="s">
        <v>31</v>
      </c>
      <c r="D219" s="241">
        <v>1.0</v>
      </c>
      <c r="E219" s="237">
        <v>1879.65</v>
      </c>
      <c r="F219" s="67"/>
      <c r="G219" s="67"/>
      <c r="H219" s="612" t="s">
        <v>42</v>
      </c>
      <c r="I219" s="237"/>
      <c r="J219" s="237"/>
      <c r="K219" s="69">
        <f t="shared" si="33"/>
        <v>0</v>
      </c>
      <c r="L219" s="237">
        <v>1879.65</v>
      </c>
      <c r="M219" s="67"/>
      <c r="N219" s="559"/>
      <c r="O219" s="559">
        <v>-700.0</v>
      </c>
      <c r="P219" s="522"/>
      <c r="Q219" s="521">
        <f t="shared" si="31"/>
        <v>5891.84</v>
      </c>
      <c r="R219" s="523"/>
    </row>
    <row r="220" ht="14.25" hidden="1" customHeight="1">
      <c r="B220" s="524"/>
      <c r="C220" s="299"/>
      <c r="D220" s="299"/>
      <c r="E220" s="294"/>
      <c r="F220" s="88"/>
      <c r="G220" s="88"/>
      <c r="H220" s="634"/>
      <c r="I220" s="88"/>
      <c r="J220" s="88"/>
      <c r="K220" s="69">
        <f t="shared" si="33"/>
        <v>0</v>
      </c>
      <c r="L220" s="294"/>
      <c r="M220" s="88"/>
      <c r="N220" s="88"/>
      <c r="O220" s="294"/>
      <c r="P220" s="526"/>
      <c r="Q220" s="88">
        <f t="shared" si="31"/>
        <v>5891.84</v>
      </c>
      <c r="R220" s="524"/>
    </row>
    <row r="221" ht="14.25" customHeight="1">
      <c r="B221" s="519"/>
      <c r="C221" s="241" t="s">
        <v>56</v>
      </c>
      <c r="D221" s="241">
        <v>2.0</v>
      </c>
      <c r="E221" s="237">
        <v>4300.0</v>
      </c>
      <c r="F221" s="67"/>
      <c r="G221" s="67"/>
      <c r="H221" s="519"/>
      <c r="I221" s="67"/>
      <c r="J221" s="237">
        <v>1500.0</v>
      </c>
      <c r="K221" s="69">
        <f t="shared" si="33"/>
        <v>0</v>
      </c>
      <c r="L221" s="67"/>
      <c r="M221" s="237"/>
      <c r="N221" s="559">
        <v>2800.0</v>
      </c>
      <c r="O221" s="559">
        <v>-700.0</v>
      </c>
      <c r="P221" s="522"/>
      <c r="Q221" s="521">
        <f t="shared" si="31"/>
        <v>7991.84</v>
      </c>
      <c r="R221" s="523"/>
    </row>
    <row r="222" ht="14.25" customHeight="1">
      <c r="B222" s="519"/>
      <c r="C222" s="241" t="s">
        <v>144</v>
      </c>
      <c r="D222" s="241">
        <v>3.0</v>
      </c>
      <c r="E222" s="237">
        <v>6900.0</v>
      </c>
      <c r="F222" s="67"/>
      <c r="G222" s="67"/>
      <c r="H222" s="519"/>
      <c r="I222" s="67"/>
      <c r="J222" s="237">
        <v>2000.0</v>
      </c>
      <c r="K222" s="69">
        <f t="shared" si="33"/>
        <v>0</v>
      </c>
      <c r="L222" s="67"/>
      <c r="M222" s="237">
        <v>4900.0</v>
      </c>
      <c r="N222" s="559"/>
      <c r="O222" s="559">
        <v>-700.0</v>
      </c>
      <c r="P222" s="522"/>
      <c r="Q222" s="521">
        <f t="shared" si="31"/>
        <v>7291.84</v>
      </c>
      <c r="R222" s="588" t="s">
        <v>157</v>
      </c>
    </row>
    <row r="223" ht="14.25" hidden="1" customHeight="1">
      <c r="B223" s="524"/>
      <c r="C223" s="299" t="s">
        <v>164</v>
      </c>
      <c r="D223" s="299"/>
      <c r="E223" s="294"/>
      <c r="F223" s="294"/>
      <c r="G223" s="88"/>
      <c r="H223" s="634"/>
      <c r="I223" s="88"/>
      <c r="J223" s="294"/>
      <c r="K223" s="90">
        <f t="shared" si="33"/>
        <v>0</v>
      </c>
      <c r="L223" s="294"/>
      <c r="M223" s="88"/>
      <c r="N223" s="294"/>
      <c r="O223" s="294"/>
      <c r="P223" s="526"/>
      <c r="Q223" s="88">
        <f t="shared" si="31"/>
        <v>7291.84</v>
      </c>
      <c r="R223" s="524"/>
    </row>
    <row r="224" ht="14.25" customHeight="1">
      <c r="B224" s="519"/>
      <c r="C224" s="241" t="s">
        <v>45</v>
      </c>
      <c r="D224" s="241">
        <v>1.0</v>
      </c>
      <c r="E224" s="237">
        <v>2500.0</v>
      </c>
      <c r="F224" s="67"/>
      <c r="G224" s="67"/>
      <c r="H224" s="519"/>
      <c r="I224" s="67"/>
      <c r="J224" s="237"/>
      <c r="K224" s="69">
        <f t="shared" si="33"/>
        <v>0</v>
      </c>
      <c r="L224" s="237">
        <v>2500.0</v>
      </c>
      <c r="M224" s="67"/>
      <c r="N224" s="559"/>
      <c r="O224" s="559">
        <v>-700.0</v>
      </c>
      <c r="P224" s="522"/>
      <c r="Q224" s="521">
        <f t="shared" si="31"/>
        <v>6591.84</v>
      </c>
      <c r="R224" s="523"/>
    </row>
    <row r="225" ht="14.25" customHeight="1">
      <c r="B225" s="519"/>
      <c r="C225" s="241" t="s">
        <v>47</v>
      </c>
      <c r="D225" s="241">
        <v>1.0</v>
      </c>
      <c r="E225" s="237">
        <v>2800.0</v>
      </c>
      <c r="F225" s="237">
        <v>850.0</v>
      </c>
      <c r="G225" s="67"/>
      <c r="H225" s="612"/>
      <c r="I225" s="67"/>
      <c r="J225" s="237">
        <v>1675.0</v>
      </c>
      <c r="K225" s="69">
        <f t="shared" si="33"/>
        <v>0</v>
      </c>
      <c r="L225" s="237"/>
      <c r="M225" s="67"/>
      <c r="N225" s="559">
        <v>1975.0</v>
      </c>
      <c r="O225" s="559">
        <v>-700.0</v>
      </c>
      <c r="P225" s="522"/>
      <c r="Q225" s="521">
        <f t="shared" si="31"/>
        <v>7866.84</v>
      </c>
      <c r="R225" s="523"/>
    </row>
    <row r="226" ht="14.25" customHeight="1">
      <c r="B226" s="519"/>
      <c r="C226" s="644" t="s">
        <v>48</v>
      </c>
      <c r="D226" s="241">
        <v>2.0</v>
      </c>
      <c r="E226" s="237">
        <v>3900.0</v>
      </c>
      <c r="F226" s="237"/>
      <c r="G226" s="67"/>
      <c r="H226" s="612"/>
      <c r="I226" s="67"/>
      <c r="J226" s="237">
        <v>1500.0</v>
      </c>
      <c r="K226" s="69">
        <f t="shared" si="33"/>
        <v>0</v>
      </c>
      <c r="L226" s="237"/>
      <c r="M226" s="67"/>
      <c r="N226" s="559">
        <v>2400.0</v>
      </c>
      <c r="O226" s="559">
        <v>-700.0</v>
      </c>
      <c r="P226" s="522"/>
      <c r="Q226" s="521">
        <f t="shared" si="31"/>
        <v>9566.84</v>
      </c>
      <c r="R226" s="523"/>
    </row>
    <row r="227" ht="14.25" hidden="1" customHeight="1">
      <c r="B227" s="524"/>
      <c r="C227" s="299" t="s">
        <v>334</v>
      </c>
      <c r="D227" s="299"/>
      <c r="E227" s="294"/>
      <c r="F227" s="88"/>
      <c r="G227" s="88"/>
      <c r="H227" s="634"/>
      <c r="I227" s="88"/>
      <c r="J227" s="294"/>
      <c r="K227" s="90">
        <f t="shared" si="33"/>
        <v>0</v>
      </c>
      <c r="L227" s="294"/>
      <c r="M227" s="88"/>
      <c r="N227" s="294"/>
      <c r="O227" s="294"/>
      <c r="P227" s="526"/>
      <c r="Q227" s="88">
        <f>Q225+N227+O227+P227</f>
        <v>7866.84</v>
      </c>
      <c r="R227" s="524"/>
    </row>
    <row r="228" ht="14.25" customHeight="1">
      <c r="B228" s="519"/>
      <c r="C228" s="241" t="s">
        <v>335</v>
      </c>
      <c r="D228" s="241">
        <v>4.0</v>
      </c>
      <c r="E228" s="237">
        <v>8300.0</v>
      </c>
      <c r="F228" s="67"/>
      <c r="G228" s="67"/>
      <c r="H228" s="519"/>
      <c r="I228" s="67"/>
      <c r="J228" s="237">
        <v>2500.0</v>
      </c>
      <c r="K228" s="69">
        <f t="shared" si="33"/>
        <v>0</v>
      </c>
      <c r="L228" s="237"/>
      <c r="M228" s="237">
        <v>5800.0</v>
      </c>
      <c r="N228" s="559"/>
      <c r="O228" s="559">
        <v>-700.0</v>
      </c>
      <c r="P228" s="522"/>
      <c r="Q228" s="521">
        <f t="shared" ref="Q228:Q230" si="34">Q227+N228+O228+P228</f>
        <v>7166.84</v>
      </c>
      <c r="R228" s="523"/>
    </row>
    <row r="229" ht="14.25" customHeight="1">
      <c r="B229" s="519"/>
      <c r="C229" s="66"/>
      <c r="D229" s="66"/>
      <c r="E229" s="67"/>
      <c r="F229" s="67"/>
      <c r="G229" s="67"/>
      <c r="H229" s="519"/>
      <c r="I229" s="67"/>
      <c r="J229" s="67"/>
      <c r="K229" s="69">
        <f t="shared" si="33"/>
        <v>0</v>
      </c>
      <c r="L229" s="67"/>
      <c r="M229" s="67"/>
      <c r="N229" s="521"/>
      <c r="O229" s="521"/>
      <c r="P229" s="607">
        <v>-5468.49</v>
      </c>
      <c r="Q229" s="521">
        <f t="shared" si="34"/>
        <v>1698.35</v>
      </c>
      <c r="R229" s="523" t="s">
        <v>304</v>
      </c>
    </row>
    <row r="230" ht="14.25" customHeight="1">
      <c r="B230" s="519"/>
      <c r="C230" s="66"/>
      <c r="D230" s="66"/>
      <c r="E230" s="67"/>
      <c r="F230" s="67"/>
      <c r="G230" s="67"/>
      <c r="H230" s="519"/>
      <c r="I230" s="67"/>
      <c r="J230" s="67"/>
      <c r="K230" s="69">
        <f t="shared" si="33"/>
        <v>0</v>
      </c>
      <c r="L230" s="67"/>
      <c r="M230" s="67"/>
      <c r="N230" s="521"/>
      <c r="O230" s="521"/>
      <c r="P230" s="607">
        <v>-2132.58</v>
      </c>
      <c r="Q230" s="521">
        <f t="shared" si="34"/>
        <v>-434.23</v>
      </c>
      <c r="R230" s="523" t="s">
        <v>55</v>
      </c>
    </row>
    <row r="231" ht="14.25" customHeight="1">
      <c r="B231" s="611" t="s">
        <v>172</v>
      </c>
      <c r="C231" s="551" t="s">
        <v>80</v>
      </c>
      <c r="D231" s="551">
        <f>sum(D209:D230)</f>
        <v>26</v>
      </c>
      <c r="E231" s="553">
        <f t="shared" ref="E231:H231" si="35">SUM(E209:E230)</f>
        <v>56459.3</v>
      </c>
      <c r="F231" s="553">
        <f t="shared" si="35"/>
        <v>3100</v>
      </c>
      <c r="G231" s="553">
        <f t="shared" si="35"/>
        <v>0</v>
      </c>
      <c r="H231" s="553">
        <f t="shared" si="35"/>
        <v>0</v>
      </c>
      <c r="I231" s="628">
        <f>SUM(I208:I230)</f>
        <v>2000</v>
      </c>
      <c r="J231" s="553">
        <f>SUM(J209:J230)</f>
        <v>16025</v>
      </c>
      <c r="K231" s="553">
        <f>SUM(K208:K230)</f>
        <v>0</v>
      </c>
      <c r="L231" s="553">
        <f t="shared" ref="L231:P231" si="36">SUM(L209:L230)</f>
        <v>6259.3</v>
      </c>
      <c r="M231" s="553">
        <f t="shared" si="36"/>
        <v>18800</v>
      </c>
      <c r="N231" s="553">
        <f t="shared" si="36"/>
        <v>16025</v>
      </c>
      <c r="O231" s="553">
        <f t="shared" si="36"/>
        <v>-9800</v>
      </c>
      <c r="P231" s="553">
        <f t="shared" si="36"/>
        <v>-7151.07</v>
      </c>
      <c r="Q231" s="557">
        <f>Q230</f>
        <v>-434.23</v>
      </c>
      <c r="R231" s="558"/>
    </row>
    <row r="232" ht="14.25" customHeight="1">
      <c r="B232" s="645" t="s">
        <v>166</v>
      </c>
      <c r="C232" s="576">
        <v>45753.0</v>
      </c>
      <c r="D232" s="299"/>
      <c r="E232" s="294"/>
      <c r="F232" s="88"/>
      <c r="G232" s="294"/>
      <c r="H232" s="524"/>
      <c r="I232" s="88"/>
      <c r="J232" s="294"/>
      <c r="K232" s="90">
        <f t="shared" ref="K232:K247" si="37">E232-J232-L232-M232-N232-I232+F232+G232</f>
        <v>0</v>
      </c>
      <c r="L232" s="88"/>
      <c r="M232" s="88"/>
      <c r="N232" s="88"/>
      <c r="O232" s="88"/>
      <c r="P232" s="638"/>
      <c r="Q232" s="88">
        <f t="shared" ref="Q232:Q250" si="38">Q231+N232+O232+P232</f>
        <v>-434.23</v>
      </c>
      <c r="R232" s="634"/>
    </row>
    <row r="233" ht="14.25" customHeight="1">
      <c r="B233" s="612"/>
      <c r="C233" s="573">
        <v>45815.0</v>
      </c>
      <c r="D233" s="241">
        <v>1.0</v>
      </c>
      <c r="E233" s="237">
        <v>2000.0</v>
      </c>
      <c r="F233" s="237">
        <v>350.0</v>
      </c>
      <c r="G233" s="237"/>
      <c r="H233" s="612"/>
      <c r="I233" s="67"/>
      <c r="J233" s="237">
        <v>1175.0</v>
      </c>
      <c r="K233" s="69">
        <f t="shared" si="37"/>
        <v>0</v>
      </c>
      <c r="L233" s="237"/>
      <c r="M233" s="237">
        <v>1175.0</v>
      </c>
      <c r="N233" s="559"/>
      <c r="O233" s="559">
        <v>-700.0</v>
      </c>
      <c r="P233" s="607"/>
      <c r="Q233" s="521">
        <f t="shared" si="38"/>
        <v>-1134.23</v>
      </c>
      <c r="R233" s="588"/>
    </row>
    <row r="234" ht="14.25" customHeight="1">
      <c r="A234" s="641"/>
      <c r="B234" s="612"/>
      <c r="C234" s="573">
        <v>45848.0</v>
      </c>
      <c r="D234" s="241">
        <v>3.0</v>
      </c>
      <c r="E234" s="237">
        <v>6800.0</v>
      </c>
      <c r="F234" s="67"/>
      <c r="G234" s="67"/>
      <c r="H234" s="612"/>
      <c r="I234" s="67"/>
      <c r="J234" s="237">
        <v>2000.0</v>
      </c>
      <c r="K234" s="69">
        <f t="shared" si="37"/>
        <v>0</v>
      </c>
      <c r="L234" s="237"/>
      <c r="M234" s="237"/>
      <c r="N234" s="559">
        <v>4800.0</v>
      </c>
      <c r="O234" s="559">
        <v>-700.0</v>
      </c>
      <c r="P234" s="522"/>
      <c r="Q234" s="521">
        <f t="shared" si="38"/>
        <v>2965.77</v>
      </c>
      <c r="R234" s="588"/>
    </row>
    <row r="235" ht="14.25" customHeight="1">
      <c r="A235" s="641"/>
      <c r="B235" s="612"/>
      <c r="C235" s="573">
        <v>45941.0</v>
      </c>
      <c r="D235" s="241">
        <v>1.0</v>
      </c>
      <c r="E235" s="237">
        <v>2200.0</v>
      </c>
      <c r="F235" s="237">
        <v>450.0</v>
      </c>
      <c r="G235" s="67"/>
      <c r="H235" s="612"/>
      <c r="I235" s="67"/>
      <c r="J235" s="237">
        <v>1225.0</v>
      </c>
      <c r="K235" s="69">
        <f t="shared" si="37"/>
        <v>0</v>
      </c>
      <c r="L235" s="237"/>
      <c r="M235" s="237"/>
      <c r="N235" s="559">
        <v>1425.0</v>
      </c>
      <c r="O235" s="559">
        <v>-700.0</v>
      </c>
      <c r="P235" s="522"/>
      <c r="Q235" s="521">
        <f t="shared" si="38"/>
        <v>3690.77</v>
      </c>
      <c r="R235" s="588"/>
    </row>
    <row r="236" ht="14.25" customHeight="1">
      <c r="A236" s="641"/>
      <c r="B236" s="612"/>
      <c r="C236" s="573">
        <v>45975.0</v>
      </c>
      <c r="D236" s="241">
        <v>3.0</v>
      </c>
      <c r="E236" s="237">
        <v>5400.0</v>
      </c>
      <c r="F236" s="67"/>
      <c r="G236" s="67"/>
      <c r="H236" s="612"/>
      <c r="I236" s="67"/>
      <c r="J236" s="237">
        <v>2000.0</v>
      </c>
      <c r="K236" s="69">
        <f t="shared" si="37"/>
        <v>0</v>
      </c>
      <c r="L236" s="237"/>
      <c r="M236" s="237">
        <v>3400.0</v>
      </c>
      <c r="N236" s="559"/>
      <c r="O236" s="559">
        <v>-700.0</v>
      </c>
      <c r="P236" s="522"/>
      <c r="Q236" s="521">
        <f t="shared" si="38"/>
        <v>2990.77</v>
      </c>
      <c r="R236" s="588"/>
    </row>
    <row r="237" ht="14.25" customHeight="1">
      <c r="A237" s="641"/>
      <c r="B237" s="634"/>
      <c r="C237" s="299" t="s">
        <v>101</v>
      </c>
      <c r="D237" s="299"/>
      <c r="E237" s="294"/>
      <c r="F237" s="88"/>
      <c r="G237" s="88"/>
      <c r="H237" s="634"/>
      <c r="I237" s="88"/>
      <c r="J237" s="294"/>
      <c r="K237" s="90">
        <f t="shared" si="37"/>
        <v>0</v>
      </c>
      <c r="L237" s="294"/>
      <c r="M237" s="294"/>
      <c r="N237" s="294"/>
      <c r="O237" s="294"/>
      <c r="P237" s="526"/>
      <c r="Q237" s="88">
        <f t="shared" si="38"/>
        <v>2990.77</v>
      </c>
      <c r="R237" s="634"/>
    </row>
    <row r="238" ht="14.25" customHeight="1">
      <c r="A238" s="641"/>
      <c r="B238" s="612"/>
      <c r="C238" s="241" t="s">
        <v>102</v>
      </c>
      <c r="D238" s="241">
        <v>1.0</v>
      </c>
      <c r="E238" s="237">
        <f>1000+2800</f>
        <v>3800</v>
      </c>
      <c r="F238" s="67"/>
      <c r="G238" s="67"/>
      <c r="H238" s="612"/>
      <c r="I238" s="67"/>
      <c r="J238" s="237">
        <v>1000.0</v>
      </c>
      <c r="K238" s="69">
        <f t="shared" si="37"/>
        <v>0</v>
      </c>
      <c r="L238" s="237"/>
      <c r="M238" s="237">
        <v>1000.0</v>
      </c>
      <c r="N238" s="559">
        <v>1800.0</v>
      </c>
      <c r="O238" s="559">
        <v>-700.0</v>
      </c>
      <c r="P238" s="522"/>
      <c r="Q238" s="521">
        <f t="shared" si="38"/>
        <v>4090.77</v>
      </c>
      <c r="R238" s="588" t="s">
        <v>125</v>
      </c>
    </row>
    <row r="239" ht="14.25" customHeight="1">
      <c r="A239" s="641"/>
      <c r="B239" s="612"/>
      <c r="C239" s="241" t="s">
        <v>120</v>
      </c>
      <c r="D239" s="241">
        <v>2.0</v>
      </c>
      <c r="E239" s="237">
        <v>3700.0</v>
      </c>
      <c r="F239" s="67"/>
      <c r="G239" s="67"/>
      <c r="H239" s="612"/>
      <c r="I239" s="67"/>
      <c r="J239" s="237">
        <v>1500.0</v>
      </c>
      <c r="K239" s="69">
        <f t="shared" si="37"/>
        <v>0</v>
      </c>
      <c r="L239" s="237"/>
      <c r="M239" s="237"/>
      <c r="N239" s="559">
        <v>2200.0</v>
      </c>
      <c r="O239" s="559">
        <v>-700.0</v>
      </c>
      <c r="P239" s="522"/>
      <c r="Q239" s="521">
        <f t="shared" si="38"/>
        <v>5590.77</v>
      </c>
      <c r="R239" s="588"/>
    </row>
    <row r="240" ht="14.25" customHeight="1">
      <c r="A240" s="641"/>
      <c r="B240" s="612"/>
      <c r="C240" s="241" t="s">
        <v>35</v>
      </c>
      <c r="D240" s="241">
        <v>2.0</v>
      </c>
      <c r="E240" s="237">
        <v>3700.0</v>
      </c>
      <c r="F240" s="67"/>
      <c r="G240" s="67"/>
      <c r="H240" s="612"/>
      <c r="I240" s="67"/>
      <c r="J240" s="237">
        <v>1500.0</v>
      </c>
      <c r="K240" s="69">
        <f t="shared" si="37"/>
        <v>0</v>
      </c>
      <c r="L240" s="237"/>
      <c r="M240" s="237">
        <v>2200.0</v>
      </c>
      <c r="N240" s="559"/>
      <c r="O240" s="559">
        <v>-700.0</v>
      </c>
      <c r="P240" s="522"/>
      <c r="Q240" s="521">
        <f t="shared" si="38"/>
        <v>4890.77</v>
      </c>
      <c r="R240" s="588"/>
    </row>
    <row r="241" ht="14.25" customHeight="1">
      <c r="A241" s="641"/>
      <c r="B241" s="612"/>
      <c r="C241" s="241" t="s">
        <v>37</v>
      </c>
      <c r="D241" s="241">
        <v>1.0</v>
      </c>
      <c r="E241" s="237">
        <v>2300.0</v>
      </c>
      <c r="F241" s="67"/>
      <c r="G241" s="67"/>
      <c r="H241" s="612"/>
      <c r="I241" s="67"/>
      <c r="J241" s="237">
        <v>1000.0</v>
      </c>
      <c r="K241" s="69">
        <f t="shared" si="37"/>
        <v>0</v>
      </c>
      <c r="L241" s="237"/>
      <c r="M241" s="237"/>
      <c r="N241" s="559">
        <v>1300.0</v>
      </c>
      <c r="O241" s="559">
        <v>-700.0</v>
      </c>
      <c r="P241" s="522"/>
      <c r="Q241" s="521">
        <f t="shared" si="38"/>
        <v>5490.77</v>
      </c>
      <c r="R241" s="588"/>
    </row>
    <row r="242" ht="14.25" customHeight="1">
      <c r="A242" s="641"/>
      <c r="B242" s="612"/>
      <c r="C242" s="241" t="s">
        <v>41</v>
      </c>
      <c r="D242" s="241">
        <v>1.0</v>
      </c>
      <c r="E242" s="237">
        <f>3150+500</f>
        <v>3650</v>
      </c>
      <c r="F242" s="67"/>
      <c r="G242" s="67"/>
      <c r="H242" s="612"/>
      <c r="I242" s="67"/>
      <c r="J242" s="237">
        <v>1000.0</v>
      </c>
      <c r="K242" s="69">
        <f t="shared" si="37"/>
        <v>0</v>
      </c>
      <c r="L242" s="237"/>
      <c r="M242" s="237"/>
      <c r="N242" s="559">
        <v>2650.0</v>
      </c>
      <c r="O242" s="559">
        <v>-700.0</v>
      </c>
      <c r="P242" s="607">
        <v>-500.0</v>
      </c>
      <c r="Q242" s="521">
        <f t="shared" si="38"/>
        <v>6940.77</v>
      </c>
      <c r="R242" s="588" t="s">
        <v>217</v>
      </c>
    </row>
    <row r="243" ht="14.25" customHeight="1">
      <c r="A243" s="641"/>
      <c r="B243" s="612"/>
      <c r="C243" s="241" t="s">
        <v>44</v>
      </c>
      <c r="D243" s="241">
        <v>1.0</v>
      </c>
      <c r="E243" s="237">
        <v>2126.8</v>
      </c>
      <c r="F243" s="67"/>
      <c r="G243" s="67"/>
      <c r="H243" s="612" t="s">
        <v>42</v>
      </c>
      <c r="I243" s="67"/>
      <c r="J243" s="237"/>
      <c r="K243" s="69">
        <f t="shared" si="37"/>
        <v>0</v>
      </c>
      <c r="L243" s="237">
        <v>2126.8</v>
      </c>
      <c r="M243" s="237"/>
      <c r="N243" s="559"/>
      <c r="O243" s="559">
        <v>-700.0</v>
      </c>
      <c r="P243" s="522"/>
      <c r="Q243" s="521">
        <f t="shared" si="38"/>
        <v>6240.77</v>
      </c>
      <c r="R243" s="588"/>
    </row>
    <row r="244" ht="14.25" customHeight="1">
      <c r="A244" s="641"/>
      <c r="B244" s="612"/>
      <c r="C244" s="241" t="s">
        <v>45</v>
      </c>
      <c r="D244" s="241">
        <v>1.0</v>
      </c>
      <c r="E244" s="237">
        <v>2700.0</v>
      </c>
      <c r="F244" s="67"/>
      <c r="G244" s="67"/>
      <c r="H244" s="612"/>
      <c r="I244" s="67"/>
      <c r="J244" s="237">
        <v>1000.0</v>
      </c>
      <c r="K244" s="69">
        <f t="shared" si="37"/>
        <v>0</v>
      </c>
      <c r="L244" s="237"/>
      <c r="M244" s="237">
        <v>1700.0</v>
      </c>
      <c r="N244" s="559"/>
      <c r="O244" s="559">
        <v>-700.0</v>
      </c>
      <c r="P244" s="522"/>
      <c r="Q244" s="521">
        <f t="shared" si="38"/>
        <v>5540.77</v>
      </c>
      <c r="R244" s="588"/>
    </row>
    <row r="245" ht="14.25" customHeight="1">
      <c r="A245" s="641"/>
      <c r="B245" s="634"/>
      <c r="C245" s="299" t="s">
        <v>86</v>
      </c>
      <c r="D245" s="299"/>
      <c r="E245" s="294"/>
      <c r="F245" s="88"/>
      <c r="G245" s="88"/>
      <c r="H245" s="634"/>
      <c r="I245" s="88"/>
      <c r="J245" s="294"/>
      <c r="K245" s="90">
        <f t="shared" si="37"/>
        <v>0</v>
      </c>
      <c r="L245" s="294"/>
      <c r="M245" s="294"/>
      <c r="N245" s="294"/>
      <c r="O245" s="294"/>
      <c r="P245" s="526"/>
      <c r="Q245" s="88">
        <f t="shared" si="38"/>
        <v>5540.77</v>
      </c>
      <c r="R245" s="634"/>
    </row>
    <row r="246" ht="14.25" customHeight="1">
      <c r="A246" s="641"/>
      <c r="B246" s="612"/>
      <c r="C246" s="241" t="s">
        <v>88</v>
      </c>
      <c r="D246" s="241">
        <v>2.0</v>
      </c>
      <c r="E246" s="237">
        <v>3900.0</v>
      </c>
      <c r="F246" s="67"/>
      <c r="G246" s="67"/>
      <c r="H246" s="612"/>
      <c r="I246" s="67"/>
      <c r="J246" s="237">
        <v>1001.0</v>
      </c>
      <c r="K246" s="69">
        <f t="shared" si="37"/>
        <v>0</v>
      </c>
      <c r="L246" s="237"/>
      <c r="M246" s="647"/>
      <c r="N246" s="559">
        <v>2899.0</v>
      </c>
      <c r="O246" s="559">
        <v>-700.0</v>
      </c>
      <c r="P246" s="522"/>
      <c r="Q246" s="521">
        <f t="shared" si="38"/>
        <v>7739.77</v>
      </c>
      <c r="R246" s="588"/>
    </row>
    <row r="247" ht="14.25" customHeight="1">
      <c r="A247" s="641"/>
      <c r="B247" s="612"/>
      <c r="C247" s="241" t="s">
        <v>50</v>
      </c>
      <c r="D247" s="241">
        <v>1.0</v>
      </c>
      <c r="E247" s="237">
        <v>2800.0</v>
      </c>
      <c r="F247" s="67"/>
      <c r="G247" s="67"/>
      <c r="H247" s="612"/>
      <c r="I247" s="67"/>
      <c r="J247" s="237">
        <v>1000.0</v>
      </c>
      <c r="K247" s="69">
        <f t="shared" si="37"/>
        <v>0</v>
      </c>
      <c r="L247" s="237"/>
      <c r="M247" s="237"/>
      <c r="N247" s="559">
        <v>1800.0</v>
      </c>
      <c r="O247" s="559"/>
      <c r="P247" s="522"/>
      <c r="Q247" s="521">
        <f t="shared" si="38"/>
        <v>9539.77</v>
      </c>
      <c r="R247" s="588"/>
    </row>
    <row r="248" ht="14.25" customHeight="1">
      <c r="B248" s="519"/>
      <c r="C248" s="66"/>
      <c r="D248" s="66"/>
      <c r="E248" s="67"/>
      <c r="F248" s="67"/>
      <c r="G248" s="67"/>
      <c r="H248" s="519"/>
      <c r="I248" s="67"/>
      <c r="J248" s="67"/>
      <c r="K248" s="69"/>
      <c r="L248" s="67"/>
      <c r="M248" s="67"/>
      <c r="N248" s="521"/>
      <c r="O248" s="521"/>
      <c r="P248" s="607">
        <v>-239.0</v>
      </c>
      <c r="Q248" s="521">
        <f t="shared" si="38"/>
        <v>9300.77</v>
      </c>
      <c r="R248" s="588" t="s">
        <v>202</v>
      </c>
    </row>
    <row r="249" ht="14.25" customHeight="1">
      <c r="B249" s="519"/>
      <c r="C249" s="66"/>
      <c r="D249" s="66"/>
      <c r="E249" s="67"/>
      <c r="F249" s="67"/>
      <c r="G249" s="67"/>
      <c r="H249" s="519"/>
      <c r="I249" s="67"/>
      <c r="J249" s="67"/>
      <c r="K249" s="69"/>
      <c r="L249" s="67"/>
      <c r="M249" s="67"/>
      <c r="N249" s="521"/>
      <c r="O249" s="521"/>
      <c r="P249" s="607">
        <v>-500.0</v>
      </c>
      <c r="Q249" s="521">
        <f t="shared" si="38"/>
        <v>8800.77</v>
      </c>
      <c r="R249" s="588" t="s">
        <v>93</v>
      </c>
    </row>
    <row r="250" ht="14.25" customHeight="1">
      <c r="B250" s="519"/>
      <c r="C250" s="66"/>
      <c r="D250" s="66"/>
      <c r="E250" s="67"/>
      <c r="F250" s="67"/>
      <c r="G250" s="67"/>
      <c r="H250" s="519"/>
      <c r="I250" s="67"/>
      <c r="J250" s="67"/>
      <c r="K250" s="69">
        <f>E250-J250-L250-M250-N250-I250+F250+G250</f>
        <v>0</v>
      </c>
      <c r="L250" s="67"/>
      <c r="M250" s="67"/>
      <c r="N250" s="521"/>
      <c r="O250" s="521"/>
      <c r="P250" s="607">
        <v>-5390.31</v>
      </c>
      <c r="Q250" s="521">
        <f t="shared" si="38"/>
        <v>3410.46</v>
      </c>
      <c r="R250" s="523" t="s">
        <v>304</v>
      </c>
    </row>
    <row r="251" ht="14.25" customHeight="1">
      <c r="B251" s="519"/>
      <c r="C251" s="66"/>
      <c r="D251" s="66"/>
      <c r="E251" s="67"/>
      <c r="F251" s="67"/>
      <c r="G251" s="67"/>
      <c r="H251" s="519"/>
      <c r="I251" s="67"/>
      <c r="J251" s="67"/>
      <c r="K251" s="69"/>
      <c r="L251" s="67"/>
      <c r="M251" s="67"/>
      <c r="N251" s="521"/>
      <c r="O251" s="521"/>
      <c r="P251" s="607">
        <v>-2460.93</v>
      </c>
      <c r="Q251" s="521">
        <f t="shared" ref="Q251:Q252" si="39">Q249+N251+O251+P251</f>
        <v>6339.84</v>
      </c>
      <c r="R251" s="523" t="s">
        <v>55</v>
      </c>
    </row>
    <row r="252" ht="14.25" customHeight="1">
      <c r="B252" s="519"/>
      <c r="C252" s="66"/>
      <c r="D252" s="66"/>
      <c r="E252" s="67"/>
      <c r="F252" s="67"/>
      <c r="G252" s="67"/>
      <c r="H252" s="519"/>
      <c r="I252" s="67"/>
      <c r="J252" s="67"/>
      <c r="K252" s="69">
        <f>E252-J252-L252-M252-N252-I252+F252+G252</f>
        <v>0</v>
      </c>
      <c r="L252" s="67"/>
      <c r="M252" s="67"/>
      <c r="N252" s="521"/>
      <c r="O252" s="521"/>
      <c r="P252" s="607">
        <v>-3410.46</v>
      </c>
      <c r="Q252" s="521">
        <f t="shared" si="39"/>
        <v>0</v>
      </c>
      <c r="R252" s="588" t="s">
        <v>110</v>
      </c>
    </row>
    <row r="253" ht="14.25" customHeight="1">
      <c r="B253" s="611" t="s">
        <v>166</v>
      </c>
      <c r="C253" s="551" t="s">
        <v>80</v>
      </c>
      <c r="D253" s="551">
        <f>sum(D233:D252)</f>
        <v>20</v>
      </c>
      <c r="E253" s="553">
        <f t="shared" ref="E253:H253" si="40">SUM(E233:E252)</f>
        <v>45076.8</v>
      </c>
      <c r="F253" s="553">
        <f t="shared" si="40"/>
        <v>800</v>
      </c>
      <c r="G253" s="553">
        <f t="shared" si="40"/>
        <v>0</v>
      </c>
      <c r="H253" s="553">
        <f t="shared" si="40"/>
        <v>0</v>
      </c>
      <c r="I253" s="628">
        <f>SUM(I232:I252)</f>
        <v>0</v>
      </c>
      <c r="J253" s="553">
        <f>SUM(J233:J252)</f>
        <v>15401</v>
      </c>
      <c r="K253" s="553">
        <f>SUM(K232:K252)</f>
        <v>0</v>
      </c>
      <c r="L253" s="553">
        <f t="shared" ref="L253:P253" si="41">SUM(L233:L252)</f>
        <v>2126.8</v>
      </c>
      <c r="M253" s="553">
        <f t="shared" si="41"/>
        <v>9475</v>
      </c>
      <c r="N253" s="553">
        <f t="shared" si="41"/>
        <v>18874</v>
      </c>
      <c r="O253" s="553">
        <f t="shared" si="41"/>
        <v>-8400</v>
      </c>
      <c r="P253" s="553">
        <f t="shared" si="41"/>
        <v>-12500.7</v>
      </c>
      <c r="Q253" s="557">
        <f>Q252</f>
        <v>0</v>
      </c>
      <c r="R253" s="558"/>
    </row>
    <row r="254" ht="14.25" customHeight="1">
      <c r="B254" s="612" t="s">
        <v>179</v>
      </c>
      <c r="C254" s="573">
        <v>45659.0</v>
      </c>
      <c r="D254" s="241">
        <v>1.0</v>
      </c>
      <c r="E254" s="237">
        <v>2000.0</v>
      </c>
      <c r="F254" s="237">
        <v>450.0</v>
      </c>
      <c r="G254" s="237"/>
      <c r="H254" s="612"/>
      <c r="I254" s="67"/>
      <c r="J254" s="237">
        <v>1225.0</v>
      </c>
      <c r="K254" s="69">
        <f t="shared" ref="K254:K273" si="42">E254-J254-L254-M254-N254-I254+F254+G254</f>
        <v>0</v>
      </c>
      <c r="L254" s="237"/>
      <c r="M254" s="237"/>
      <c r="N254" s="559">
        <v>1225.0</v>
      </c>
      <c r="O254" s="559">
        <v>-700.0</v>
      </c>
      <c r="P254" s="607"/>
      <c r="Q254" s="521">
        <f t="shared" ref="Q254:Q273" si="43">Q253+N254+O254+P254</f>
        <v>525</v>
      </c>
      <c r="R254" s="588"/>
    </row>
    <row r="255" ht="14.25" customHeight="1">
      <c r="B255" s="612"/>
      <c r="C255" s="573">
        <v>45692.0</v>
      </c>
      <c r="D255" s="241">
        <v>2.0</v>
      </c>
      <c r="E255" s="237">
        <v>3276.1</v>
      </c>
      <c r="F255" s="237"/>
      <c r="G255" s="237"/>
      <c r="H255" s="612" t="s">
        <v>42</v>
      </c>
      <c r="I255" s="67"/>
      <c r="J255" s="237"/>
      <c r="K255" s="69">
        <f t="shared" si="42"/>
        <v>0</v>
      </c>
      <c r="L255" s="237">
        <v>3276.1</v>
      </c>
      <c r="M255" s="237"/>
      <c r="N255" s="559"/>
      <c r="O255" s="559">
        <v>-700.0</v>
      </c>
      <c r="P255" s="607"/>
      <c r="Q255" s="521">
        <f t="shared" si="43"/>
        <v>-175</v>
      </c>
      <c r="R255" s="588"/>
    </row>
    <row r="256" ht="14.25" customHeight="1">
      <c r="A256" s="641"/>
      <c r="B256" s="634"/>
      <c r="C256" s="576">
        <v>45753.0</v>
      </c>
      <c r="D256" s="299"/>
      <c r="E256" s="294"/>
      <c r="F256" s="88"/>
      <c r="G256" s="88"/>
      <c r="H256" s="634"/>
      <c r="I256" s="88"/>
      <c r="J256" s="294"/>
      <c r="K256" s="90">
        <f t="shared" si="42"/>
        <v>0</v>
      </c>
      <c r="L256" s="294"/>
      <c r="M256" s="294"/>
      <c r="N256" s="294"/>
      <c r="O256" s="294"/>
      <c r="P256" s="526"/>
      <c r="Q256" s="88">
        <f t="shared" si="43"/>
        <v>-175</v>
      </c>
      <c r="R256" s="634"/>
    </row>
    <row r="257" ht="14.25" customHeight="1">
      <c r="A257" s="641"/>
      <c r="B257" s="612"/>
      <c r="C257" s="573">
        <v>45815.0</v>
      </c>
      <c r="D257" s="241">
        <v>1.0</v>
      </c>
      <c r="E257" s="237">
        <v>2800.0</v>
      </c>
      <c r="F257" s="237"/>
      <c r="G257" s="67"/>
      <c r="H257" s="612"/>
      <c r="I257" s="67"/>
      <c r="J257" s="237">
        <v>1000.0</v>
      </c>
      <c r="K257" s="69">
        <f t="shared" si="42"/>
        <v>0</v>
      </c>
      <c r="L257" s="237"/>
      <c r="M257" s="648">
        <v>1800.0</v>
      </c>
      <c r="N257" s="559"/>
      <c r="O257" s="559">
        <v>-700.0</v>
      </c>
      <c r="P257" s="522"/>
      <c r="Q257" s="521">
        <f t="shared" si="43"/>
        <v>-875</v>
      </c>
      <c r="R257" s="588"/>
    </row>
    <row r="258" ht="14.25" customHeight="1">
      <c r="A258" s="641"/>
      <c r="B258" s="634"/>
      <c r="C258" s="576">
        <v>45846.0</v>
      </c>
      <c r="D258" s="299"/>
      <c r="E258" s="294"/>
      <c r="F258" s="88"/>
      <c r="G258" s="88"/>
      <c r="H258" s="634"/>
      <c r="I258" s="88"/>
      <c r="J258" s="294"/>
      <c r="K258" s="90">
        <f t="shared" si="42"/>
        <v>0</v>
      </c>
      <c r="L258" s="294"/>
      <c r="M258" s="294"/>
      <c r="N258" s="294"/>
      <c r="O258" s="294"/>
      <c r="P258" s="526"/>
      <c r="Q258" s="88">
        <f t="shared" si="43"/>
        <v>-875</v>
      </c>
      <c r="R258" s="634"/>
    </row>
    <row r="259" ht="14.25" customHeight="1">
      <c r="A259" s="641"/>
      <c r="B259" s="612"/>
      <c r="C259" s="573">
        <v>45878.0</v>
      </c>
      <c r="D259" s="241">
        <v>1.0</v>
      </c>
      <c r="E259" s="237">
        <v>2169.57</v>
      </c>
      <c r="F259" s="67"/>
      <c r="G259" s="67"/>
      <c r="H259" s="612" t="s">
        <v>42</v>
      </c>
      <c r="I259" s="67"/>
      <c r="J259" s="237"/>
      <c r="K259" s="69">
        <f t="shared" si="42"/>
        <v>0</v>
      </c>
      <c r="L259" s="237">
        <v>2169.57</v>
      </c>
      <c r="M259" s="237"/>
      <c r="N259" s="559"/>
      <c r="O259" s="559">
        <v>-700.0</v>
      </c>
      <c r="P259" s="522"/>
      <c r="Q259" s="521">
        <f t="shared" si="43"/>
        <v>-1575</v>
      </c>
      <c r="R259" s="588"/>
    </row>
    <row r="260" ht="14.25" customHeight="1">
      <c r="A260" s="641"/>
      <c r="B260" s="612"/>
      <c r="C260" s="573">
        <v>45910.0</v>
      </c>
      <c r="D260" s="241">
        <v>1.0</v>
      </c>
      <c r="E260" s="237">
        <v>2300.0</v>
      </c>
      <c r="F260" s="237">
        <v>300.0</v>
      </c>
      <c r="G260" s="67"/>
      <c r="H260" s="612"/>
      <c r="I260" s="67"/>
      <c r="J260" s="237">
        <v>1125.0</v>
      </c>
      <c r="K260" s="69">
        <f t="shared" si="42"/>
        <v>0</v>
      </c>
      <c r="L260" s="237"/>
      <c r="M260" s="237"/>
      <c r="N260" s="559">
        <v>1475.0</v>
      </c>
      <c r="O260" s="559">
        <v>-700.0</v>
      </c>
      <c r="P260" s="522"/>
      <c r="Q260" s="521">
        <f t="shared" si="43"/>
        <v>-800</v>
      </c>
      <c r="R260" s="588"/>
    </row>
    <row r="261" ht="14.25" customHeight="1">
      <c r="A261" s="641"/>
      <c r="B261" s="634"/>
      <c r="C261" s="576">
        <v>45941.0</v>
      </c>
      <c r="D261" s="299"/>
      <c r="E261" s="294"/>
      <c r="F261" s="88"/>
      <c r="G261" s="88"/>
      <c r="H261" s="634"/>
      <c r="I261" s="88"/>
      <c r="J261" s="294"/>
      <c r="K261" s="90">
        <f t="shared" si="42"/>
        <v>0</v>
      </c>
      <c r="L261" s="294"/>
      <c r="M261" s="294"/>
      <c r="N261" s="294"/>
      <c r="O261" s="294"/>
      <c r="P261" s="526"/>
      <c r="Q261" s="88">
        <f t="shared" si="43"/>
        <v>-800</v>
      </c>
      <c r="R261" s="634"/>
    </row>
    <row r="262" ht="14.25" customHeight="1">
      <c r="A262" s="641"/>
      <c r="B262" s="612"/>
      <c r="C262" s="573">
        <v>45973.0</v>
      </c>
      <c r="D262" s="241">
        <v>1.0</v>
      </c>
      <c r="E262" s="237">
        <v>2000.0</v>
      </c>
      <c r="F262" s="237">
        <v>350.0</v>
      </c>
      <c r="G262" s="67"/>
      <c r="H262" s="612"/>
      <c r="I262" s="67"/>
      <c r="J262" s="237">
        <v>500.0</v>
      </c>
      <c r="K262" s="69">
        <f t="shared" si="42"/>
        <v>0</v>
      </c>
      <c r="L262" s="237"/>
      <c r="M262" s="237">
        <v>1850.0</v>
      </c>
      <c r="N262" s="559"/>
      <c r="O262" s="559">
        <v>-700.0</v>
      </c>
      <c r="P262" s="522"/>
      <c r="Q262" s="521">
        <f t="shared" si="43"/>
        <v>-1500</v>
      </c>
      <c r="R262" s="588"/>
    </row>
    <row r="263" ht="14.25" customHeight="1">
      <c r="A263" s="641"/>
      <c r="B263" s="612"/>
      <c r="C263" s="573">
        <v>46005.0</v>
      </c>
      <c r="D263" s="241">
        <v>2.0</v>
      </c>
      <c r="E263" s="237">
        <v>5000.0</v>
      </c>
      <c r="F263" s="237">
        <v>700.0</v>
      </c>
      <c r="G263" s="67"/>
      <c r="H263" s="612"/>
      <c r="I263" s="67"/>
      <c r="J263" s="237">
        <v>1500.0</v>
      </c>
      <c r="K263" s="69">
        <f t="shared" si="42"/>
        <v>0</v>
      </c>
      <c r="L263" s="237"/>
      <c r="M263" s="237"/>
      <c r="N263" s="559">
        <v>4200.0</v>
      </c>
      <c r="O263" s="559">
        <v>-700.0</v>
      </c>
      <c r="P263" s="522"/>
      <c r="Q263" s="521">
        <f t="shared" si="43"/>
        <v>2000</v>
      </c>
      <c r="R263" s="588"/>
    </row>
    <row r="264" ht="14.25" customHeight="1">
      <c r="A264" s="641"/>
      <c r="B264" s="634"/>
      <c r="C264" s="299" t="s">
        <v>204</v>
      </c>
      <c r="D264" s="299"/>
      <c r="E264" s="294"/>
      <c r="F264" s="88"/>
      <c r="G264" s="88"/>
      <c r="H264" s="634"/>
      <c r="I264" s="88"/>
      <c r="J264" s="294"/>
      <c r="K264" s="90">
        <f t="shared" si="42"/>
        <v>0</v>
      </c>
      <c r="L264" s="294"/>
      <c r="M264" s="294"/>
      <c r="N264" s="294"/>
      <c r="O264" s="294"/>
      <c r="P264" s="638"/>
      <c r="Q264" s="88">
        <f t="shared" si="43"/>
        <v>2000</v>
      </c>
      <c r="R264" s="634"/>
    </row>
    <row r="265" ht="14.25" customHeight="1">
      <c r="A265" s="641"/>
      <c r="B265" s="612"/>
      <c r="C265" s="241" t="s">
        <v>33</v>
      </c>
      <c r="D265" s="241">
        <v>1.0</v>
      </c>
      <c r="E265" s="237">
        <v>2000.0</v>
      </c>
      <c r="F265" s="67"/>
      <c r="G265" s="67"/>
      <c r="H265" s="612"/>
      <c r="I265" s="67"/>
      <c r="J265" s="237">
        <v>501.0</v>
      </c>
      <c r="K265" s="69">
        <f t="shared" si="42"/>
        <v>0</v>
      </c>
      <c r="L265" s="237"/>
      <c r="M265" s="237">
        <v>1499.0</v>
      </c>
      <c r="N265" s="559"/>
      <c r="O265" s="559">
        <v>-700.0</v>
      </c>
      <c r="P265" s="522"/>
      <c r="Q265" s="521">
        <f t="shared" si="43"/>
        <v>1300</v>
      </c>
      <c r="R265" s="588"/>
    </row>
    <row r="266" ht="14.25" customHeight="1">
      <c r="A266" s="641"/>
      <c r="B266" s="612"/>
      <c r="C266" s="241" t="s">
        <v>64</v>
      </c>
      <c r="D266" s="241">
        <v>2.0</v>
      </c>
      <c r="E266" s="237">
        <v>5000.0</v>
      </c>
      <c r="F266" s="237">
        <v>900.0</v>
      </c>
      <c r="G266" s="67"/>
      <c r="H266" s="612"/>
      <c r="I266" s="67"/>
      <c r="J266" s="237">
        <v>1950.0</v>
      </c>
      <c r="K266" s="69">
        <f t="shared" si="42"/>
        <v>0</v>
      </c>
      <c r="L266" s="237"/>
      <c r="M266" s="648">
        <v>3950.0</v>
      </c>
      <c r="N266" s="615"/>
      <c r="O266" s="559">
        <v>-700.0</v>
      </c>
      <c r="P266" s="607"/>
      <c r="Q266" s="521">
        <f t="shared" si="43"/>
        <v>600</v>
      </c>
      <c r="R266" s="588" t="s">
        <v>342</v>
      </c>
    </row>
    <row r="267" ht="14.25" customHeight="1">
      <c r="A267" s="641"/>
      <c r="B267" s="634"/>
      <c r="C267" s="299" t="s">
        <v>68</v>
      </c>
      <c r="D267" s="299"/>
      <c r="E267" s="294"/>
      <c r="F267" s="88"/>
      <c r="G267" s="88"/>
      <c r="H267" s="634"/>
      <c r="I267" s="88"/>
      <c r="J267" s="294"/>
      <c r="K267" s="90">
        <f t="shared" si="42"/>
        <v>0</v>
      </c>
      <c r="L267" s="294"/>
      <c r="M267" s="294"/>
      <c r="N267" s="294"/>
      <c r="O267" s="294"/>
      <c r="P267" s="526"/>
      <c r="Q267" s="88">
        <f t="shared" si="43"/>
        <v>600</v>
      </c>
      <c r="R267" s="634"/>
    </row>
    <row r="268" ht="14.25" customHeight="1">
      <c r="A268" s="641"/>
      <c r="B268" s="612"/>
      <c r="C268" s="241" t="s">
        <v>70</v>
      </c>
      <c r="D268" s="241">
        <v>2.0</v>
      </c>
      <c r="E268" s="237">
        <v>4100.0</v>
      </c>
      <c r="F268" s="237">
        <v>700.0</v>
      </c>
      <c r="G268" s="67"/>
      <c r="H268" s="612"/>
      <c r="I268" s="237">
        <v>1850.0</v>
      </c>
      <c r="J268" s="237"/>
      <c r="K268" s="69">
        <f t="shared" si="42"/>
        <v>0</v>
      </c>
      <c r="L268" s="237"/>
      <c r="M268" s="647"/>
      <c r="N268" s="559">
        <v>2950.0</v>
      </c>
      <c r="O268" s="559">
        <v>-700.0</v>
      </c>
      <c r="P268" s="522"/>
      <c r="Q268" s="521">
        <f t="shared" si="43"/>
        <v>2850</v>
      </c>
      <c r="R268" s="588"/>
    </row>
    <row r="269" ht="14.25" customHeight="1">
      <c r="A269" s="641"/>
      <c r="B269" s="634"/>
      <c r="C269" s="299" t="s">
        <v>71</v>
      </c>
      <c r="D269" s="299"/>
      <c r="E269" s="294"/>
      <c r="F269" s="88"/>
      <c r="G269" s="88"/>
      <c r="H269" s="634"/>
      <c r="I269" s="88"/>
      <c r="J269" s="294"/>
      <c r="K269" s="90">
        <f t="shared" si="42"/>
        <v>0</v>
      </c>
      <c r="L269" s="294"/>
      <c r="M269" s="294"/>
      <c r="N269" s="294"/>
      <c r="O269" s="294"/>
      <c r="P269" s="526"/>
      <c r="Q269" s="88">
        <f t="shared" si="43"/>
        <v>2850</v>
      </c>
      <c r="R269" s="634"/>
    </row>
    <row r="270" ht="14.25" customHeight="1">
      <c r="B270" s="519"/>
      <c r="C270" s="241" t="s">
        <v>72</v>
      </c>
      <c r="D270" s="241">
        <v>1.0</v>
      </c>
      <c r="E270" s="237">
        <v>2800.0</v>
      </c>
      <c r="F270" s="67"/>
      <c r="G270" s="67"/>
      <c r="H270" s="519"/>
      <c r="I270" s="67"/>
      <c r="J270" s="237">
        <v>1000.0</v>
      </c>
      <c r="K270" s="69">
        <f t="shared" si="42"/>
        <v>0</v>
      </c>
      <c r="L270" s="67"/>
      <c r="M270" s="67"/>
      <c r="N270" s="615">
        <v>1800.0</v>
      </c>
      <c r="O270" s="559">
        <v>-700.0</v>
      </c>
      <c r="P270" s="607"/>
      <c r="Q270" s="521">
        <f t="shared" si="43"/>
        <v>3950</v>
      </c>
      <c r="R270" s="588"/>
    </row>
    <row r="271" ht="14.25" customHeight="1">
      <c r="B271" s="519"/>
      <c r="C271" s="241" t="s">
        <v>73</v>
      </c>
      <c r="D271" s="241">
        <v>1.0</v>
      </c>
      <c r="E271" s="237">
        <v>2200.0</v>
      </c>
      <c r="F271" s="67"/>
      <c r="G271" s="67"/>
      <c r="H271" s="519"/>
      <c r="I271" s="67"/>
      <c r="J271" s="237">
        <v>1000.0</v>
      </c>
      <c r="K271" s="69">
        <f t="shared" si="42"/>
        <v>0</v>
      </c>
      <c r="L271" s="67"/>
      <c r="M271" s="67"/>
      <c r="N271" s="559">
        <v>1200.0</v>
      </c>
      <c r="O271" s="559">
        <v>-700.0</v>
      </c>
      <c r="P271" s="607"/>
      <c r="Q271" s="521">
        <f t="shared" si="43"/>
        <v>4450</v>
      </c>
      <c r="R271" s="588"/>
      <c r="T271" s="588" t="s">
        <v>345</v>
      </c>
    </row>
    <row r="272" ht="14.25" customHeight="1">
      <c r="B272" s="519"/>
      <c r="C272" s="66"/>
      <c r="D272" s="66"/>
      <c r="E272" s="67"/>
      <c r="F272" s="67"/>
      <c r="G272" s="67"/>
      <c r="H272" s="519"/>
      <c r="I272" s="67"/>
      <c r="J272" s="67"/>
      <c r="K272" s="69">
        <f t="shared" si="42"/>
        <v>0</v>
      </c>
      <c r="L272" s="67"/>
      <c r="M272" s="67"/>
      <c r="N272" s="521"/>
      <c r="O272" s="521"/>
      <c r="P272" s="607">
        <v>-4450.0</v>
      </c>
      <c r="Q272" s="521">
        <f t="shared" si="43"/>
        <v>0</v>
      </c>
      <c r="R272" s="523"/>
      <c r="T272" s="523" t="s">
        <v>55</v>
      </c>
    </row>
    <row r="273" ht="14.25" customHeight="1">
      <c r="B273" s="519"/>
      <c r="C273" s="66"/>
      <c r="D273" s="66"/>
      <c r="E273" s="67"/>
      <c r="F273" s="67"/>
      <c r="G273" s="67"/>
      <c r="H273" s="519"/>
      <c r="I273" s="67"/>
      <c r="J273" s="67"/>
      <c r="K273" s="69">
        <f t="shared" si="42"/>
        <v>0</v>
      </c>
      <c r="L273" s="67"/>
      <c r="M273" s="67"/>
      <c r="N273" s="521"/>
      <c r="O273" s="521"/>
      <c r="P273" s="607"/>
      <c r="Q273" s="521">
        <f t="shared" si="43"/>
        <v>0</v>
      </c>
      <c r="R273" s="523"/>
    </row>
    <row r="274" ht="14.25" customHeight="1">
      <c r="B274" s="611" t="s">
        <v>179</v>
      </c>
      <c r="C274" s="551" t="s">
        <v>80</v>
      </c>
      <c r="D274" s="551">
        <f>sum(D255:D273)</f>
        <v>15</v>
      </c>
      <c r="E274" s="553">
        <f t="shared" ref="E274:O274" si="44">SUM(E254:E273)</f>
        <v>35645.67</v>
      </c>
      <c r="F274" s="553">
        <f t="shared" si="44"/>
        <v>3400</v>
      </c>
      <c r="G274" s="553">
        <f t="shared" si="44"/>
        <v>0</v>
      </c>
      <c r="H274" s="553">
        <f t="shared" si="44"/>
        <v>0</v>
      </c>
      <c r="I274" s="553">
        <f t="shared" si="44"/>
        <v>1850</v>
      </c>
      <c r="J274" s="553">
        <f t="shared" si="44"/>
        <v>9801</v>
      </c>
      <c r="K274" s="553">
        <f t="shared" si="44"/>
        <v>0</v>
      </c>
      <c r="L274" s="553">
        <f t="shared" si="44"/>
        <v>5445.67</v>
      </c>
      <c r="M274" s="553">
        <f t="shared" si="44"/>
        <v>9099</v>
      </c>
      <c r="N274" s="553">
        <f t="shared" si="44"/>
        <v>12850</v>
      </c>
      <c r="O274" s="553">
        <f t="shared" si="44"/>
        <v>-8400</v>
      </c>
      <c r="P274" s="553">
        <f>SUM(P255:P273)</f>
        <v>-4450</v>
      </c>
      <c r="Q274" s="557">
        <f>Q273</f>
        <v>0</v>
      </c>
      <c r="R274" s="558"/>
    </row>
    <row r="275" ht="14.25" customHeight="1">
      <c r="B275" s="649" t="s">
        <v>186</v>
      </c>
      <c r="C275" s="236">
        <v>46025.0</v>
      </c>
      <c r="D275" s="243">
        <v>2.0</v>
      </c>
      <c r="E275" s="647">
        <v>3500.0</v>
      </c>
      <c r="F275" s="647"/>
      <c r="G275" s="647"/>
      <c r="H275" s="650"/>
      <c r="I275" s="651"/>
      <c r="J275" s="647">
        <v>1500.0</v>
      </c>
      <c r="K275" s="543">
        <f t="shared" ref="K275:K297" si="45">E275-J275-L275-M275-N275-I275+F275+G275</f>
        <v>0</v>
      </c>
      <c r="L275" s="647"/>
      <c r="M275" s="647">
        <v>2000.0</v>
      </c>
      <c r="N275" s="615"/>
      <c r="O275" s="615">
        <v>-700.0</v>
      </c>
      <c r="P275" s="652"/>
      <c r="Q275" s="632">
        <f t="shared" ref="Q275:Q297" si="46">Q274+N275+O275+P275</f>
        <v>-700</v>
      </c>
      <c r="R275" s="633"/>
    </row>
    <row r="276" ht="14.25" customHeight="1">
      <c r="B276" s="653"/>
      <c r="C276" s="239">
        <v>46086.0</v>
      </c>
      <c r="D276" s="296"/>
      <c r="E276" s="323">
        <v>1500.0</v>
      </c>
      <c r="F276" s="410"/>
      <c r="G276" s="410"/>
      <c r="H276" s="653" t="s">
        <v>81</v>
      </c>
      <c r="I276" s="410"/>
      <c r="J276" s="323">
        <v>1500.0</v>
      </c>
      <c r="K276" s="554">
        <f t="shared" si="45"/>
        <v>0</v>
      </c>
      <c r="L276" s="323"/>
      <c r="M276" s="323"/>
      <c r="N276" s="323"/>
      <c r="O276" s="323"/>
      <c r="P276" s="654"/>
      <c r="Q276" s="410">
        <f t="shared" si="46"/>
        <v>-700</v>
      </c>
      <c r="R276" s="653"/>
    </row>
    <row r="277" ht="14.25" customHeight="1">
      <c r="B277" s="650"/>
      <c r="C277" s="655">
        <v>46117.0</v>
      </c>
      <c r="D277" s="243">
        <v>1.0</v>
      </c>
      <c r="E277" s="647">
        <v>2800.0</v>
      </c>
      <c r="F277" s="647"/>
      <c r="G277" s="651"/>
      <c r="H277" s="650"/>
      <c r="I277" s="651"/>
      <c r="J277" s="647">
        <v>1000.0</v>
      </c>
      <c r="K277" s="543">
        <f t="shared" si="45"/>
        <v>0</v>
      </c>
      <c r="L277" s="647"/>
      <c r="M277" s="647"/>
      <c r="N277" s="615">
        <v>1800.0</v>
      </c>
      <c r="O277" s="615">
        <v>-700.0</v>
      </c>
      <c r="P277" s="631"/>
      <c r="Q277" s="632">
        <f t="shared" si="46"/>
        <v>400</v>
      </c>
      <c r="R277" s="633"/>
    </row>
    <row r="278" ht="14.25" customHeight="1">
      <c r="B278" s="650"/>
      <c r="C278" s="236">
        <v>46148.0</v>
      </c>
      <c r="D278" s="243">
        <v>1.0</v>
      </c>
      <c r="E278" s="647">
        <v>2600.0</v>
      </c>
      <c r="F278" s="647"/>
      <c r="G278" s="651"/>
      <c r="H278" s="650"/>
      <c r="I278" s="651"/>
      <c r="J278" s="647">
        <v>1000.0</v>
      </c>
      <c r="K278" s="543">
        <f t="shared" si="45"/>
        <v>0</v>
      </c>
      <c r="L278" s="647"/>
      <c r="M278" s="647"/>
      <c r="N278" s="615">
        <v>1600.0</v>
      </c>
      <c r="O278" s="615">
        <v>-700.0</v>
      </c>
      <c r="P278" s="631"/>
      <c r="Q278" s="632">
        <f t="shared" si="46"/>
        <v>1300</v>
      </c>
      <c r="R278" s="633"/>
    </row>
    <row r="279" ht="14.25" customHeight="1">
      <c r="B279" s="653"/>
      <c r="C279" s="239">
        <v>46180.0</v>
      </c>
      <c r="D279" s="296"/>
      <c r="E279" s="323"/>
      <c r="F279" s="410"/>
      <c r="G279" s="410"/>
      <c r="H279" s="653"/>
      <c r="I279" s="410"/>
      <c r="J279" s="323"/>
      <c r="K279" s="554">
        <f t="shared" si="45"/>
        <v>0</v>
      </c>
      <c r="L279" s="323"/>
      <c r="M279" s="323"/>
      <c r="N279" s="323"/>
      <c r="O279" s="323"/>
      <c r="P279" s="654"/>
      <c r="Q279" s="410">
        <f t="shared" si="46"/>
        <v>1300</v>
      </c>
      <c r="R279" s="653"/>
    </row>
    <row r="280" ht="14.25" customHeight="1">
      <c r="B280" s="650"/>
      <c r="C280" s="236">
        <v>46212.0</v>
      </c>
      <c r="D280" s="243">
        <v>2.0</v>
      </c>
      <c r="E280" s="647">
        <v>3700.0</v>
      </c>
      <c r="F280" s="647">
        <v>900.0</v>
      </c>
      <c r="G280" s="651"/>
      <c r="H280" s="650"/>
      <c r="I280" s="651"/>
      <c r="J280" s="647">
        <v>1950.0</v>
      </c>
      <c r="K280" s="543">
        <f t="shared" si="45"/>
        <v>0</v>
      </c>
      <c r="L280" s="647"/>
      <c r="M280" s="647">
        <v>2650.0</v>
      </c>
      <c r="N280" s="615"/>
      <c r="O280" s="615">
        <v>-700.0</v>
      </c>
      <c r="P280" s="631"/>
      <c r="Q280" s="632">
        <f t="shared" si="46"/>
        <v>600</v>
      </c>
      <c r="R280" s="633"/>
    </row>
    <row r="281" ht="14.25" customHeight="1">
      <c r="B281" s="650"/>
      <c r="C281" s="236">
        <v>46275.0</v>
      </c>
      <c r="D281" s="243">
        <v>1.0</v>
      </c>
      <c r="E281" s="647">
        <v>2000.0</v>
      </c>
      <c r="F281" s="647"/>
      <c r="G281" s="651"/>
      <c r="H281" s="650"/>
      <c r="I281" s="651"/>
      <c r="J281" s="647">
        <v>1000.0</v>
      </c>
      <c r="K281" s="543">
        <f t="shared" si="45"/>
        <v>0</v>
      </c>
      <c r="L281" s="647"/>
      <c r="M281" s="647">
        <v>1000.0</v>
      </c>
      <c r="N281" s="615"/>
      <c r="O281" s="615">
        <v>-700.0</v>
      </c>
      <c r="P281" s="631"/>
      <c r="Q281" s="632">
        <f t="shared" si="46"/>
        <v>-100</v>
      </c>
      <c r="R281" s="633"/>
    </row>
    <row r="282" ht="14.25" customHeight="1">
      <c r="B282" s="650"/>
      <c r="C282" s="236">
        <v>46306.0</v>
      </c>
      <c r="D282" s="243">
        <v>1.0</v>
      </c>
      <c r="E282" s="647">
        <v>2200.0</v>
      </c>
      <c r="F282" s="647">
        <v>450.0</v>
      </c>
      <c r="G282" s="651"/>
      <c r="H282" s="650"/>
      <c r="I282" s="651"/>
      <c r="J282" s="647">
        <v>1225.0</v>
      </c>
      <c r="K282" s="543">
        <f t="shared" si="45"/>
        <v>0</v>
      </c>
      <c r="L282" s="647"/>
      <c r="M282" s="647">
        <v>1425.0</v>
      </c>
      <c r="N282" s="615"/>
      <c r="O282" s="615">
        <v>-700.0</v>
      </c>
      <c r="P282" s="631"/>
      <c r="Q282" s="632">
        <f t="shared" si="46"/>
        <v>-800</v>
      </c>
      <c r="R282" s="633"/>
    </row>
    <row r="283" ht="14.25" customHeight="1">
      <c r="B283" s="650"/>
      <c r="C283" s="236">
        <v>46338.0</v>
      </c>
      <c r="D283" s="243">
        <v>1.0</v>
      </c>
      <c r="E283" s="647">
        <v>3150.0</v>
      </c>
      <c r="F283" s="647"/>
      <c r="G283" s="651"/>
      <c r="H283" s="650"/>
      <c r="I283" s="651"/>
      <c r="J283" s="647">
        <v>1000.0</v>
      </c>
      <c r="K283" s="543">
        <f t="shared" si="45"/>
        <v>0</v>
      </c>
      <c r="L283" s="647"/>
      <c r="M283" s="647"/>
      <c r="N283" s="615">
        <v>2150.0</v>
      </c>
      <c r="O283" s="615">
        <v>-700.0</v>
      </c>
      <c r="P283" s="631"/>
      <c r="Q283" s="632">
        <f t="shared" si="46"/>
        <v>650</v>
      </c>
      <c r="R283" s="633"/>
    </row>
    <row r="284" ht="14.25" customHeight="1">
      <c r="B284" s="653"/>
      <c r="C284" s="239">
        <v>46372.0</v>
      </c>
      <c r="D284" s="296"/>
      <c r="E284" s="323"/>
      <c r="F284" s="410"/>
      <c r="G284" s="410"/>
      <c r="H284" s="653"/>
      <c r="I284" s="410"/>
      <c r="J284" s="323"/>
      <c r="K284" s="554">
        <f t="shared" si="45"/>
        <v>0</v>
      </c>
      <c r="L284" s="323"/>
      <c r="M284" s="323"/>
      <c r="N284" s="323"/>
      <c r="O284" s="323"/>
      <c r="P284" s="658"/>
      <c r="Q284" s="410">
        <f t="shared" si="46"/>
        <v>650</v>
      </c>
      <c r="R284" s="653"/>
    </row>
    <row r="285" ht="14.25" customHeight="1">
      <c r="B285" s="650"/>
      <c r="C285" s="243" t="s">
        <v>31</v>
      </c>
      <c r="D285" s="243">
        <v>1.0</v>
      </c>
      <c r="E285" s="647">
        <v>2000.0</v>
      </c>
      <c r="F285" s="647">
        <v>450.0</v>
      </c>
      <c r="G285" s="651"/>
      <c r="H285" s="650"/>
      <c r="I285" s="651"/>
      <c r="J285" s="647">
        <v>1000.0</v>
      </c>
      <c r="K285" s="543">
        <f t="shared" si="45"/>
        <v>0</v>
      </c>
      <c r="L285" s="647"/>
      <c r="M285" s="647">
        <v>1450.0</v>
      </c>
      <c r="N285" s="615"/>
      <c r="O285" s="615">
        <v>-700.0</v>
      </c>
      <c r="P285" s="631"/>
      <c r="Q285" s="632">
        <f t="shared" si="46"/>
        <v>-50</v>
      </c>
      <c r="R285" s="633"/>
    </row>
    <row r="286" ht="14.25" customHeight="1">
      <c r="B286" s="650"/>
      <c r="C286" s="243" t="s">
        <v>32</v>
      </c>
      <c r="D286" s="243">
        <v>1.0</v>
      </c>
      <c r="E286" s="647">
        <v>2025.0</v>
      </c>
      <c r="F286" s="647">
        <v>400.0</v>
      </c>
      <c r="G286" s="651"/>
      <c r="H286" s="650"/>
      <c r="I286" s="651"/>
      <c r="J286" s="647">
        <v>1000.0</v>
      </c>
      <c r="K286" s="543">
        <f t="shared" si="45"/>
        <v>0</v>
      </c>
      <c r="L286" s="647"/>
      <c r="M286" s="647">
        <v>1425.0</v>
      </c>
      <c r="N286" s="615"/>
      <c r="O286" s="615">
        <v>-700.0</v>
      </c>
      <c r="P286" s="652">
        <v>-350.0</v>
      </c>
      <c r="Q286" s="632">
        <f t="shared" si="46"/>
        <v>-1100</v>
      </c>
      <c r="R286" s="633" t="s">
        <v>346</v>
      </c>
    </row>
    <row r="287" ht="14.25" customHeight="1">
      <c r="B287" s="650"/>
      <c r="C287" s="243" t="s">
        <v>33</v>
      </c>
      <c r="D287" s="243">
        <v>1.0</v>
      </c>
      <c r="E287" s="647">
        <v>2800.0</v>
      </c>
      <c r="F287" s="647"/>
      <c r="G287" s="651"/>
      <c r="H287" s="650"/>
      <c r="I287" s="651"/>
      <c r="J287" s="647">
        <v>1000.0</v>
      </c>
      <c r="K287" s="543">
        <f t="shared" si="45"/>
        <v>0</v>
      </c>
      <c r="L287" s="647"/>
      <c r="M287" s="647">
        <v>1800.0</v>
      </c>
      <c r="N287" s="615"/>
      <c r="O287" s="615">
        <v>-700.0</v>
      </c>
      <c r="P287" s="652"/>
      <c r="Q287" s="632">
        <f t="shared" si="46"/>
        <v>-1800</v>
      </c>
      <c r="R287" s="633"/>
    </row>
    <row r="288" ht="14.25" customHeight="1">
      <c r="B288" s="653"/>
      <c r="C288" s="296" t="s">
        <v>34</v>
      </c>
      <c r="D288" s="296"/>
      <c r="E288" s="323"/>
      <c r="F288" s="410"/>
      <c r="G288" s="410"/>
      <c r="H288" s="653"/>
      <c r="I288" s="410"/>
      <c r="J288" s="323"/>
      <c r="K288" s="554">
        <f t="shared" si="45"/>
        <v>0</v>
      </c>
      <c r="L288" s="323"/>
      <c r="M288" s="323"/>
      <c r="N288" s="323"/>
      <c r="O288" s="323"/>
      <c r="P288" s="654"/>
      <c r="Q288" s="410">
        <f t="shared" si="46"/>
        <v>-1800</v>
      </c>
      <c r="R288" s="653"/>
    </row>
    <row r="289" ht="14.25" customHeight="1">
      <c r="B289" s="650"/>
      <c r="C289" s="243" t="s">
        <v>211</v>
      </c>
      <c r="D289" s="243">
        <v>4.0</v>
      </c>
      <c r="E289" s="647">
        <v>6808.29</v>
      </c>
      <c r="F289" s="647"/>
      <c r="G289" s="651"/>
      <c r="H289" s="650" t="s">
        <v>53</v>
      </c>
      <c r="I289" s="647"/>
      <c r="J289" s="647"/>
      <c r="K289" s="543">
        <f t="shared" si="45"/>
        <v>0</v>
      </c>
      <c r="L289" s="647">
        <v>6808.29</v>
      </c>
      <c r="M289" s="647"/>
      <c r="N289" s="615"/>
      <c r="O289" s="615">
        <v>-700.0</v>
      </c>
      <c r="P289" s="631"/>
      <c r="Q289" s="632">
        <f t="shared" si="46"/>
        <v>-2500</v>
      </c>
      <c r="R289" s="633"/>
    </row>
    <row r="290" ht="14.25" customHeight="1">
      <c r="B290" s="659"/>
      <c r="C290" s="243" t="s">
        <v>44</v>
      </c>
      <c r="D290" s="243">
        <v>1.0</v>
      </c>
      <c r="E290" s="647">
        <v>2200.0</v>
      </c>
      <c r="F290" s="647">
        <v>350.0</v>
      </c>
      <c r="G290" s="651"/>
      <c r="H290" s="659"/>
      <c r="I290" s="651"/>
      <c r="J290" s="647">
        <v>1175.0</v>
      </c>
      <c r="K290" s="543">
        <f t="shared" si="45"/>
        <v>0</v>
      </c>
      <c r="L290" s="651"/>
      <c r="M290" s="651"/>
      <c r="N290" s="615">
        <v>1375.0</v>
      </c>
      <c r="O290" s="615">
        <v>-700.0</v>
      </c>
      <c r="P290" s="652"/>
      <c r="Q290" s="632">
        <f t="shared" si="46"/>
        <v>-1825</v>
      </c>
      <c r="R290" s="633"/>
    </row>
    <row r="291" ht="14.25" customHeight="1">
      <c r="B291" s="659"/>
      <c r="C291" s="243" t="s">
        <v>45</v>
      </c>
      <c r="D291" s="243">
        <v>1.0</v>
      </c>
      <c r="E291" s="647">
        <v>2800.0</v>
      </c>
      <c r="F291" s="647">
        <v>400.0</v>
      </c>
      <c r="G291" s="651"/>
      <c r="H291" s="650"/>
      <c r="I291" s="651"/>
      <c r="J291" s="647">
        <v>1000.0</v>
      </c>
      <c r="K291" s="543">
        <f t="shared" si="45"/>
        <v>0</v>
      </c>
      <c r="L291" s="651"/>
      <c r="M291" s="647">
        <v>2200.0</v>
      </c>
      <c r="N291" s="615"/>
      <c r="O291" s="615">
        <v>-700.0</v>
      </c>
      <c r="P291" s="652"/>
      <c r="Q291" s="632">
        <f t="shared" si="46"/>
        <v>-2525</v>
      </c>
      <c r="R291" s="633"/>
    </row>
    <row r="292" ht="14.25" customHeight="1">
      <c r="B292" s="659"/>
      <c r="C292" s="243" t="s">
        <v>199</v>
      </c>
      <c r="D292" s="243">
        <v>3.0</v>
      </c>
      <c r="E292" s="647">
        <v>4672.54</v>
      </c>
      <c r="F292" s="651"/>
      <c r="G292" s="651"/>
      <c r="H292" s="650" t="s">
        <v>53</v>
      </c>
      <c r="I292" s="651"/>
      <c r="J292" s="647"/>
      <c r="K292" s="543">
        <f t="shared" si="45"/>
        <v>0</v>
      </c>
      <c r="L292" s="647">
        <v>4672.54</v>
      </c>
      <c r="M292" s="651"/>
      <c r="N292" s="615"/>
      <c r="O292" s="615">
        <v>-700.0</v>
      </c>
      <c r="P292" s="652"/>
      <c r="Q292" s="632">
        <f t="shared" si="46"/>
        <v>-3225</v>
      </c>
      <c r="R292" s="633"/>
    </row>
    <row r="293" ht="14.25" customHeight="1">
      <c r="B293" s="659"/>
      <c r="C293" s="243" t="s">
        <v>49</v>
      </c>
      <c r="D293" s="243">
        <v>1.0</v>
      </c>
      <c r="E293" s="647">
        <v>2000.0</v>
      </c>
      <c r="F293" s="651"/>
      <c r="G293" s="651"/>
      <c r="H293" s="659"/>
      <c r="I293" s="651"/>
      <c r="J293" s="647">
        <v>1000.0</v>
      </c>
      <c r="K293" s="543">
        <f t="shared" si="45"/>
        <v>0</v>
      </c>
      <c r="L293" s="651"/>
      <c r="M293" s="651"/>
      <c r="N293" s="615">
        <v>1000.0</v>
      </c>
      <c r="O293" s="615">
        <v>-700.0</v>
      </c>
      <c r="P293" s="652"/>
      <c r="Q293" s="632">
        <f t="shared" si="46"/>
        <v>-2925</v>
      </c>
      <c r="R293" s="633"/>
    </row>
    <row r="294" ht="14.25" customHeight="1">
      <c r="B294" s="659"/>
      <c r="C294" s="243" t="s">
        <v>50</v>
      </c>
      <c r="D294" s="243">
        <v>1.0</v>
      </c>
      <c r="E294" s="647">
        <v>2000.0</v>
      </c>
      <c r="F294" s="651"/>
      <c r="G294" s="651"/>
      <c r="H294" s="659"/>
      <c r="I294" s="651"/>
      <c r="J294" s="647">
        <v>1000.0</v>
      </c>
      <c r="K294" s="543">
        <f t="shared" si="45"/>
        <v>0</v>
      </c>
      <c r="L294" s="651"/>
      <c r="M294" s="647">
        <v>1000.0</v>
      </c>
      <c r="N294" s="632"/>
      <c r="O294" s="615">
        <v>-700.0</v>
      </c>
      <c r="P294" s="652"/>
      <c r="Q294" s="632">
        <f t="shared" si="46"/>
        <v>-3625</v>
      </c>
      <c r="R294" s="633"/>
    </row>
    <row r="295" ht="14.25" customHeight="1">
      <c r="B295" s="659"/>
      <c r="C295" s="243" t="s">
        <v>52</v>
      </c>
      <c r="D295" s="243">
        <v>1.0</v>
      </c>
      <c r="E295" s="647">
        <v>2800.0</v>
      </c>
      <c r="F295" s="651"/>
      <c r="G295" s="651"/>
      <c r="H295" s="659"/>
      <c r="I295" s="651"/>
      <c r="J295" s="647">
        <v>1000.0</v>
      </c>
      <c r="K295" s="543">
        <f t="shared" si="45"/>
        <v>0</v>
      </c>
      <c r="L295" s="651"/>
      <c r="M295" s="651"/>
      <c r="N295" s="615">
        <v>1800.0</v>
      </c>
      <c r="O295" s="615">
        <v>-700.0</v>
      </c>
      <c r="P295" s="652">
        <v>-500.0</v>
      </c>
      <c r="Q295" s="632">
        <f t="shared" si="46"/>
        <v>-3025</v>
      </c>
      <c r="R295" s="633" t="s">
        <v>140</v>
      </c>
    </row>
    <row r="296" ht="14.25" customHeight="1">
      <c r="B296" s="659"/>
      <c r="C296" s="110"/>
      <c r="D296" s="110"/>
      <c r="E296" s="651"/>
      <c r="F296" s="651"/>
      <c r="G296" s="651"/>
      <c r="H296" s="659"/>
      <c r="I296" s="651"/>
      <c r="J296" s="651"/>
      <c r="K296" s="543">
        <f t="shared" si="45"/>
        <v>0</v>
      </c>
      <c r="L296" s="651"/>
      <c r="M296" s="651"/>
      <c r="N296" s="632"/>
      <c r="O296" s="632"/>
      <c r="P296" s="652">
        <v>-1875.83</v>
      </c>
      <c r="Q296" s="632">
        <f t="shared" si="46"/>
        <v>-4900.83</v>
      </c>
      <c r="R296" s="633" t="s">
        <v>55</v>
      </c>
    </row>
    <row r="297" ht="14.25" customHeight="1">
      <c r="B297" s="659"/>
      <c r="C297" s="110"/>
      <c r="D297" s="110"/>
      <c r="E297" s="651"/>
      <c r="F297" s="651"/>
      <c r="G297" s="651"/>
      <c r="H297" s="659"/>
      <c r="I297" s="651"/>
      <c r="J297" s="651"/>
      <c r="K297" s="543">
        <f t="shared" si="45"/>
        <v>0</v>
      </c>
      <c r="L297" s="651"/>
      <c r="M297" s="651"/>
      <c r="N297" s="632"/>
      <c r="O297" s="632"/>
      <c r="P297" s="652">
        <v>-5025.71</v>
      </c>
      <c r="Q297" s="632">
        <f t="shared" si="46"/>
        <v>-9926.54</v>
      </c>
      <c r="R297" s="633" t="s">
        <v>208</v>
      </c>
    </row>
    <row r="298" ht="14.25" customHeight="1">
      <c r="B298" s="670" t="s">
        <v>186</v>
      </c>
      <c r="C298" s="671" t="s">
        <v>80</v>
      </c>
      <c r="D298" s="671">
        <f>sum(D276:D297)</f>
        <v>22</v>
      </c>
      <c r="E298" s="674">
        <f t="shared" ref="E298:O298" si="47">SUM(E275:E297)</f>
        <v>51555.83</v>
      </c>
      <c r="F298" s="674">
        <f t="shared" si="47"/>
        <v>2950</v>
      </c>
      <c r="G298" s="674">
        <f t="shared" si="47"/>
        <v>0</v>
      </c>
      <c r="H298" s="674">
        <f t="shared" si="47"/>
        <v>0</v>
      </c>
      <c r="I298" s="674">
        <f t="shared" si="47"/>
        <v>0</v>
      </c>
      <c r="J298" s="674">
        <f t="shared" si="47"/>
        <v>18350</v>
      </c>
      <c r="K298" s="676">
        <f t="shared" si="47"/>
        <v>0</v>
      </c>
      <c r="L298" s="674">
        <f t="shared" si="47"/>
        <v>11480.83</v>
      </c>
      <c r="M298" s="674">
        <f t="shared" si="47"/>
        <v>14950</v>
      </c>
      <c r="N298" s="674">
        <f t="shared" si="47"/>
        <v>9725</v>
      </c>
      <c r="O298" s="674">
        <f t="shared" si="47"/>
        <v>-11900</v>
      </c>
      <c r="P298" s="674">
        <f>SUM(P276:P297)</f>
        <v>-7751.54</v>
      </c>
      <c r="Q298" s="678">
        <f>Q297</f>
        <v>-9926.54</v>
      </c>
      <c r="R298" s="680"/>
    </row>
    <row r="299" ht="14.25" customHeight="1">
      <c r="B299" s="682" t="s">
        <v>214</v>
      </c>
      <c r="C299" s="683">
        <v>46024.0</v>
      </c>
      <c r="D299" s="685">
        <v>1.0</v>
      </c>
      <c r="E299" s="686">
        <v>3150.0</v>
      </c>
      <c r="F299" s="688"/>
      <c r="G299" s="689"/>
      <c r="H299" s="690"/>
      <c r="I299" s="689"/>
      <c r="J299" s="686">
        <v>1000.0</v>
      </c>
      <c r="K299" s="589">
        <f t="shared" ref="K299:K321" si="48">E299-J299-L299-M299-N299-I299+F299+G299</f>
        <v>0</v>
      </c>
      <c r="L299" s="689"/>
      <c r="M299" s="693">
        <v>2150.0</v>
      </c>
      <c r="N299" s="696"/>
      <c r="O299" s="697">
        <v>-700.0</v>
      </c>
      <c r="P299" s="698"/>
      <c r="Q299" s="696">
        <f t="shared" ref="Q299:Q321" si="49">Q298+N299+O299+P299</f>
        <v>-10626.54</v>
      </c>
      <c r="R299" s="700"/>
      <c r="S299" s="701"/>
    </row>
    <row r="300" ht="14.25" customHeight="1">
      <c r="B300" s="702"/>
      <c r="C300" s="704">
        <v>46056.0</v>
      </c>
      <c r="D300" s="705"/>
      <c r="E300" s="706"/>
      <c r="F300" s="706"/>
      <c r="G300" s="706"/>
      <c r="H300" s="702"/>
      <c r="I300" s="706"/>
      <c r="J300" s="706"/>
      <c r="K300" s="601">
        <f t="shared" si="48"/>
        <v>0</v>
      </c>
      <c r="L300" s="706"/>
      <c r="M300" s="706"/>
      <c r="N300" s="706"/>
      <c r="O300" s="706"/>
      <c r="P300" s="602"/>
      <c r="Q300" s="708">
        <f t="shared" si="49"/>
        <v>-10626.54</v>
      </c>
      <c r="R300" s="705"/>
      <c r="S300" s="701"/>
    </row>
    <row r="301" ht="14.25" customHeight="1">
      <c r="B301" s="702"/>
      <c r="C301" s="704">
        <v>46086.0</v>
      </c>
      <c r="D301" s="705"/>
      <c r="E301" s="710">
        <v>1500.0</v>
      </c>
      <c r="F301" s="706"/>
      <c r="G301" s="706"/>
      <c r="H301" s="711" t="s">
        <v>354</v>
      </c>
      <c r="I301" s="706"/>
      <c r="J301" s="710">
        <v>1500.0</v>
      </c>
      <c r="K301" s="601">
        <f t="shared" si="48"/>
        <v>0</v>
      </c>
      <c r="L301" s="706"/>
      <c r="M301" s="706"/>
      <c r="N301" s="706"/>
      <c r="O301" s="706"/>
      <c r="P301" s="602"/>
      <c r="Q301" s="708">
        <f t="shared" si="49"/>
        <v>-10626.54</v>
      </c>
      <c r="R301" s="705"/>
      <c r="S301" s="701"/>
    </row>
    <row r="302" ht="14.25" customHeight="1">
      <c r="B302" s="702"/>
      <c r="C302" s="704">
        <v>46148.0</v>
      </c>
      <c r="D302" s="705"/>
      <c r="E302" s="710">
        <v>1000.0</v>
      </c>
      <c r="F302" s="706"/>
      <c r="G302" s="706"/>
      <c r="H302" s="711" t="s">
        <v>81</v>
      </c>
      <c r="I302" s="706"/>
      <c r="J302" s="710">
        <v>1000.0</v>
      </c>
      <c r="K302" s="601">
        <f t="shared" si="48"/>
        <v>0</v>
      </c>
      <c r="L302" s="706"/>
      <c r="M302" s="706"/>
      <c r="N302" s="706"/>
      <c r="O302" s="706"/>
      <c r="P302" s="602"/>
      <c r="Q302" s="708">
        <f t="shared" si="49"/>
        <v>-10626.54</v>
      </c>
      <c r="R302" s="705"/>
      <c r="S302" s="701"/>
    </row>
    <row r="303" ht="14.25" customHeight="1">
      <c r="B303" s="690"/>
      <c r="C303" s="683">
        <v>46181.0</v>
      </c>
      <c r="D303" s="685">
        <v>2.0</v>
      </c>
      <c r="E303" s="686">
        <v>4600.0</v>
      </c>
      <c r="F303" s="689"/>
      <c r="G303" s="689"/>
      <c r="H303" s="690"/>
      <c r="I303" s="689"/>
      <c r="J303" s="686">
        <v>1500.0</v>
      </c>
      <c r="K303" s="589">
        <f t="shared" si="48"/>
        <v>0</v>
      </c>
      <c r="L303" s="689"/>
      <c r="M303" s="688"/>
      <c r="N303" s="718">
        <v>3100.0</v>
      </c>
      <c r="O303" s="697">
        <v>-700.0</v>
      </c>
      <c r="P303" s="698"/>
      <c r="Q303" s="696">
        <f t="shared" si="49"/>
        <v>-8226.54</v>
      </c>
      <c r="R303" s="700"/>
      <c r="S303" s="701"/>
    </row>
    <row r="304" ht="14.25" customHeight="1">
      <c r="B304" s="690"/>
      <c r="C304" s="683">
        <v>46243.0</v>
      </c>
      <c r="D304" s="685">
        <v>1.0</v>
      </c>
      <c r="E304" s="686">
        <v>2800.0</v>
      </c>
      <c r="F304" s="689"/>
      <c r="G304" s="689"/>
      <c r="H304" s="690"/>
      <c r="I304" s="689"/>
      <c r="J304" s="693">
        <v>1000.0</v>
      </c>
      <c r="K304" s="589">
        <f t="shared" si="48"/>
        <v>0</v>
      </c>
      <c r="L304" s="688"/>
      <c r="M304" s="693">
        <v>1800.0</v>
      </c>
      <c r="N304" s="722"/>
      <c r="O304" s="697">
        <v>-700.0</v>
      </c>
      <c r="P304" s="698"/>
      <c r="Q304" s="696">
        <f t="shared" si="49"/>
        <v>-8926.54</v>
      </c>
      <c r="R304" s="700"/>
      <c r="S304" s="701"/>
    </row>
    <row r="305" ht="14.25" customHeight="1">
      <c r="B305" s="702"/>
      <c r="C305" s="704">
        <v>46278.0</v>
      </c>
      <c r="D305" s="705"/>
      <c r="E305" s="706"/>
      <c r="F305" s="706"/>
      <c r="G305" s="706"/>
      <c r="H305" s="702"/>
      <c r="I305" s="706"/>
      <c r="J305" s="706"/>
      <c r="K305" s="601">
        <f t="shared" si="48"/>
        <v>0</v>
      </c>
      <c r="L305" s="706"/>
      <c r="M305" s="706"/>
      <c r="N305" s="706"/>
      <c r="O305" s="706"/>
      <c r="P305" s="602"/>
      <c r="Q305" s="708">
        <f t="shared" si="49"/>
        <v>-8926.54</v>
      </c>
      <c r="R305" s="705"/>
      <c r="S305" s="701"/>
    </row>
    <row r="306" ht="14.25" customHeight="1">
      <c r="B306" s="690"/>
      <c r="C306" s="685" t="s">
        <v>117</v>
      </c>
      <c r="D306" s="685">
        <v>2.0</v>
      </c>
      <c r="E306" s="686">
        <v>4500.0</v>
      </c>
      <c r="F306" s="688"/>
      <c r="G306" s="689"/>
      <c r="H306" s="690"/>
      <c r="I306" s="689"/>
      <c r="J306" s="686">
        <v>1500.0</v>
      </c>
      <c r="K306" s="589">
        <f t="shared" si="48"/>
        <v>0</v>
      </c>
      <c r="L306" s="689"/>
      <c r="M306" s="689"/>
      <c r="N306" s="697">
        <v>3000.0</v>
      </c>
      <c r="O306" s="697">
        <v>-700.0</v>
      </c>
      <c r="P306" s="698"/>
      <c r="Q306" s="696">
        <f t="shared" si="49"/>
        <v>-6626.54</v>
      </c>
      <c r="R306" s="700"/>
      <c r="S306" s="701"/>
    </row>
    <row r="307" ht="14.25" customHeight="1">
      <c r="B307" s="690"/>
      <c r="C307" s="685" t="s">
        <v>30</v>
      </c>
      <c r="D307" s="685">
        <v>1.0</v>
      </c>
      <c r="E307" s="686">
        <v>2500.0</v>
      </c>
      <c r="F307" s="688"/>
      <c r="G307" s="689"/>
      <c r="H307" s="690"/>
      <c r="I307" s="689"/>
      <c r="J307" s="686">
        <v>1000.0</v>
      </c>
      <c r="K307" s="589">
        <f t="shared" si="48"/>
        <v>0</v>
      </c>
      <c r="L307" s="689"/>
      <c r="M307" s="686">
        <v>1500.0</v>
      </c>
      <c r="N307" s="722"/>
      <c r="O307" s="697">
        <v>-700.0</v>
      </c>
      <c r="P307" s="698"/>
      <c r="Q307" s="696">
        <f t="shared" si="49"/>
        <v>-7326.54</v>
      </c>
      <c r="R307" s="700"/>
      <c r="S307" s="701"/>
    </row>
    <row r="308" ht="14.25" customHeight="1">
      <c r="B308" s="702"/>
      <c r="C308" s="738" t="s">
        <v>102</v>
      </c>
      <c r="D308" s="705"/>
      <c r="E308" s="706"/>
      <c r="F308" s="706"/>
      <c r="G308" s="706"/>
      <c r="H308" s="702"/>
      <c r="I308" s="706"/>
      <c r="J308" s="706"/>
      <c r="K308" s="601">
        <f t="shared" si="48"/>
        <v>0</v>
      </c>
      <c r="L308" s="706"/>
      <c r="M308" s="706"/>
      <c r="N308" s="706"/>
      <c r="O308" s="706"/>
      <c r="P308" s="602"/>
      <c r="Q308" s="708">
        <f t="shared" si="49"/>
        <v>-7326.54</v>
      </c>
      <c r="R308" s="705"/>
      <c r="S308" s="701"/>
    </row>
    <row r="309" ht="14.25" customHeight="1">
      <c r="B309" s="690"/>
      <c r="C309" s="685" t="s">
        <v>120</v>
      </c>
      <c r="D309" s="685">
        <v>1.0</v>
      </c>
      <c r="E309" s="686">
        <v>3700.0</v>
      </c>
      <c r="F309" s="686">
        <v>900.0</v>
      </c>
      <c r="G309" s="689"/>
      <c r="H309" s="690"/>
      <c r="I309" s="689"/>
      <c r="J309" s="686">
        <v>2000.0</v>
      </c>
      <c r="K309" s="589">
        <f t="shared" si="48"/>
        <v>0</v>
      </c>
      <c r="L309" s="689"/>
      <c r="M309" s="693">
        <v>2600.0</v>
      </c>
      <c r="N309" s="697"/>
      <c r="O309" s="697">
        <v>-700.0</v>
      </c>
      <c r="P309" s="698"/>
      <c r="Q309" s="696">
        <f t="shared" si="49"/>
        <v>-8026.54</v>
      </c>
      <c r="R309" s="700"/>
      <c r="S309" s="701"/>
    </row>
    <row r="310" ht="14.25" customHeight="1">
      <c r="B310" s="702"/>
      <c r="C310" s="738" t="s">
        <v>35</v>
      </c>
      <c r="D310" s="705"/>
      <c r="E310" s="706">
        <v>1500.0</v>
      </c>
      <c r="F310" s="706"/>
      <c r="G310" s="706"/>
      <c r="H310" s="702" t="s">
        <v>81</v>
      </c>
      <c r="I310" s="706"/>
      <c r="J310" s="706">
        <v>1500.0</v>
      </c>
      <c r="K310" s="601">
        <f t="shared" si="48"/>
        <v>0</v>
      </c>
      <c r="L310" s="706"/>
      <c r="M310" s="706"/>
      <c r="N310" s="706"/>
      <c r="O310" s="706"/>
      <c r="P310" s="602"/>
      <c r="Q310" s="708">
        <f t="shared" si="49"/>
        <v>-8026.54</v>
      </c>
      <c r="R310" s="711" t="s">
        <v>81</v>
      </c>
      <c r="S310" s="701"/>
    </row>
    <row r="311" ht="14.25" customHeight="1">
      <c r="B311" s="690"/>
      <c r="C311" s="685" t="s">
        <v>37</v>
      </c>
      <c r="D311" s="685">
        <v>1.0</v>
      </c>
      <c r="E311" s="686">
        <v>2800.0</v>
      </c>
      <c r="F311" s="689"/>
      <c r="G311" s="689"/>
      <c r="H311" s="690"/>
      <c r="I311" s="689"/>
      <c r="J311" s="686">
        <v>1000.0</v>
      </c>
      <c r="K311" s="589">
        <f t="shared" si="48"/>
        <v>0</v>
      </c>
      <c r="L311" s="689"/>
      <c r="M311" s="688"/>
      <c r="N311" s="718">
        <v>1800.0</v>
      </c>
      <c r="O311" s="697">
        <v>-700.0</v>
      </c>
      <c r="P311" s="698"/>
      <c r="Q311" s="696">
        <f t="shared" si="49"/>
        <v>-6926.54</v>
      </c>
      <c r="R311" s="700"/>
      <c r="S311" s="701"/>
    </row>
    <row r="312" ht="14.25" customHeight="1">
      <c r="B312" s="690"/>
      <c r="C312" s="685" t="s">
        <v>41</v>
      </c>
      <c r="D312" s="685">
        <v>1.0</v>
      </c>
      <c r="E312" s="686">
        <v>1879.65</v>
      </c>
      <c r="F312" s="688"/>
      <c r="G312" s="689"/>
      <c r="H312" s="744" t="s">
        <v>53</v>
      </c>
      <c r="I312" s="689"/>
      <c r="J312" s="688"/>
      <c r="K312" s="589">
        <f t="shared" si="48"/>
        <v>0</v>
      </c>
      <c r="L312" s="693">
        <v>1879.65</v>
      </c>
      <c r="M312" s="688"/>
      <c r="N312" s="722"/>
      <c r="O312" s="696"/>
      <c r="P312" s="746"/>
      <c r="Q312" s="696">
        <f t="shared" si="49"/>
        <v>-6926.54</v>
      </c>
      <c r="R312" s="748"/>
      <c r="S312" s="701"/>
    </row>
    <row r="313" ht="14.25" customHeight="1">
      <c r="B313" s="690"/>
      <c r="C313" s="685" t="s">
        <v>44</v>
      </c>
      <c r="D313" s="685">
        <v>1.0</v>
      </c>
      <c r="E313" s="686">
        <v>2000.0</v>
      </c>
      <c r="F313" s="688"/>
      <c r="G313" s="689"/>
      <c r="H313" s="690"/>
      <c r="I313" s="688"/>
      <c r="J313" s="693">
        <v>1000.0</v>
      </c>
      <c r="K313" s="589">
        <f t="shared" si="48"/>
        <v>0</v>
      </c>
      <c r="L313" s="689"/>
      <c r="M313" s="689"/>
      <c r="N313" s="697">
        <v>1000.0</v>
      </c>
      <c r="O313" s="697">
        <v>-700.0</v>
      </c>
      <c r="P313" s="698"/>
      <c r="Q313" s="696">
        <f t="shared" si="49"/>
        <v>-6626.54</v>
      </c>
      <c r="R313" s="700"/>
      <c r="S313" s="701"/>
    </row>
    <row r="314" ht="14.25" customHeight="1">
      <c r="B314" s="690"/>
      <c r="C314" s="685" t="s">
        <v>45</v>
      </c>
      <c r="D314" s="685">
        <v>1.0</v>
      </c>
      <c r="E314" s="686">
        <v>2300.0</v>
      </c>
      <c r="F314" s="686">
        <v>350.0</v>
      </c>
      <c r="G314" s="689"/>
      <c r="H314" s="690"/>
      <c r="I314" s="688"/>
      <c r="J314" s="693">
        <v>1225.0</v>
      </c>
      <c r="K314" s="589">
        <f t="shared" si="48"/>
        <v>0</v>
      </c>
      <c r="L314" s="689"/>
      <c r="M314" s="693">
        <v>1425.0</v>
      </c>
      <c r="N314" s="696"/>
      <c r="O314" s="697">
        <v>-700.0</v>
      </c>
      <c r="P314" s="698"/>
      <c r="Q314" s="696">
        <f t="shared" si="49"/>
        <v>-7326.54</v>
      </c>
      <c r="R314" s="700"/>
      <c r="S314" s="701"/>
    </row>
    <row r="315" ht="14.25" customHeight="1">
      <c r="B315" s="702"/>
      <c r="C315" s="738" t="s">
        <v>47</v>
      </c>
      <c r="D315" s="705"/>
      <c r="E315" s="706"/>
      <c r="F315" s="706"/>
      <c r="G315" s="706"/>
      <c r="H315" s="702"/>
      <c r="I315" s="706"/>
      <c r="J315" s="706"/>
      <c r="K315" s="601">
        <f t="shared" si="48"/>
        <v>0</v>
      </c>
      <c r="L315" s="706"/>
      <c r="M315" s="706"/>
      <c r="N315" s="706"/>
      <c r="O315" s="706"/>
      <c r="P315" s="602"/>
      <c r="Q315" s="708">
        <f t="shared" si="49"/>
        <v>-7326.54</v>
      </c>
      <c r="R315" s="705"/>
      <c r="S315" s="701"/>
    </row>
    <row r="316" ht="14.25" customHeight="1">
      <c r="B316" s="690"/>
      <c r="C316" s="685" t="s">
        <v>72</v>
      </c>
      <c r="D316" s="685">
        <v>1.0</v>
      </c>
      <c r="E316" s="686">
        <v>2000.0</v>
      </c>
      <c r="F316" s="693">
        <v>350.0</v>
      </c>
      <c r="G316" s="689"/>
      <c r="H316" s="690"/>
      <c r="I316" s="689"/>
      <c r="J316" s="686">
        <v>1000.0</v>
      </c>
      <c r="K316" s="589">
        <f t="shared" si="48"/>
        <v>0</v>
      </c>
      <c r="L316" s="689"/>
      <c r="M316" s="689"/>
      <c r="N316" s="697">
        <v>1350.0</v>
      </c>
      <c r="O316" s="697">
        <v>-700.0</v>
      </c>
      <c r="P316" s="698"/>
      <c r="Q316" s="696">
        <f t="shared" si="49"/>
        <v>-6676.54</v>
      </c>
      <c r="R316" s="700"/>
      <c r="S316" s="701"/>
    </row>
    <row r="317" ht="14.25" customHeight="1">
      <c r="B317" s="690"/>
      <c r="C317" s="685" t="s">
        <v>73</v>
      </c>
      <c r="D317" s="685">
        <v>1.0</v>
      </c>
      <c r="E317" s="686">
        <v>2500.0</v>
      </c>
      <c r="F317" s="689"/>
      <c r="G317" s="689"/>
      <c r="H317" s="690"/>
      <c r="I317" s="689"/>
      <c r="J317" s="686">
        <v>1000.0</v>
      </c>
      <c r="K317" s="589">
        <f t="shared" si="48"/>
        <v>0</v>
      </c>
      <c r="L317" s="689"/>
      <c r="M317" s="693">
        <v>1500.0</v>
      </c>
      <c r="N317" s="696"/>
      <c r="O317" s="697">
        <v>-700.0</v>
      </c>
      <c r="P317" s="698"/>
      <c r="Q317" s="696">
        <f t="shared" si="49"/>
        <v>-7376.54</v>
      </c>
      <c r="R317" s="700"/>
      <c r="S317" s="701"/>
    </row>
    <row r="318" ht="14.25" customHeight="1">
      <c r="B318" s="690"/>
      <c r="C318" s="685" t="s">
        <v>49</v>
      </c>
      <c r="D318" s="685">
        <v>1.0</v>
      </c>
      <c r="E318" s="686">
        <v>3300.0</v>
      </c>
      <c r="F318" s="689"/>
      <c r="G318" s="689"/>
      <c r="H318" s="690"/>
      <c r="I318" s="689"/>
      <c r="J318" s="686">
        <v>1300.0</v>
      </c>
      <c r="K318" s="589">
        <f t="shared" si="48"/>
        <v>0</v>
      </c>
      <c r="L318" s="689"/>
      <c r="M318" s="693">
        <v>2000.0</v>
      </c>
      <c r="N318" s="696"/>
      <c r="O318" s="697">
        <v>-700.0</v>
      </c>
      <c r="P318" s="698"/>
      <c r="Q318" s="696">
        <f t="shared" si="49"/>
        <v>-8076.54</v>
      </c>
      <c r="R318" s="700"/>
      <c r="S318" s="701"/>
    </row>
    <row r="319" ht="14.25" customHeight="1">
      <c r="B319" s="690"/>
      <c r="C319" s="685" t="s">
        <v>75</v>
      </c>
      <c r="D319" s="685">
        <v>1.0</v>
      </c>
      <c r="E319" s="686">
        <v>2459.49</v>
      </c>
      <c r="F319" s="689"/>
      <c r="G319" s="689"/>
      <c r="H319" s="744" t="s">
        <v>42</v>
      </c>
      <c r="I319" s="689"/>
      <c r="J319" s="688"/>
      <c r="K319" s="589">
        <f t="shared" si="48"/>
        <v>0</v>
      </c>
      <c r="L319" s="693">
        <v>2459.49</v>
      </c>
      <c r="M319" s="689"/>
      <c r="N319" s="696"/>
      <c r="O319" s="697">
        <v>-700.0</v>
      </c>
      <c r="P319" s="752">
        <v>-189.0</v>
      </c>
      <c r="Q319" s="696">
        <f t="shared" si="49"/>
        <v>-8965.54</v>
      </c>
      <c r="R319" s="748" t="s">
        <v>361</v>
      </c>
      <c r="S319" s="701"/>
    </row>
    <row r="320" ht="14.25" customHeight="1">
      <c r="B320" s="690"/>
      <c r="C320" s="753"/>
      <c r="D320" s="753"/>
      <c r="E320" s="689"/>
      <c r="F320" s="689"/>
      <c r="G320" s="689"/>
      <c r="H320" s="690"/>
      <c r="I320" s="689"/>
      <c r="J320" s="689"/>
      <c r="K320" s="589">
        <f t="shared" si="48"/>
        <v>0</v>
      </c>
      <c r="L320" s="689"/>
      <c r="M320" s="689"/>
      <c r="N320" s="722"/>
      <c r="O320" s="722"/>
      <c r="P320" s="752">
        <v>-2365.41</v>
      </c>
      <c r="Q320" s="696">
        <f t="shared" si="49"/>
        <v>-11330.95</v>
      </c>
      <c r="R320" s="748" t="s">
        <v>55</v>
      </c>
      <c r="S320" s="701"/>
    </row>
    <row r="321" ht="14.25" customHeight="1">
      <c r="B321" s="690"/>
      <c r="C321" s="753"/>
      <c r="D321" s="753"/>
      <c r="E321" s="689"/>
      <c r="F321" s="689"/>
      <c r="G321" s="689"/>
      <c r="H321" s="690"/>
      <c r="I321" s="689"/>
      <c r="J321" s="689"/>
      <c r="K321" s="589">
        <f t="shared" si="48"/>
        <v>0</v>
      </c>
      <c r="L321" s="689"/>
      <c r="M321" s="689"/>
      <c r="N321" s="722"/>
      <c r="O321" s="722"/>
      <c r="P321" s="752">
        <v>-500.0</v>
      </c>
      <c r="Q321" s="696">
        <f t="shared" si="49"/>
        <v>-11830.95</v>
      </c>
      <c r="R321" s="748" t="s">
        <v>187</v>
      </c>
      <c r="S321" s="701"/>
    </row>
    <row r="322" ht="14.25" customHeight="1">
      <c r="B322" s="754" t="s">
        <v>214</v>
      </c>
      <c r="C322" s="755" t="s">
        <v>80</v>
      </c>
      <c r="D322" s="755">
        <f>sum(D300:D321)</f>
        <v>15</v>
      </c>
      <c r="E322" s="756">
        <f t="shared" ref="E322:O322" si="50">SUM(E299:E321)</f>
        <v>44489.14</v>
      </c>
      <c r="F322" s="756">
        <f t="shared" si="50"/>
        <v>1600</v>
      </c>
      <c r="G322" s="756">
        <f t="shared" si="50"/>
        <v>0</v>
      </c>
      <c r="H322" s="756">
        <f t="shared" si="50"/>
        <v>0</v>
      </c>
      <c r="I322" s="756">
        <f t="shared" si="50"/>
        <v>0</v>
      </c>
      <c r="J322" s="756">
        <f t="shared" si="50"/>
        <v>18525</v>
      </c>
      <c r="K322" s="757">
        <f t="shared" si="50"/>
        <v>0</v>
      </c>
      <c r="L322" s="756">
        <f t="shared" si="50"/>
        <v>4339.14</v>
      </c>
      <c r="M322" s="756">
        <f t="shared" si="50"/>
        <v>12975</v>
      </c>
      <c r="N322" s="756">
        <f t="shared" si="50"/>
        <v>10250</v>
      </c>
      <c r="O322" s="756">
        <f t="shared" si="50"/>
        <v>-9100</v>
      </c>
      <c r="P322" s="756">
        <f>SUM(P300:P321)</f>
        <v>-3054.41</v>
      </c>
      <c r="Q322" s="758">
        <f>Q321</f>
        <v>-11830.95</v>
      </c>
      <c r="R322" s="759"/>
      <c r="S322" s="701"/>
    </row>
    <row r="323" ht="14.25" customHeight="1">
      <c r="B323" s="702" t="s">
        <v>40</v>
      </c>
      <c r="C323" s="704">
        <v>46026.0</v>
      </c>
      <c r="D323" s="705"/>
      <c r="E323" s="706"/>
      <c r="F323" s="706"/>
      <c r="G323" s="706"/>
      <c r="H323" s="702"/>
      <c r="I323" s="706"/>
      <c r="J323" s="706"/>
      <c r="K323" s="601">
        <f t="shared" ref="K323:K328" si="51">E323-J323-L323-M323-N323-I323+F323+G323</f>
        <v>0</v>
      </c>
      <c r="L323" s="706"/>
      <c r="M323" s="706"/>
      <c r="N323" s="706"/>
      <c r="O323" s="706"/>
      <c r="P323" s="602"/>
      <c r="Q323" s="708">
        <f t="shared" ref="Q323:Q347" si="52">Q322+N323+O323+P323</f>
        <v>-11830.95</v>
      </c>
      <c r="R323" s="705"/>
      <c r="S323" s="701"/>
    </row>
    <row r="324" ht="14.25" customHeight="1">
      <c r="B324" s="650"/>
      <c r="C324" s="236">
        <v>46117.0</v>
      </c>
      <c r="D324" s="243">
        <v>1.0</v>
      </c>
      <c r="E324" s="647">
        <v>2000.0</v>
      </c>
      <c r="F324" s="647"/>
      <c r="G324" s="647"/>
      <c r="H324" s="650"/>
      <c r="I324" s="651"/>
      <c r="J324" s="647">
        <v>500.0</v>
      </c>
      <c r="K324" s="543">
        <f t="shared" si="51"/>
        <v>0</v>
      </c>
      <c r="L324" s="647"/>
      <c r="M324" s="647"/>
      <c r="N324" s="615">
        <v>1500.0</v>
      </c>
      <c r="O324" s="615">
        <v>-700.0</v>
      </c>
      <c r="P324" s="652"/>
      <c r="Q324" s="632">
        <f t="shared" si="52"/>
        <v>-11030.95</v>
      </c>
      <c r="R324" s="633"/>
      <c r="S324" s="701"/>
    </row>
    <row r="325" ht="14.25" customHeight="1">
      <c r="B325" s="650"/>
      <c r="C325" s="236">
        <v>46148.0</v>
      </c>
      <c r="D325" s="243">
        <v>1.0</v>
      </c>
      <c r="E325" s="647">
        <v>2500.0</v>
      </c>
      <c r="F325" s="647"/>
      <c r="G325" s="647"/>
      <c r="H325" s="650"/>
      <c r="I325" s="651"/>
      <c r="J325" s="647">
        <v>1000.0</v>
      </c>
      <c r="K325" s="543">
        <f t="shared" si="51"/>
        <v>0</v>
      </c>
      <c r="L325" s="647"/>
      <c r="M325" s="647">
        <v>1500.0</v>
      </c>
      <c r="N325" s="615"/>
      <c r="O325" s="615">
        <v>-700.0</v>
      </c>
      <c r="P325" s="652"/>
      <c r="Q325" s="632">
        <f t="shared" si="52"/>
        <v>-11730.95</v>
      </c>
      <c r="R325" s="633"/>
      <c r="S325" s="701"/>
    </row>
    <row r="326" ht="14.25" customHeight="1">
      <c r="B326" s="650"/>
      <c r="C326" s="236">
        <v>46181.0</v>
      </c>
      <c r="D326" s="243">
        <v>2.0</v>
      </c>
      <c r="E326" s="647">
        <v>5200.0</v>
      </c>
      <c r="F326" s="647"/>
      <c r="G326" s="651"/>
      <c r="H326" s="650"/>
      <c r="I326" s="651"/>
      <c r="J326" s="647">
        <v>1500.0</v>
      </c>
      <c r="K326" s="543">
        <f t="shared" si="51"/>
        <v>0</v>
      </c>
      <c r="L326" s="647"/>
      <c r="M326" s="647"/>
      <c r="N326" s="615">
        <v>3700.0</v>
      </c>
      <c r="O326" s="615">
        <v>-700.0</v>
      </c>
      <c r="P326" s="631"/>
      <c r="Q326" s="632">
        <f t="shared" si="52"/>
        <v>-8730.95</v>
      </c>
      <c r="R326" s="633"/>
      <c r="S326" s="701"/>
    </row>
    <row r="327" ht="14.25" customHeight="1">
      <c r="B327" s="650"/>
      <c r="C327" s="236">
        <v>46243.0</v>
      </c>
      <c r="D327" s="243">
        <v>1.0</v>
      </c>
      <c r="E327" s="647">
        <f>2800+200</f>
        <v>3000</v>
      </c>
      <c r="F327" s="647"/>
      <c r="G327" s="651"/>
      <c r="H327" s="650" t="s">
        <v>364</v>
      </c>
      <c r="I327" s="651"/>
      <c r="J327" s="647">
        <v>1000.0</v>
      </c>
      <c r="K327" s="543">
        <f t="shared" si="51"/>
        <v>0</v>
      </c>
      <c r="L327" s="647"/>
      <c r="M327" s="647">
        <v>2000.0</v>
      </c>
      <c r="N327" s="615"/>
      <c r="O327" s="615">
        <v>-700.0</v>
      </c>
      <c r="P327" s="631"/>
      <c r="Q327" s="632">
        <f t="shared" si="52"/>
        <v>-9430.95</v>
      </c>
      <c r="R327" s="633"/>
      <c r="S327" s="701"/>
    </row>
    <row r="328" ht="14.25" customHeight="1">
      <c r="B328" s="653"/>
      <c r="C328" s="239">
        <v>46276.0</v>
      </c>
      <c r="D328" s="296"/>
      <c r="E328" s="323">
        <v>1000.0</v>
      </c>
      <c r="F328" s="410"/>
      <c r="G328" s="410"/>
      <c r="H328" s="653" t="s">
        <v>365</v>
      </c>
      <c r="I328" s="410"/>
      <c r="J328" s="323">
        <v>1000.0</v>
      </c>
      <c r="K328" s="554">
        <f t="shared" si="51"/>
        <v>0</v>
      </c>
      <c r="L328" s="323"/>
      <c r="M328" s="323"/>
      <c r="N328" s="323"/>
      <c r="O328" s="323"/>
      <c r="P328" s="654"/>
      <c r="Q328" s="410">
        <f t="shared" si="52"/>
        <v>-9430.95</v>
      </c>
      <c r="R328" s="653"/>
      <c r="S328" s="701"/>
    </row>
    <row r="329" ht="14.25" customHeight="1">
      <c r="B329" s="650"/>
      <c r="C329" s="236">
        <v>46338.0</v>
      </c>
      <c r="D329" s="243">
        <v>1.0</v>
      </c>
      <c r="E329" s="647">
        <v>2000.0</v>
      </c>
      <c r="F329" s="647">
        <v>2450.0</v>
      </c>
      <c r="G329" s="651"/>
      <c r="H329" s="650"/>
      <c r="I329" s="651"/>
      <c r="J329" s="647"/>
      <c r="K329" s="543"/>
      <c r="L329" s="647"/>
      <c r="M329" s="647"/>
      <c r="N329" s="615">
        <v>2450.0</v>
      </c>
      <c r="O329" s="615">
        <v>-700.0</v>
      </c>
      <c r="P329" s="631"/>
      <c r="Q329" s="632">
        <f t="shared" si="52"/>
        <v>-7680.95</v>
      </c>
      <c r="R329" s="633"/>
      <c r="S329" s="701"/>
    </row>
    <row r="330" ht="14.25" customHeight="1">
      <c r="B330" s="653"/>
      <c r="C330" s="239">
        <v>46369.0</v>
      </c>
      <c r="D330" s="296"/>
      <c r="E330" s="323"/>
      <c r="F330" s="410"/>
      <c r="G330" s="410"/>
      <c r="H330" s="653"/>
      <c r="I330" s="410"/>
      <c r="J330" s="323"/>
      <c r="K330" s="554"/>
      <c r="L330" s="323"/>
      <c r="M330" s="323"/>
      <c r="N330" s="323"/>
      <c r="O330" s="323"/>
      <c r="P330" s="654"/>
      <c r="Q330" s="410">
        <f t="shared" si="52"/>
        <v>-7680.95</v>
      </c>
      <c r="R330" s="653"/>
      <c r="S330" s="701"/>
    </row>
    <row r="331" ht="14.25" customHeight="1">
      <c r="B331" s="650"/>
      <c r="C331" s="243" t="s">
        <v>46</v>
      </c>
      <c r="D331" s="243">
        <v>1.0</v>
      </c>
      <c r="E331" s="647">
        <v>3200.0</v>
      </c>
      <c r="F331" s="647"/>
      <c r="G331" s="651"/>
      <c r="H331" s="650"/>
      <c r="I331" s="651"/>
      <c r="J331" s="647">
        <v>1000.0</v>
      </c>
      <c r="K331" s="543">
        <f t="shared" ref="K331:K334" si="53">E331-J331-L331-M331-N331-I331+F331+G331</f>
        <v>0</v>
      </c>
      <c r="L331" s="647"/>
      <c r="M331" s="647"/>
      <c r="N331" s="615">
        <v>2200.0</v>
      </c>
      <c r="O331" s="615">
        <v>-700.0</v>
      </c>
      <c r="P331" s="631"/>
      <c r="Q331" s="632">
        <f t="shared" si="52"/>
        <v>-6180.95</v>
      </c>
      <c r="R331" s="633"/>
      <c r="S331" s="701"/>
    </row>
    <row r="332" ht="14.25" customHeight="1">
      <c r="B332" s="650"/>
      <c r="C332" s="243" t="s">
        <v>29</v>
      </c>
      <c r="D332" s="243">
        <v>1.0</v>
      </c>
      <c r="E332" s="647">
        <v>2500.0</v>
      </c>
      <c r="F332" s="647">
        <v>450.0</v>
      </c>
      <c r="G332" s="651"/>
      <c r="H332" s="650" t="s">
        <v>368</v>
      </c>
      <c r="I332" s="651"/>
      <c r="J332" s="647">
        <v>1000.0</v>
      </c>
      <c r="K332" s="543">
        <f t="shared" si="53"/>
        <v>0</v>
      </c>
      <c r="L332" s="647"/>
      <c r="M332" s="647">
        <v>1950.0</v>
      </c>
      <c r="N332" s="615"/>
      <c r="O332" s="615">
        <v>-700.0</v>
      </c>
      <c r="P332" s="631"/>
      <c r="Q332" s="632">
        <f t="shared" si="52"/>
        <v>-6880.95</v>
      </c>
      <c r="R332" s="633"/>
      <c r="S332" s="701"/>
    </row>
    <row r="333" ht="14.25" customHeight="1">
      <c r="B333" s="650"/>
      <c r="C333" s="243" t="s">
        <v>30</v>
      </c>
      <c r="D333" s="243">
        <v>1.0</v>
      </c>
      <c r="E333" s="647">
        <f>2300+500</f>
        <v>2800</v>
      </c>
      <c r="F333" s="647"/>
      <c r="G333" s="651"/>
      <c r="H333" s="650" t="s">
        <v>369</v>
      </c>
      <c r="I333" s="651"/>
      <c r="J333" s="647">
        <v>1000.0</v>
      </c>
      <c r="K333" s="543">
        <f t="shared" si="53"/>
        <v>0</v>
      </c>
      <c r="L333" s="647"/>
      <c r="M333" s="647">
        <v>1800.0</v>
      </c>
      <c r="N333" s="615"/>
      <c r="O333" s="615">
        <v>-700.0</v>
      </c>
      <c r="P333" s="631"/>
      <c r="Q333" s="632">
        <f t="shared" si="52"/>
        <v>-7580.95</v>
      </c>
      <c r="R333" s="633"/>
      <c r="S333" s="701"/>
    </row>
    <row r="334" ht="14.25" customHeight="1">
      <c r="B334" s="653"/>
      <c r="C334" s="296" t="s">
        <v>247</v>
      </c>
      <c r="D334" s="296"/>
      <c r="E334" s="323"/>
      <c r="F334" s="410"/>
      <c r="G334" s="410"/>
      <c r="H334" s="653"/>
      <c r="I334" s="410"/>
      <c r="J334" s="323"/>
      <c r="K334" s="554">
        <f t="shared" si="53"/>
        <v>0</v>
      </c>
      <c r="L334" s="323"/>
      <c r="M334" s="323"/>
      <c r="N334" s="323"/>
      <c r="O334" s="323"/>
      <c r="P334" s="658"/>
      <c r="Q334" s="410">
        <f t="shared" si="52"/>
        <v>-7580.95</v>
      </c>
      <c r="R334" s="653"/>
      <c r="S334" s="701"/>
    </row>
    <row r="335" ht="14.25" customHeight="1">
      <c r="B335" s="650"/>
      <c r="C335" s="243" t="s">
        <v>56</v>
      </c>
      <c r="D335" s="243">
        <v>2.0</v>
      </c>
      <c r="E335" s="647">
        <v>4500.0</v>
      </c>
      <c r="F335" s="647"/>
      <c r="G335" s="651"/>
      <c r="H335" s="650"/>
      <c r="I335" s="651"/>
      <c r="J335" s="647">
        <v>1500.0</v>
      </c>
      <c r="K335" s="543"/>
      <c r="L335" s="647"/>
      <c r="M335" s="647"/>
      <c r="N335" s="615"/>
      <c r="O335" s="615">
        <v>-700.0</v>
      </c>
      <c r="P335" s="631"/>
      <c r="Q335" s="632">
        <f t="shared" si="52"/>
        <v>-8280.95</v>
      </c>
      <c r="R335" s="633"/>
      <c r="S335" s="701"/>
    </row>
    <row r="336" ht="14.25" customHeight="1">
      <c r="B336" s="650"/>
      <c r="C336" s="243" t="s">
        <v>34</v>
      </c>
      <c r="D336" s="243">
        <v>1.0</v>
      </c>
      <c r="E336" s="647">
        <v>2500.0</v>
      </c>
      <c r="F336" s="647">
        <v>350.0</v>
      </c>
      <c r="G336" s="651"/>
      <c r="H336" s="650"/>
      <c r="I336" s="651"/>
      <c r="J336" s="647">
        <v>1000.0</v>
      </c>
      <c r="K336" s="543">
        <f t="shared" ref="K336:K347" si="54">E336-J336-L336-M336-N336-I336+F336+G336</f>
        <v>0</v>
      </c>
      <c r="L336" s="647"/>
      <c r="M336" s="647"/>
      <c r="N336" s="615">
        <v>1850.0</v>
      </c>
      <c r="O336" s="615">
        <v>-700.0</v>
      </c>
      <c r="P336" s="631"/>
      <c r="Q336" s="632">
        <f t="shared" si="52"/>
        <v>-7130.95</v>
      </c>
      <c r="R336" s="633"/>
      <c r="S336" s="701"/>
    </row>
    <row r="337" ht="14.25" customHeight="1">
      <c r="B337" s="650"/>
      <c r="C337" s="243" t="s">
        <v>69</v>
      </c>
      <c r="D337" s="243">
        <v>1.0</v>
      </c>
      <c r="E337" s="647">
        <v>3000.0</v>
      </c>
      <c r="F337" s="647">
        <v>350.0</v>
      </c>
      <c r="G337" s="651"/>
      <c r="H337" s="650" t="s">
        <v>370</v>
      </c>
      <c r="I337" s="651"/>
      <c r="J337" s="647">
        <v>1175.0</v>
      </c>
      <c r="K337" s="543">
        <f t="shared" si="54"/>
        <v>0</v>
      </c>
      <c r="L337" s="647"/>
      <c r="M337" s="647">
        <v>2175.0</v>
      </c>
      <c r="N337" s="615"/>
      <c r="O337" s="615">
        <v>-700.0</v>
      </c>
      <c r="P337" s="652"/>
      <c r="Q337" s="632">
        <f t="shared" si="52"/>
        <v>-7830.95</v>
      </c>
      <c r="R337" s="633"/>
      <c r="S337" s="701"/>
    </row>
    <row r="338" ht="14.25" customHeight="1">
      <c r="B338" s="650"/>
      <c r="C338" s="243" t="s">
        <v>68</v>
      </c>
      <c r="D338" s="243">
        <v>1.0</v>
      </c>
      <c r="E338" s="647">
        <v>2700.0</v>
      </c>
      <c r="F338" s="647"/>
      <c r="G338" s="651"/>
      <c r="H338" s="650"/>
      <c r="I338" s="651"/>
      <c r="J338" s="647">
        <v>1000.0</v>
      </c>
      <c r="K338" s="543">
        <f t="shared" si="54"/>
        <v>0</v>
      </c>
      <c r="L338" s="647"/>
      <c r="M338" s="647"/>
      <c r="N338" s="615">
        <v>1700.0</v>
      </c>
      <c r="O338" s="615">
        <v>-700.0</v>
      </c>
      <c r="P338" s="607">
        <v>400.0</v>
      </c>
      <c r="Q338" s="632">
        <f t="shared" si="52"/>
        <v>-6430.95</v>
      </c>
      <c r="R338" s="633" t="s">
        <v>43</v>
      </c>
      <c r="S338" s="701"/>
    </row>
    <row r="339" ht="14.25" customHeight="1">
      <c r="B339" s="650"/>
      <c r="C339" s="243" t="s">
        <v>70</v>
      </c>
      <c r="D339" s="243">
        <v>2.0</v>
      </c>
      <c r="E339" s="647">
        <v>5500.0</v>
      </c>
      <c r="F339" s="647">
        <v>900.0</v>
      </c>
      <c r="G339" s="651"/>
      <c r="H339" s="650" t="s">
        <v>371</v>
      </c>
      <c r="I339" s="647">
        <v>1900.0</v>
      </c>
      <c r="J339" s="647"/>
      <c r="K339" s="543">
        <f t="shared" si="54"/>
        <v>0</v>
      </c>
      <c r="L339" s="647"/>
      <c r="M339" s="647">
        <v>4500.0</v>
      </c>
      <c r="N339" s="615"/>
      <c r="O339" s="615">
        <v>-700.0</v>
      </c>
      <c r="P339" s="631"/>
      <c r="Q339" s="632">
        <f t="shared" si="52"/>
        <v>-7130.95</v>
      </c>
      <c r="R339" s="633"/>
      <c r="S339" s="701"/>
    </row>
    <row r="340" ht="14.25" customHeight="1">
      <c r="B340" s="650"/>
      <c r="C340" s="243" t="s">
        <v>71</v>
      </c>
      <c r="D340" s="243">
        <v>2.0</v>
      </c>
      <c r="E340" s="647">
        <v>6700.0</v>
      </c>
      <c r="F340" s="647"/>
      <c r="G340" s="651"/>
      <c r="H340" s="650"/>
      <c r="I340" s="647"/>
      <c r="J340" s="647">
        <v>1000.0</v>
      </c>
      <c r="K340" s="543">
        <f t="shared" si="54"/>
        <v>0</v>
      </c>
      <c r="L340" s="647"/>
      <c r="M340" s="647"/>
      <c r="N340" s="615">
        <v>5700.0</v>
      </c>
      <c r="O340" s="615">
        <v>-700.0</v>
      </c>
      <c r="P340" s="631"/>
      <c r="Q340" s="632">
        <f t="shared" si="52"/>
        <v>-2130.95</v>
      </c>
      <c r="R340" s="633"/>
      <c r="S340" s="701"/>
    </row>
    <row r="341" ht="14.25" customHeight="1">
      <c r="B341" s="659"/>
      <c r="C341" s="243" t="s">
        <v>47</v>
      </c>
      <c r="D341" s="243">
        <v>1.0</v>
      </c>
      <c r="E341" s="647">
        <v>2700.0</v>
      </c>
      <c r="F341" s="651"/>
      <c r="G341" s="651"/>
      <c r="H341" s="659"/>
      <c r="I341" s="651"/>
      <c r="J341" s="647">
        <v>1500.0</v>
      </c>
      <c r="K341" s="543">
        <f t="shared" si="54"/>
        <v>0</v>
      </c>
      <c r="L341" s="651"/>
      <c r="M341" s="647">
        <v>1200.0</v>
      </c>
      <c r="N341" s="615"/>
      <c r="O341" s="615">
        <v>-700.0</v>
      </c>
      <c r="P341" s="652"/>
      <c r="Q341" s="632">
        <f t="shared" si="52"/>
        <v>-2830.95</v>
      </c>
      <c r="R341" s="633"/>
      <c r="S341" s="701"/>
    </row>
    <row r="342" ht="14.25" customHeight="1">
      <c r="B342" s="659"/>
      <c r="C342" s="243" t="s">
        <v>72</v>
      </c>
      <c r="D342" s="243">
        <v>1.0</v>
      </c>
      <c r="E342" s="647">
        <v>3000.0</v>
      </c>
      <c r="F342" s="651"/>
      <c r="G342" s="651"/>
      <c r="H342" s="650"/>
      <c r="I342" s="651"/>
      <c r="J342" s="647">
        <v>1000.0</v>
      </c>
      <c r="K342" s="543">
        <f t="shared" si="54"/>
        <v>0</v>
      </c>
      <c r="L342" s="651"/>
      <c r="M342" s="651"/>
      <c r="N342" s="615">
        <v>2000.0</v>
      </c>
      <c r="O342" s="615">
        <v>-700.0</v>
      </c>
      <c r="P342" s="652"/>
      <c r="Q342" s="632">
        <f t="shared" si="52"/>
        <v>-1530.95</v>
      </c>
      <c r="R342" s="633"/>
      <c r="S342" s="701"/>
    </row>
    <row r="343" ht="14.25" customHeight="1">
      <c r="B343" s="659"/>
      <c r="C343" s="243" t="s">
        <v>73</v>
      </c>
      <c r="D343" s="243">
        <v>1.0</v>
      </c>
      <c r="E343" s="647">
        <v>2416.0</v>
      </c>
      <c r="F343" s="651"/>
      <c r="G343" s="651"/>
      <c r="H343" s="650" t="s">
        <v>53</v>
      </c>
      <c r="I343" s="651"/>
      <c r="J343" s="647"/>
      <c r="K343" s="543">
        <f t="shared" si="54"/>
        <v>0</v>
      </c>
      <c r="L343" s="647">
        <v>2416.0</v>
      </c>
      <c r="M343" s="651"/>
      <c r="N343" s="615"/>
      <c r="O343" s="615">
        <v>-700.0</v>
      </c>
      <c r="P343" s="652"/>
      <c r="Q343" s="632">
        <f t="shared" si="52"/>
        <v>-2230.95</v>
      </c>
      <c r="R343" s="633"/>
      <c r="S343" s="701"/>
    </row>
    <row r="344" ht="14.25" customHeight="1">
      <c r="B344" s="659"/>
      <c r="C344" s="243" t="s">
        <v>49</v>
      </c>
      <c r="D344" s="243">
        <v>1.0</v>
      </c>
      <c r="E344" s="647">
        <v>2500.0</v>
      </c>
      <c r="F344" s="651"/>
      <c r="G344" s="651"/>
      <c r="H344" s="650" t="s">
        <v>372</v>
      </c>
      <c r="I344" s="651"/>
      <c r="J344" s="647">
        <v>1000.0</v>
      </c>
      <c r="K344" s="543">
        <f t="shared" si="54"/>
        <v>0</v>
      </c>
      <c r="L344" s="651"/>
      <c r="M344" s="647">
        <v>1500.0</v>
      </c>
      <c r="N344" s="615"/>
      <c r="O344" s="615">
        <v>-700.0</v>
      </c>
      <c r="P344" s="652">
        <v>-1500.0</v>
      </c>
      <c r="Q344" s="632">
        <f t="shared" si="52"/>
        <v>-4430.95</v>
      </c>
      <c r="R344" s="633" t="s">
        <v>316</v>
      </c>
      <c r="S344" s="701"/>
    </row>
    <row r="345" ht="14.25" customHeight="1">
      <c r="B345" s="659"/>
      <c r="C345" s="243" t="s">
        <v>75</v>
      </c>
      <c r="D345" s="243">
        <v>2.0</v>
      </c>
      <c r="E345" s="647">
        <v>6861.44</v>
      </c>
      <c r="F345" s="651"/>
      <c r="G345" s="651"/>
      <c r="H345" s="650" t="s">
        <v>53</v>
      </c>
      <c r="I345" s="651"/>
      <c r="J345" s="647"/>
      <c r="K345" s="543">
        <f t="shared" si="54"/>
        <v>0</v>
      </c>
      <c r="L345" s="647">
        <v>6861.44</v>
      </c>
      <c r="M345" s="651"/>
      <c r="N345" s="615"/>
      <c r="O345" s="615">
        <v>-700.0</v>
      </c>
      <c r="P345" s="652">
        <v>-500.0</v>
      </c>
      <c r="Q345" s="632">
        <f t="shared" si="52"/>
        <v>-5630.95</v>
      </c>
      <c r="R345" s="633" t="s">
        <v>76</v>
      </c>
      <c r="S345" s="701"/>
    </row>
    <row r="346" ht="14.25" customHeight="1">
      <c r="B346" s="659"/>
      <c r="C346" s="110"/>
      <c r="D346" s="110"/>
      <c r="E346" s="647">
        <v>1500.0</v>
      </c>
      <c r="F346" s="651"/>
      <c r="G346" s="651"/>
      <c r="H346" s="650" t="s">
        <v>373</v>
      </c>
      <c r="I346" s="651"/>
      <c r="J346" s="647">
        <v>1500.0</v>
      </c>
      <c r="K346" s="543">
        <f t="shared" si="54"/>
        <v>0</v>
      </c>
      <c r="L346" s="651"/>
      <c r="M346" s="651"/>
      <c r="N346" s="632"/>
      <c r="O346" s="632"/>
      <c r="P346" s="652">
        <v>-1873.26</v>
      </c>
      <c r="Q346" s="632">
        <f t="shared" si="52"/>
        <v>-7504.21</v>
      </c>
      <c r="R346" s="633" t="s">
        <v>55</v>
      </c>
      <c r="S346" s="701"/>
    </row>
    <row r="347" ht="14.25" customHeight="1">
      <c r="B347" s="659"/>
      <c r="C347" s="110"/>
      <c r="D347" s="110"/>
      <c r="E347" s="651"/>
      <c r="F347" s="651"/>
      <c r="G347" s="651"/>
      <c r="H347" s="659"/>
      <c r="I347" s="651"/>
      <c r="J347" s="651"/>
      <c r="K347" s="543">
        <f t="shared" si="54"/>
        <v>0</v>
      </c>
      <c r="L347" s="651"/>
      <c r="M347" s="651"/>
      <c r="N347" s="632"/>
      <c r="O347" s="632"/>
      <c r="P347" s="652">
        <v>-5195.38</v>
      </c>
      <c r="Q347" s="632">
        <f t="shared" si="52"/>
        <v>-12699.59</v>
      </c>
      <c r="R347" s="633" t="s">
        <v>208</v>
      </c>
      <c r="S347" s="701"/>
    </row>
    <row r="348" ht="14.25" customHeight="1">
      <c r="B348" s="670" t="s">
        <v>40</v>
      </c>
      <c r="C348" s="671" t="s">
        <v>80</v>
      </c>
      <c r="D348" s="671">
        <f>sum(D324:D347)</f>
        <v>24</v>
      </c>
      <c r="E348" s="674">
        <f t="shared" ref="E348:O348" si="55">SUM(E323:E347)</f>
        <v>68077.44</v>
      </c>
      <c r="F348" s="674">
        <f t="shared" si="55"/>
        <v>4500</v>
      </c>
      <c r="G348" s="674">
        <f t="shared" si="55"/>
        <v>0</v>
      </c>
      <c r="H348" s="674">
        <f t="shared" si="55"/>
        <v>0</v>
      </c>
      <c r="I348" s="674">
        <f t="shared" si="55"/>
        <v>1900</v>
      </c>
      <c r="J348" s="674">
        <f t="shared" si="55"/>
        <v>18675</v>
      </c>
      <c r="K348" s="676">
        <f t="shared" si="55"/>
        <v>0</v>
      </c>
      <c r="L348" s="674">
        <f t="shared" si="55"/>
        <v>9277.44</v>
      </c>
      <c r="M348" s="674">
        <f t="shared" si="55"/>
        <v>16625</v>
      </c>
      <c r="N348" s="674">
        <f t="shared" si="55"/>
        <v>21100</v>
      </c>
      <c r="O348" s="674">
        <f t="shared" si="55"/>
        <v>-13300</v>
      </c>
      <c r="P348" s="674">
        <f>SUM(P324:P347)</f>
        <v>-8668.64</v>
      </c>
      <c r="Q348" s="678">
        <f>Q347</f>
        <v>-12699.59</v>
      </c>
      <c r="R348" s="680"/>
      <c r="S348" s="701"/>
    </row>
    <row r="349" ht="14.25" customHeight="1">
      <c r="B349" s="682" t="s">
        <v>96</v>
      </c>
      <c r="C349" s="683">
        <v>46024.0</v>
      </c>
      <c r="D349" s="685">
        <v>1.0</v>
      </c>
      <c r="E349" s="686">
        <v>3850.0</v>
      </c>
      <c r="F349" s="688"/>
      <c r="G349" s="689"/>
      <c r="H349" s="690"/>
      <c r="I349" s="689"/>
      <c r="J349" s="688"/>
      <c r="K349" s="589">
        <f t="shared" ref="K349:K354" si="56">E349-J349-L349-M349-N349-I349+F349+G349</f>
        <v>1000</v>
      </c>
      <c r="L349" s="689"/>
      <c r="M349" s="689"/>
      <c r="N349" s="697">
        <v>2850.0</v>
      </c>
      <c r="O349" s="697">
        <v>-700.0</v>
      </c>
      <c r="P349" s="698"/>
      <c r="Q349" s="696">
        <f t="shared" ref="Q349:Q368" si="57">Q348+N349+O349+P349</f>
        <v>-10549.59</v>
      </c>
      <c r="R349" s="700"/>
    </row>
    <row r="350" ht="14.25" customHeight="1">
      <c r="B350" s="690"/>
      <c r="C350" s="683">
        <v>46057.0</v>
      </c>
      <c r="D350" s="685">
        <v>2.0</v>
      </c>
      <c r="E350" s="686">
        <v>6474.81</v>
      </c>
      <c r="F350" s="689"/>
      <c r="G350" s="689"/>
      <c r="H350" s="744" t="s">
        <v>53</v>
      </c>
      <c r="I350" s="689"/>
      <c r="J350" s="689"/>
      <c r="K350" s="589">
        <f t="shared" si="56"/>
        <v>0</v>
      </c>
      <c r="L350" s="686">
        <v>6474.81</v>
      </c>
      <c r="M350" s="689"/>
      <c r="N350" s="722"/>
      <c r="O350" s="697">
        <v>-700.0</v>
      </c>
      <c r="P350" s="698"/>
      <c r="Q350" s="696">
        <f t="shared" si="57"/>
        <v>-11249.59</v>
      </c>
      <c r="R350" s="700"/>
    </row>
    <row r="351" ht="14.25" customHeight="1">
      <c r="B351" s="690"/>
      <c r="C351" s="683">
        <v>46118.0</v>
      </c>
      <c r="D351" s="685">
        <v>2.0</v>
      </c>
      <c r="E351" s="686">
        <v>3522.53</v>
      </c>
      <c r="F351" s="689"/>
      <c r="G351" s="689"/>
      <c r="H351" s="744" t="s">
        <v>53</v>
      </c>
      <c r="I351" s="689"/>
      <c r="J351" s="689"/>
      <c r="K351" s="589">
        <f t="shared" si="56"/>
        <v>0</v>
      </c>
      <c r="L351" s="686">
        <v>3522.53</v>
      </c>
      <c r="M351" s="689"/>
      <c r="N351" s="722"/>
      <c r="O351" s="697">
        <v>-700.0</v>
      </c>
      <c r="P351" s="698"/>
      <c r="Q351" s="696">
        <f t="shared" si="57"/>
        <v>-11949.59</v>
      </c>
      <c r="R351" s="700"/>
    </row>
    <row r="352" ht="14.25" customHeight="1">
      <c r="B352" s="690"/>
      <c r="C352" s="683">
        <v>46182.0</v>
      </c>
      <c r="D352" s="770"/>
      <c r="E352" s="688"/>
      <c r="F352" s="689"/>
      <c r="G352" s="689"/>
      <c r="H352" s="690"/>
      <c r="I352" s="689"/>
      <c r="J352" s="689"/>
      <c r="K352" s="589">
        <f t="shared" si="56"/>
        <v>0</v>
      </c>
      <c r="L352" s="688"/>
      <c r="M352" s="689"/>
      <c r="N352" s="722"/>
      <c r="O352" s="697">
        <v>-700.0</v>
      </c>
      <c r="P352" s="752"/>
      <c r="Q352" s="696">
        <f t="shared" si="57"/>
        <v>-12649.59</v>
      </c>
      <c r="R352" s="748" t="s">
        <v>142</v>
      </c>
    </row>
    <row r="353" ht="14.25" customHeight="1">
      <c r="B353" s="702"/>
      <c r="C353" s="704">
        <v>46275.0</v>
      </c>
      <c r="D353" s="705"/>
      <c r="E353" s="706"/>
      <c r="F353" s="706"/>
      <c r="G353" s="706"/>
      <c r="H353" s="702"/>
      <c r="I353" s="706"/>
      <c r="J353" s="706"/>
      <c r="K353" s="601">
        <f t="shared" si="56"/>
        <v>0</v>
      </c>
      <c r="L353" s="706"/>
      <c r="M353" s="706"/>
      <c r="N353" s="706"/>
      <c r="O353" s="706"/>
      <c r="P353" s="602"/>
      <c r="Q353" s="706">
        <f t="shared" si="57"/>
        <v>-12649.59</v>
      </c>
      <c r="R353" s="705"/>
    </row>
    <row r="354" ht="14.25" customHeight="1">
      <c r="B354" s="690"/>
      <c r="C354" s="683">
        <v>46306.0</v>
      </c>
      <c r="D354" s="685">
        <v>1.0</v>
      </c>
      <c r="E354" s="686">
        <v>2800.0</v>
      </c>
      <c r="F354" s="689"/>
      <c r="G354" s="689"/>
      <c r="H354" s="690"/>
      <c r="I354" s="689"/>
      <c r="J354" s="686">
        <v>1000.0</v>
      </c>
      <c r="K354" s="589">
        <f t="shared" si="56"/>
        <v>0</v>
      </c>
      <c r="L354" s="689"/>
      <c r="M354" s="688"/>
      <c r="N354" s="718">
        <v>1800.0</v>
      </c>
      <c r="O354" s="697">
        <v>-700.0</v>
      </c>
      <c r="P354" s="698"/>
      <c r="Q354" s="696">
        <f t="shared" si="57"/>
        <v>-11549.59</v>
      </c>
      <c r="R354" s="700"/>
    </row>
    <row r="355" ht="14.25" customHeight="1">
      <c r="B355" s="690"/>
      <c r="C355" s="683">
        <v>46338.0</v>
      </c>
      <c r="D355" s="685">
        <v>1.0</v>
      </c>
      <c r="E355" s="686">
        <v>1879.65</v>
      </c>
      <c r="F355" s="693">
        <v>450.0</v>
      </c>
      <c r="G355" s="693"/>
      <c r="H355" s="744" t="s">
        <v>42</v>
      </c>
      <c r="I355" s="689"/>
      <c r="J355" s="689"/>
      <c r="K355" s="589">
        <f>E355-J355-L355-M355-N355-I355+F355+G355+-P355</f>
        <v>0</v>
      </c>
      <c r="L355" s="686">
        <v>1879.65</v>
      </c>
      <c r="M355" s="689"/>
      <c r="N355" s="718"/>
      <c r="O355" s="697">
        <v>-700.0</v>
      </c>
      <c r="P355" s="752">
        <v>450.0</v>
      </c>
      <c r="Q355" s="696">
        <f t="shared" si="57"/>
        <v>-11799.59</v>
      </c>
      <c r="R355" s="748" t="s">
        <v>43</v>
      </c>
    </row>
    <row r="356" ht="14.25" customHeight="1">
      <c r="B356" s="690"/>
      <c r="C356" s="683">
        <v>46371.0</v>
      </c>
      <c r="D356" s="685">
        <v>3.0</v>
      </c>
      <c r="E356" s="775">
        <f>4100+2000</f>
        <v>6100</v>
      </c>
      <c r="F356" s="689"/>
      <c r="G356" s="689"/>
      <c r="H356" s="744" t="s">
        <v>376</v>
      </c>
      <c r="I356" s="689"/>
      <c r="J356" s="693">
        <v>1500.0</v>
      </c>
      <c r="K356" s="589">
        <f t="shared" ref="K356:K368" si="58">E356-J356-L356-M356-N356-I356+F356+G356</f>
        <v>0</v>
      </c>
      <c r="L356" s="688"/>
      <c r="M356" s="693">
        <v>2000.0</v>
      </c>
      <c r="N356" s="718">
        <v>2600.0</v>
      </c>
      <c r="O356" s="697">
        <v>-700.0</v>
      </c>
      <c r="P356" s="698"/>
      <c r="Q356" s="696">
        <f t="shared" si="57"/>
        <v>-9899.59</v>
      </c>
      <c r="R356" s="700"/>
    </row>
    <row r="357" ht="14.25" customHeight="1">
      <c r="B357" s="702"/>
      <c r="C357" s="776" t="s">
        <v>30</v>
      </c>
      <c r="D357" s="705"/>
      <c r="E357" s="706"/>
      <c r="F357" s="706"/>
      <c r="G357" s="706"/>
      <c r="H357" s="702"/>
      <c r="I357" s="706"/>
      <c r="J357" s="706"/>
      <c r="K357" s="601">
        <f t="shared" si="58"/>
        <v>0</v>
      </c>
      <c r="L357" s="706"/>
      <c r="M357" s="706"/>
      <c r="N357" s="706"/>
      <c r="O357" s="706"/>
      <c r="P357" s="602"/>
      <c r="Q357" s="706">
        <f t="shared" si="57"/>
        <v>-9899.59</v>
      </c>
      <c r="R357" s="705"/>
    </row>
    <row r="358" ht="14.25" customHeight="1">
      <c r="B358" s="690"/>
      <c r="C358" s="685" t="s">
        <v>31</v>
      </c>
      <c r="D358" s="685">
        <v>1.0</v>
      </c>
      <c r="E358" s="686">
        <v>2500.0</v>
      </c>
      <c r="F358" s="688"/>
      <c r="G358" s="689"/>
      <c r="H358" s="690"/>
      <c r="I358" s="689"/>
      <c r="J358" s="686">
        <v>1000.0</v>
      </c>
      <c r="K358" s="589">
        <f t="shared" si="58"/>
        <v>0</v>
      </c>
      <c r="L358" s="689"/>
      <c r="M358" s="688"/>
      <c r="N358" s="718">
        <v>1500.0</v>
      </c>
      <c r="O358" s="697">
        <v>-700.0</v>
      </c>
      <c r="P358" s="698"/>
      <c r="Q358" s="696">
        <f t="shared" si="57"/>
        <v>-9099.59</v>
      </c>
      <c r="R358" s="700"/>
    </row>
    <row r="359" ht="14.25" customHeight="1">
      <c r="B359" s="690"/>
      <c r="C359" s="685" t="s">
        <v>32</v>
      </c>
      <c r="D359" s="685">
        <v>1.0</v>
      </c>
      <c r="E359" s="777">
        <v>2800.0</v>
      </c>
      <c r="F359" s="688"/>
      <c r="G359" s="689"/>
      <c r="H359" s="690"/>
      <c r="I359" s="689"/>
      <c r="J359" s="686">
        <v>1000.0</v>
      </c>
      <c r="K359" s="589">
        <f t="shared" si="58"/>
        <v>0</v>
      </c>
      <c r="L359" s="689"/>
      <c r="M359" s="686">
        <v>1800.0</v>
      </c>
      <c r="N359" s="722"/>
      <c r="O359" s="697">
        <v>-700.0</v>
      </c>
      <c r="P359" s="698"/>
      <c r="Q359" s="696">
        <f t="shared" si="57"/>
        <v>-9799.59</v>
      </c>
      <c r="R359" s="700"/>
    </row>
    <row r="360" ht="14.25" customHeight="1">
      <c r="B360" s="690"/>
      <c r="C360" s="685" t="s">
        <v>120</v>
      </c>
      <c r="D360" s="685">
        <v>2.0</v>
      </c>
      <c r="E360" s="686">
        <v>3276.1</v>
      </c>
      <c r="F360" s="688"/>
      <c r="G360" s="689"/>
      <c r="H360" s="744" t="s">
        <v>42</v>
      </c>
      <c r="I360" s="689"/>
      <c r="J360" s="688"/>
      <c r="K360" s="589">
        <f t="shared" si="58"/>
        <v>0</v>
      </c>
      <c r="L360" s="693">
        <v>3276.1</v>
      </c>
      <c r="M360" s="689"/>
      <c r="N360" s="696"/>
      <c r="O360" s="697">
        <v>-700.0</v>
      </c>
      <c r="P360" s="698"/>
      <c r="Q360" s="696">
        <f t="shared" si="57"/>
        <v>-10499.59</v>
      </c>
      <c r="R360" s="700"/>
    </row>
    <row r="361" ht="14.25" customHeight="1">
      <c r="B361" s="702"/>
      <c r="C361" s="738" t="s">
        <v>211</v>
      </c>
      <c r="D361" s="705"/>
      <c r="E361" s="706"/>
      <c r="F361" s="706"/>
      <c r="G361" s="706"/>
      <c r="H361" s="702"/>
      <c r="I361" s="706"/>
      <c r="J361" s="706"/>
      <c r="K361" s="601">
        <f t="shared" si="58"/>
        <v>0</v>
      </c>
      <c r="L361" s="706"/>
      <c r="M361" s="706"/>
      <c r="N361" s="706"/>
      <c r="O361" s="706"/>
      <c r="P361" s="602"/>
      <c r="Q361" s="708">
        <f t="shared" si="57"/>
        <v>-10499.59</v>
      </c>
      <c r="R361" s="705"/>
    </row>
    <row r="362" ht="14.25" customHeight="1">
      <c r="B362" s="690"/>
      <c r="C362" s="685" t="s">
        <v>44</v>
      </c>
      <c r="D362" s="685">
        <v>1.0</v>
      </c>
      <c r="E362" s="686">
        <v>2500.0</v>
      </c>
      <c r="F362" s="689"/>
      <c r="G362" s="689"/>
      <c r="H362" s="690"/>
      <c r="I362" s="689"/>
      <c r="J362" s="686">
        <v>1000.0</v>
      </c>
      <c r="K362" s="589">
        <f t="shared" si="58"/>
        <v>0</v>
      </c>
      <c r="L362" s="689"/>
      <c r="M362" s="688"/>
      <c r="N362" s="718">
        <v>1500.0</v>
      </c>
      <c r="O362" s="697">
        <v>-700.0</v>
      </c>
      <c r="P362" s="698"/>
      <c r="Q362" s="696">
        <f t="shared" si="57"/>
        <v>-9699.59</v>
      </c>
      <c r="R362" s="700"/>
    </row>
    <row r="363" ht="14.25" customHeight="1">
      <c r="B363" s="702"/>
      <c r="C363" s="738" t="s">
        <v>99</v>
      </c>
      <c r="D363" s="705"/>
      <c r="E363" s="706"/>
      <c r="F363" s="706"/>
      <c r="G363" s="706"/>
      <c r="H363" s="702"/>
      <c r="I363" s="706"/>
      <c r="J363" s="706"/>
      <c r="K363" s="601">
        <f t="shared" si="58"/>
        <v>0</v>
      </c>
      <c r="L363" s="706"/>
      <c r="M363" s="706"/>
      <c r="N363" s="706"/>
      <c r="O363" s="706"/>
      <c r="P363" s="602"/>
      <c r="Q363" s="708">
        <f t="shared" si="57"/>
        <v>-9699.59</v>
      </c>
      <c r="R363" s="705"/>
    </row>
    <row r="364" ht="14.25" customHeight="1">
      <c r="B364" s="690"/>
      <c r="C364" s="685" t="s">
        <v>143</v>
      </c>
      <c r="D364" s="685">
        <v>3.0</v>
      </c>
      <c r="E364" s="686">
        <v>4672.39</v>
      </c>
      <c r="F364" s="688"/>
      <c r="G364" s="689"/>
      <c r="H364" s="744" t="s">
        <v>42</v>
      </c>
      <c r="I364" s="688"/>
      <c r="J364" s="689"/>
      <c r="K364" s="589">
        <f t="shared" si="58"/>
        <v>0</v>
      </c>
      <c r="L364" s="693">
        <v>4672.39</v>
      </c>
      <c r="M364" s="689"/>
      <c r="N364" s="697"/>
      <c r="O364" s="697">
        <v>-700.0</v>
      </c>
      <c r="P364" s="698"/>
      <c r="Q364" s="696">
        <f t="shared" si="57"/>
        <v>-10399.59</v>
      </c>
      <c r="R364" s="700"/>
    </row>
    <row r="365" ht="14.25" customHeight="1">
      <c r="B365" s="690"/>
      <c r="C365" s="685" t="s">
        <v>52</v>
      </c>
      <c r="D365" s="685">
        <v>1.0</v>
      </c>
      <c r="E365" s="686">
        <v>3150.0</v>
      </c>
      <c r="F365" s="688"/>
      <c r="G365" s="689"/>
      <c r="H365" s="690"/>
      <c r="I365" s="688"/>
      <c r="J365" s="693">
        <v>1000.0</v>
      </c>
      <c r="K365" s="589">
        <f t="shared" si="58"/>
        <v>0</v>
      </c>
      <c r="L365" s="689"/>
      <c r="M365" s="689"/>
      <c r="N365" s="697">
        <v>2150.0</v>
      </c>
      <c r="O365" s="697">
        <v>-700.0</v>
      </c>
      <c r="P365" s="698"/>
      <c r="Q365" s="696">
        <f t="shared" si="57"/>
        <v>-8949.59</v>
      </c>
      <c r="R365" s="700"/>
    </row>
    <row r="366" ht="14.25" customHeight="1">
      <c r="B366" s="690"/>
      <c r="C366" s="770"/>
      <c r="D366" s="770"/>
      <c r="E366" s="688"/>
      <c r="F366" s="689"/>
      <c r="G366" s="689"/>
      <c r="H366" s="690"/>
      <c r="I366" s="689"/>
      <c r="J366" s="688"/>
      <c r="K366" s="589">
        <f t="shared" si="58"/>
        <v>0</v>
      </c>
      <c r="L366" s="689"/>
      <c r="M366" s="689"/>
      <c r="N366" s="696"/>
      <c r="O366" s="696"/>
      <c r="P366" s="752">
        <v>-5777.75</v>
      </c>
      <c r="Q366" s="696">
        <f t="shared" si="57"/>
        <v>-14727.34</v>
      </c>
      <c r="R366" s="748" t="s">
        <v>208</v>
      </c>
    </row>
    <row r="367" ht="14.25" customHeight="1">
      <c r="B367" s="690"/>
      <c r="C367" s="753"/>
      <c r="D367" s="753"/>
      <c r="E367" s="689"/>
      <c r="F367" s="689"/>
      <c r="G367" s="689"/>
      <c r="H367" s="690"/>
      <c r="I367" s="689"/>
      <c r="J367" s="689"/>
      <c r="K367" s="589">
        <f t="shared" si="58"/>
        <v>0</v>
      </c>
      <c r="L367" s="689"/>
      <c r="M367" s="689"/>
      <c r="N367" s="722"/>
      <c r="O367" s="722"/>
      <c r="P367" s="752">
        <v>-2269.39</v>
      </c>
      <c r="Q367" s="696">
        <f t="shared" si="57"/>
        <v>-16996.73</v>
      </c>
      <c r="R367" s="748" t="s">
        <v>55</v>
      </c>
    </row>
    <row r="368" ht="14.25" customHeight="1">
      <c r="B368" s="690"/>
      <c r="C368" s="753"/>
      <c r="D368" s="753"/>
      <c r="E368" s="689"/>
      <c r="F368" s="689"/>
      <c r="G368" s="689"/>
      <c r="H368" s="690"/>
      <c r="I368" s="689"/>
      <c r="J368" s="689"/>
      <c r="K368" s="589">
        <f t="shared" si="58"/>
        <v>0</v>
      </c>
      <c r="L368" s="689"/>
      <c r="M368" s="689"/>
      <c r="N368" s="722"/>
      <c r="O368" s="722"/>
      <c r="P368" s="752">
        <v>-500.0</v>
      </c>
      <c r="Q368" s="696">
        <f t="shared" si="57"/>
        <v>-17496.73</v>
      </c>
      <c r="R368" s="748" t="s">
        <v>383</v>
      </c>
    </row>
    <row r="369" ht="14.25" customHeight="1">
      <c r="A369" s="701"/>
      <c r="B369" s="754" t="s">
        <v>96</v>
      </c>
      <c r="C369" s="755" t="s">
        <v>80</v>
      </c>
      <c r="D369" s="755">
        <f>sum(D350:D368)</f>
        <v>18</v>
      </c>
      <c r="E369" s="756">
        <f t="shared" ref="E369:O369" si="59">SUM(E349:E368)</f>
        <v>43525.48</v>
      </c>
      <c r="F369" s="756">
        <f t="shared" si="59"/>
        <v>450</v>
      </c>
      <c r="G369" s="756">
        <f t="shared" si="59"/>
        <v>0</v>
      </c>
      <c r="H369" s="756">
        <f t="shared" si="59"/>
        <v>0</v>
      </c>
      <c r="I369" s="756">
        <f t="shared" si="59"/>
        <v>0</v>
      </c>
      <c r="J369" s="756">
        <f t="shared" si="59"/>
        <v>6500</v>
      </c>
      <c r="K369" s="757">
        <f t="shared" si="59"/>
        <v>1000</v>
      </c>
      <c r="L369" s="756">
        <f t="shared" si="59"/>
        <v>19825.48</v>
      </c>
      <c r="M369" s="756">
        <f t="shared" si="59"/>
        <v>3800</v>
      </c>
      <c r="N369" s="756">
        <f t="shared" si="59"/>
        <v>12400</v>
      </c>
      <c r="O369" s="756">
        <f t="shared" si="59"/>
        <v>-9100</v>
      </c>
      <c r="P369" s="756">
        <f>SUM(P350:P368)</f>
        <v>-8097.14</v>
      </c>
      <c r="Q369" s="758">
        <f>Q368</f>
        <v>-17496.73</v>
      </c>
      <c r="R369" s="759"/>
      <c r="S369" s="701"/>
      <c r="T369" s="701"/>
      <c r="U369" s="781">
        <f>Q369</f>
        <v>-17496.73</v>
      </c>
      <c r="V369" s="701"/>
      <c r="W369" s="701"/>
      <c r="X369" s="701"/>
      <c r="Y369" s="701"/>
      <c r="Z369" s="701"/>
      <c r="AA369" s="701"/>
      <c r="AB369" s="701"/>
      <c r="AC369" s="701"/>
      <c r="AD369" s="701"/>
      <c r="AE369" s="701"/>
      <c r="AF369" s="701"/>
      <c r="AG369" s="701"/>
    </row>
    <row r="370" ht="14.25" customHeight="1">
      <c r="B370" s="682" t="s">
        <v>105</v>
      </c>
      <c r="C370" s="683">
        <v>46024.0</v>
      </c>
      <c r="D370" s="685">
        <v>1.0</v>
      </c>
      <c r="E370" s="686">
        <v>2300.0</v>
      </c>
      <c r="F370" s="688"/>
      <c r="G370" s="689"/>
      <c r="H370" s="690"/>
      <c r="I370" s="689"/>
      <c r="J370" s="686">
        <v>1000.0</v>
      </c>
      <c r="K370" s="589">
        <f t="shared" ref="K370:K371" si="60">E370-J370-L370-M370-N370-I370+F370+G370</f>
        <v>0</v>
      </c>
      <c r="L370" s="689"/>
      <c r="M370" s="689"/>
      <c r="N370" s="697">
        <v>1300.0</v>
      </c>
      <c r="O370" s="697">
        <v>-700.0</v>
      </c>
      <c r="P370" s="698"/>
      <c r="Q370" s="696">
        <f t="shared" ref="Q370:Q393" si="61">Q369+N370+O370+P370</f>
        <v>-16896.73</v>
      </c>
      <c r="R370" s="700"/>
    </row>
    <row r="371" ht="14.25" customHeight="1">
      <c r="B371" s="702"/>
      <c r="C371" s="704">
        <v>46056.0</v>
      </c>
      <c r="D371" s="705"/>
      <c r="E371" s="706"/>
      <c r="F371" s="706"/>
      <c r="G371" s="706"/>
      <c r="H371" s="702"/>
      <c r="I371" s="706"/>
      <c r="J371" s="706"/>
      <c r="K371" s="601">
        <f t="shared" si="60"/>
        <v>0</v>
      </c>
      <c r="L371" s="706"/>
      <c r="M371" s="706"/>
      <c r="N371" s="784"/>
      <c r="O371" s="706"/>
      <c r="P371" s="602"/>
      <c r="Q371" s="706">
        <f t="shared" si="61"/>
        <v>-16896.73</v>
      </c>
      <c r="R371" s="705"/>
    </row>
    <row r="372" ht="14.25" customHeight="1">
      <c r="B372" s="690"/>
      <c r="C372" s="683">
        <v>46085.0</v>
      </c>
      <c r="D372" s="685">
        <v>1.0</v>
      </c>
      <c r="E372" s="686">
        <v>2000.0</v>
      </c>
      <c r="F372" s="693">
        <v>450.0</v>
      </c>
      <c r="G372" s="689"/>
      <c r="H372" s="744"/>
      <c r="I372" s="689"/>
      <c r="J372" s="693">
        <v>1000.0</v>
      </c>
      <c r="K372" s="589">
        <f>E372-J372-L372-M372-N372-I372+F372+G372-P372</f>
        <v>0</v>
      </c>
      <c r="L372" s="686"/>
      <c r="M372" s="689"/>
      <c r="N372" s="718">
        <v>1000.0</v>
      </c>
      <c r="O372" s="697">
        <v>-700.0</v>
      </c>
      <c r="P372" s="752">
        <v>450.0</v>
      </c>
      <c r="Q372" s="696">
        <f t="shared" si="61"/>
        <v>-16146.73</v>
      </c>
      <c r="R372" s="748" t="s">
        <v>43</v>
      </c>
    </row>
    <row r="373" ht="14.25" customHeight="1">
      <c r="B373" s="690"/>
      <c r="C373" s="683">
        <v>46117.0</v>
      </c>
      <c r="D373" s="685">
        <v>1.0</v>
      </c>
      <c r="E373" s="686">
        <v>2300.0</v>
      </c>
      <c r="F373" s="689"/>
      <c r="G373" s="689"/>
      <c r="H373" s="690"/>
      <c r="I373" s="689"/>
      <c r="J373" s="693">
        <v>1000.0</v>
      </c>
      <c r="K373" s="589">
        <f t="shared" ref="K373:K384" si="62">E373-J373-L373-M373-N373-I373+F373+G373</f>
        <v>0</v>
      </c>
      <c r="L373" s="688"/>
      <c r="M373" s="689"/>
      <c r="N373" s="718">
        <v>1300.0</v>
      </c>
      <c r="O373" s="697">
        <v>-700.0</v>
      </c>
      <c r="P373" s="752"/>
      <c r="Q373" s="696">
        <f t="shared" si="61"/>
        <v>-15546.73</v>
      </c>
      <c r="R373" s="748" t="s">
        <v>142</v>
      </c>
    </row>
    <row r="374" ht="14.25" customHeight="1">
      <c r="B374" s="690"/>
      <c r="C374" s="683">
        <v>46148.0</v>
      </c>
      <c r="D374" s="685">
        <v>1.0</v>
      </c>
      <c r="E374" s="686">
        <v>2000.0</v>
      </c>
      <c r="F374" s="689"/>
      <c r="G374" s="689"/>
      <c r="H374" s="690"/>
      <c r="I374" s="689"/>
      <c r="J374" s="686">
        <v>1000.0</v>
      </c>
      <c r="K374" s="589">
        <f t="shared" si="62"/>
        <v>0</v>
      </c>
      <c r="L374" s="689"/>
      <c r="M374" s="686">
        <v>1000.0</v>
      </c>
      <c r="N374" s="785"/>
      <c r="O374" s="697">
        <v>-700.0</v>
      </c>
      <c r="P374" s="698"/>
      <c r="Q374" s="696">
        <f t="shared" si="61"/>
        <v>-16246.73</v>
      </c>
      <c r="R374" s="700"/>
    </row>
    <row r="375" ht="14.25" customHeight="1">
      <c r="B375" s="690"/>
      <c r="C375" s="683">
        <v>46180.0</v>
      </c>
      <c r="D375" s="685">
        <v>1.0</v>
      </c>
      <c r="E375" s="686">
        <v>3500.0</v>
      </c>
      <c r="F375" s="693">
        <v>450.0</v>
      </c>
      <c r="G375" s="689"/>
      <c r="H375" s="690"/>
      <c r="I375" s="689"/>
      <c r="J375" s="686">
        <v>1225.0</v>
      </c>
      <c r="K375" s="589">
        <f t="shared" si="62"/>
        <v>0</v>
      </c>
      <c r="L375" s="689"/>
      <c r="M375" s="686">
        <v>2725.0</v>
      </c>
      <c r="N375" s="785"/>
      <c r="O375" s="697">
        <v>-700.0</v>
      </c>
      <c r="P375" s="698"/>
      <c r="Q375" s="696">
        <f t="shared" si="61"/>
        <v>-16946.73</v>
      </c>
      <c r="R375" s="700"/>
    </row>
    <row r="376" ht="14.25" customHeight="1">
      <c r="B376" s="690"/>
      <c r="C376" s="683">
        <v>46211.0</v>
      </c>
      <c r="D376" s="685">
        <v>1.0</v>
      </c>
      <c r="E376" s="686">
        <v>2800.0</v>
      </c>
      <c r="F376" s="693">
        <v>350.0</v>
      </c>
      <c r="G376" s="693"/>
      <c r="H376" s="744"/>
      <c r="I376" s="689"/>
      <c r="J376" s="693">
        <v>1125.0</v>
      </c>
      <c r="K376" s="589">
        <f t="shared" si="62"/>
        <v>0</v>
      </c>
      <c r="L376" s="686"/>
      <c r="M376" s="689"/>
      <c r="N376" s="718">
        <v>2025.0</v>
      </c>
      <c r="O376" s="697">
        <v>-700.0</v>
      </c>
      <c r="P376" s="698"/>
      <c r="Q376" s="696">
        <f t="shared" si="61"/>
        <v>-15621.73</v>
      </c>
      <c r="R376" s="700"/>
    </row>
    <row r="377" ht="14.25" customHeight="1">
      <c r="B377" s="690"/>
      <c r="C377" s="683">
        <v>46243.0</v>
      </c>
      <c r="D377" s="685">
        <v>1.0</v>
      </c>
      <c r="E377" s="775">
        <v>2000.0</v>
      </c>
      <c r="F377" s="689"/>
      <c r="G377" s="689"/>
      <c r="H377" s="744"/>
      <c r="I377" s="689"/>
      <c r="J377" s="693">
        <v>1000.0</v>
      </c>
      <c r="K377" s="589">
        <f t="shared" si="62"/>
        <v>0</v>
      </c>
      <c r="L377" s="688"/>
      <c r="M377" s="693">
        <v>1000.0</v>
      </c>
      <c r="N377" s="785"/>
      <c r="O377" s="697">
        <v>-700.0</v>
      </c>
      <c r="P377" s="698"/>
      <c r="Q377" s="696">
        <f t="shared" si="61"/>
        <v>-16321.73</v>
      </c>
      <c r="R377" s="700"/>
    </row>
    <row r="378" ht="14.25" customHeight="1">
      <c r="B378" s="702"/>
      <c r="C378" s="704">
        <v>46276.0</v>
      </c>
      <c r="D378" s="705"/>
      <c r="E378" s="706"/>
      <c r="F378" s="706"/>
      <c r="G378" s="706"/>
      <c r="H378" s="702"/>
      <c r="I378" s="706"/>
      <c r="J378" s="706"/>
      <c r="K378" s="601">
        <f t="shared" si="62"/>
        <v>0</v>
      </c>
      <c r="L378" s="706"/>
      <c r="M378" s="706"/>
      <c r="N378" s="784"/>
      <c r="O378" s="706"/>
      <c r="P378" s="602"/>
      <c r="Q378" s="706">
        <f t="shared" si="61"/>
        <v>-16321.73</v>
      </c>
      <c r="R378" s="705"/>
    </row>
    <row r="379" ht="14.25" customHeight="1">
      <c r="B379" s="690"/>
      <c r="C379" s="683">
        <v>46341.0</v>
      </c>
      <c r="D379" s="685">
        <v>5.0</v>
      </c>
      <c r="E379" s="686">
        <v>8300.0</v>
      </c>
      <c r="F379" s="686">
        <v>200.0</v>
      </c>
      <c r="G379" s="689"/>
      <c r="H379" s="690"/>
      <c r="I379" s="689"/>
      <c r="J379" s="686">
        <v>2500.0</v>
      </c>
      <c r="K379" s="589">
        <f t="shared" si="62"/>
        <v>0</v>
      </c>
      <c r="L379" s="693">
        <v>6000.0</v>
      </c>
      <c r="M379" s="686"/>
      <c r="N379" s="718"/>
      <c r="O379" s="697">
        <v>-700.0</v>
      </c>
      <c r="P379" s="698"/>
      <c r="Q379" s="696">
        <f t="shared" si="61"/>
        <v>-17021.73</v>
      </c>
      <c r="R379" s="700"/>
    </row>
    <row r="380" ht="14.25" customHeight="1">
      <c r="B380" s="690"/>
      <c r="C380" s="685" t="s">
        <v>54</v>
      </c>
      <c r="D380" s="685">
        <v>2.0</v>
      </c>
      <c r="E380" s="777">
        <v>3768.96</v>
      </c>
      <c r="F380" s="688"/>
      <c r="G380" s="689"/>
      <c r="H380" s="690"/>
      <c r="I380" s="689"/>
      <c r="J380" s="686"/>
      <c r="K380" s="589">
        <f t="shared" si="62"/>
        <v>0</v>
      </c>
      <c r="L380" s="777">
        <v>3768.96</v>
      </c>
      <c r="M380" s="688"/>
      <c r="N380" s="722"/>
      <c r="O380" s="697">
        <v>-700.0</v>
      </c>
      <c r="P380" s="698"/>
      <c r="Q380" s="696">
        <f t="shared" si="61"/>
        <v>-17721.73</v>
      </c>
      <c r="R380" s="700"/>
    </row>
    <row r="381" ht="14.25" customHeight="1">
      <c r="B381" s="690"/>
      <c r="C381" s="685" t="s">
        <v>56</v>
      </c>
      <c r="D381" s="685">
        <v>2.0</v>
      </c>
      <c r="E381" s="686">
        <v>4100.0</v>
      </c>
      <c r="F381" s="688"/>
      <c r="G381" s="689"/>
      <c r="H381" s="744"/>
      <c r="I381" s="689"/>
      <c r="J381" s="686">
        <v>1500.0</v>
      </c>
      <c r="K381" s="589">
        <f t="shared" si="62"/>
        <v>0</v>
      </c>
      <c r="L381" s="693"/>
      <c r="M381" s="689"/>
      <c r="N381" s="697">
        <v>2600.0</v>
      </c>
      <c r="O381" s="697">
        <v>-700.0</v>
      </c>
      <c r="P381" s="698"/>
      <c r="Q381" s="696">
        <f t="shared" si="61"/>
        <v>-15821.73</v>
      </c>
      <c r="R381" s="700"/>
    </row>
    <row r="382" ht="14.25" customHeight="1">
      <c r="B382" s="690"/>
      <c r="C382" s="685" t="s">
        <v>34</v>
      </c>
      <c r="D382" s="685">
        <v>1.0</v>
      </c>
      <c r="E382" s="686">
        <v>1200.0</v>
      </c>
      <c r="F382" s="689"/>
      <c r="G382" s="689"/>
      <c r="H382" s="690"/>
      <c r="I382" s="689"/>
      <c r="J382" s="686"/>
      <c r="K382" s="589">
        <f t="shared" si="62"/>
        <v>0</v>
      </c>
      <c r="L382" s="689"/>
      <c r="M382" s="688"/>
      <c r="N382" s="718">
        <v>1200.0</v>
      </c>
      <c r="O382" s="697"/>
      <c r="P382" s="698"/>
      <c r="Q382" s="696">
        <f t="shared" si="61"/>
        <v>-14621.73</v>
      </c>
      <c r="R382" s="748" t="s">
        <v>125</v>
      </c>
    </row>
    <row r="383" ht="14.25" customHeight="1">
      <c r="B383" s="690"/>
      <c r="C383" s="685" t="s">
        <v>69</v>
      </c>
      <c r="D383" s="685">
        <v>1.0</v>
      </c>
      <c r="E383" s="686">
        <v>3000.0</v>
      </c>
      <c r="F383" s="689"/>
      <c r="G383" s="689"/>
      <c r="H383" s="690"/>
      <c r="I383" s="689"/>
      <c r="J383" s="686">
        <v>1000.0</v>
      </c>
      <c r="K383" s="589">
        <f t="shared" si="62"/>
        <v>0</v>
      </c>
      <c r="L383" s="689"/>
      <c r="M383" s="688"/>
      <c r="N383" s="718">
        <v>2000.0</v>
      </c>
      <c r="O383" s="697">
        <v>-700.0</v>
      </c>
      <c r="P383" s="698"/>
      <c r="Q383" s="696">
        <f t="shared" si="61"/>
        <v>-13321.73</v>
      </c>
      <c r="R383" s="700"/>
    </row>
    <row r="384" ht="14.25" customHeight="1">
      <c r="B384" s="690"/>
      <c r="C384" s="685" t="s">
        <v>68</v>
      </c>
      <c r="D384" s="685">
        <v>1.0</v>
      </c>
      <c r="E384" s="686">
        <v>2800.0</v>
      </c>
      <c r="F384" s="689"/>
      <c r="G384" s="689"/>
      <c r="H384" s="690"/>
      <c r="I384" s="689"/>
      <c r="J384" s="686">
        <v>1000.0</v>
      </c>
      <c r="K384" s="589">
        <f t="shared" si="62"/>
        <v>0</v>
      </c>
      <c r="L384" s="689"/>
      <c r="M384" s="688"/>
      <c r="N384" s="718">
        <v>1800.0</v>
      </c>
      <c r="O384" s="697">
        <v>-700.0</v>
      </c>
      <c r="P384" s="698"/>
      <c r="Q384" s="696">
        <f t="shared" si="61"/>
        <v>-12221.73</v>
      </c>
      <c r="R384" s="700"/>
    </row>
    <row r="385" ht="14.25" customHeight="1">
      <c r="B385" s="702"/>
      <c r="C385" s="738" t="s">
        <v>37</v>
      </c>
      <c r="D385" s="705"/>
      <c r="E385" s="706"/>
      <c r="F385" s="706"/>
      <c r="G385" s="706"/>
      <c r="H385" s="702"/>
      <c r="I385" s="706"/>
      <c r="J385" s="706"/>
      <c r="K385" s="601"/>
      <c r="L385" s="706"/>
      <c r="M385" s="706"/>
      <c r="N385" s="784"/>
      <c r="O385" s="706"/>
      <c r="P385" s="602"/>
      <c r="Q385" s="706">
        <f t="shared" si="61"/>
        <v>-12221.73</v>
      </c>
      <c r="R385" s="705"/>
    </row>
    <row r="386" ht="14.25" customHeight="1">
      <c r="B386" s="690"/>
      <c r="C386" s="685" t="s">
        <v>41</v>
      </c>
      <c r="D386" s="685">
        <v>1.0</v>
      </c>
      <c r="E386" s="686">
        <v>2000.0</v>
      </c>
      <c r="F386" s="688"/>
      <c r="G386" s="689"/>
      <c r="H386" s="744"/>
      <c r="I386" s="688"/>
      <c r="J386" s="693">
        <v>1000.0</v>
      </c>
      <c r="K386" s="589">
        <f t="shared" ref="K386:K388" si="63">E386-J386-L386-M386-N386-I386+F386+G386</f>
        <v>0</v>
      </c>
      <c r="L386" s="693"/>
      <c r="M386" s="689"/>
      <c r="N386" s="697">
        <v>1000.0</v>
      </c>
      <c r="O386" s="697">
        <v>-700.0</v>
      </c>
      <c r="P386" s="698"/>
      <c r="Q386" s="696">
        <f t="shared" si="61"/>
        <v>-11921.73</v>
      </c>
      <c r="R386" s="700"/>
    </row>
    <row r="387" ht="14.25" customHeight="1">
      <c r="B387" s="690"/>
      <c r="C387" s="685" t="s">
        <v>71</v>
      </c>
      <c r="D387" s="685">
        <v>2.0</v>
      </c>
      <c r="E387" s="686">
        <v>4000.0</v>
      </c>
      <c r="F387" s="686">
        <v>800.0</v>
      </c>
      <c r="G387" s="689"/>
      <c r="H387" s="690"/>
      <c r="I387" s="688"/>
      <c r="J387" s="693">
        <v>2400.0</v>
      </c>
      <c r="K387" s="589">
        <f t="shared" si="63"/>
        <v>0</v>
      </c>
      <c r="L387" s="689"/>
      <c r="M387" s="689"/>
      <c r="N387" s="697">
        <v>2400.0</v>
      </c>
      <c r="O387" s="697">
        <v>-700.0</v>
      </c>
      <c r="P387" s="698"/>
      <c r="Q387" s="696">
        <f t="shared" si="61"/>
        <v>-10221.73</v>
      </c>
      <c r="R387" s="700"/>
    </row>
    <row r="388" ht="14.25" customHeight="1">
      <c r="B388" s="690"/>
      <c r="C388" s="685" t="s">
        <v>47</v>
      </c>
      <c r="D388" s="685">
        <v>1.0</v>
      </c>
      <c r="E388" s="686">
        <v>2100.0</v>
      </c>
      <c r="F388" s="689"/>
      <c r="G388" s="689"/>
      <c r="H388" s="690"/>
      <c r="I388" s="689"/>
      <c r="J388" s="686">
        <v>1000.0</v>
      </c>
      <c r="K388" s="589">
        <f t="shared" si="63"/>
        <v>0</v>
      </c>
      <c r="L388" s="689"/>
      <c r="M388" s="693">
        <v>1100.0</v>
      </c>
      <c r="N388" s="786"/>
      <c r="O388" s="697">
        <v>-700.0</v>
      </c>
      <c r="P388" s="752"/>
      <c r="Q388" s="696">
        <f t="shared" si="61"/>
        <v>-10921.73</v>
      </c>
      <c r="R388" s="700"/>
    </row>
    <row r="389" ht="14.25" customHeight="1">
      <c r="B389" s="702"/>
      <c r="C389" s="738" t="s">
        <v>72</v>
      </c>
      <c r="D389" s="705"/>
      <c r="E389" s="706"/>
      <c r="F389" s="706"/>
      <c r="G389" s="706"/>
      <c r="H389" s="702"/>
      <c r="I389" s="706"/>
      <c r="J389" s="706"/>
      <c r="K389" s="601"/>
      <c r="L389" s="706"/>
      <c r="M389" s="706"/>
      <c r="N389" s="784"/>
      <c r="O389" s="706"/>
      <c r="P389" s="630">
        <v>-200.0</v>
      </c>
      <c r="Q389" s="706">
        <f t="shared" si="61"/>
        <v>-11121.73</v>
      </c>
      <c r="R389" s="711" t="s">
        <v>152</v>
      </c>
    </row>
    <row r="390" ht="14.25" customHeight="1">
      <c r="B390" s="690"/>
      <c r="C390" s="744" t="s">
        <v>73</v>
      </c>
      <c r="D390" s="744">
        <v>1.0</v>
      </c>
      <c r="E390" s="693">
        <v>2800.0</v>
      </c>
      <c r="F390" s="689"/>
      <c r="G390" s="689"/>
      <c r="H390" s="690"/>
      <c r="I390" s="689"/>
      <c r="J390" s="693">
        <v>1000.0</v>
      </c>
      <c r="K390" s="589"/>
      <c r="L390" s="689"/>
      <c r="M390" s="689"/>
      <c r="N390" s="718">
        <v>1800.0</v>
      </c>
      <c r="O390" s="718">
        <v>-700.0</v>
      </c>
      <c r="P390" s="752">
        <v>-500.0</v>
      </c>
      <c r="Q390" s="696">
        <f t="shared" si="61"/>
        <v>-10521.73</v>
      </c>
      <c r="R390" s="748" t="s">
        <v>392</v>
      </c>
    </row>
    <row r="391" ht="14.25" customHeight="1">
      <c r="B391" s="690"/>
      <c r="C391" s="753"/>
      <c r="D391" s="753"/>
      <c r="E391" s="689"/>
      <c r="F391" s="689"/>
      <c r="G391" s="689"/>
      <c r="H391" s="690"/>
      <c r="I391" s="689"/>
      <c r="J391" s="689"/>
      <c r="K391" s="589"/>
      <c r="L391" s="689"/>
      <c r="M391" s="689"/>
      <c r="N391" s="722"/>
      <c r="O391" s="722"/>
      <c r="P391" s="752">
        <v>-5440.16</v>
      </c>
      <c r="Q391" s="696">
        <f t="shared" si="61"/>
        <v>-15961.89</v>
      </c>
      <c r="R391" s="748" t="s">
        <v>208</v>
      </c>
    </row>
    <row r="392" ht="14.25" customHeight="1">
      <c r="B392" s="690"/>
      <c r="C392" s="753"/>
      <c r="D392" s="753"/>
      <c r="E392" s="689"/>
      <c r="F392" s="689"/>
      <c r="G392" s="689"/>
      <c r="H392" s="690"/>
      <c r="I392" s="689"/>
      <c r="J392" s="689"/>
      <c r="K392" s="589">
        <f t="shared" ref="K392:K393" si="64">E392-J392-L392-M392-N392-I392+F392+G392</f>
        <v>0</v>
      </c>
      <c r="L392" s="689"/>
      <c r="M392" s="689"/>
      <c r="N392" s="722"/>
      <c r="O392" s="722"/>
      <c r="P392" s="752">
        <v>-1606.92</v>
      </c>
      <c r="Q392" s="696">
        <f t="shared" si="61"/>
        <v>-17568.81</v>
      </c>
      <c r="R392" s="748" t="s">
        <v>55</v>
      </c>
    </row>
    <row r="393" ht="14.25" customHeight="1">
      <c r="B393" s="690"/>
      <c r="C393" s="753"/>
      <c r="D393" s="753"/>
      <c r="E393" s="689"/>
      <c r="F393" s="689"/>
      <c r="G393" s="689"/>
      <c r="H393" s="690"/>
      <c r="I393" s="689"/>
      <c r="J393" s="689"/>
      <c r="K393" s="589">
        <f t="shared" si="64"/>
        <v>0</v>
      </c>
      <c r="L393" s="689"/>
      <c r="M393" s="689"/>
      <c r="N393" s="722"/>
      <c r="O393" s="722"/>
      <c r="P393" s="752">
        <v>-649.0</v>
      </c>
      <c r="Q393" s="696">
        <f t="shared" si="61"/>
        <v>-18217.81</v>
      </c>
      <c r="R393" s="748" t="s">
        <v>393</v>
      </c>
    </row>
    <row r="394" ht="14.25" customHeight="1">
      <c r="A394" s="701"/>
      <c r="B394" s="754" t="s">
        <v>105</v>
      </c>
      <c r="C394" s="755" t="s">
        <v>80</v>
      </c>
      <c r="D394" s="755">
        <f>sum(D371:D393)</f>
        <v>23</v>
      </c>
      <c r="E394" s="756">
        <f t="shared" ref="E394:O394" si="65">SUM(E370:E393)</f>
        <v>50968.96</v>
      </c>
      <c r="F394" s="756">
        <f t="shared" si="65"/>
        <v>2250</v>
      </c>
      <c r="G394" s="756">
        <f t="shared" si="65"/>
        <v>0</v>
      </c>
      <c r="H394" s="756">
        <f t="shared" si="65"/>
        <v>0</v>
      </c>
      <c r="I394" s="756">
        <f t="shared" si="65"/>
        <v>0</v>
      </c>
      <c r="J394" s="756">
        <f t="shared" si="65"/>
        <v>18750</v>
      </c>
      <c r="K394" s="757">
        <f t="shared" si="65"/>
        <v>0</v>
      </c>
      <c r="L394" s="756">
        <f t="shared" si="65"/>
        <v>9768.96</v>
      </c>
      <c r="M394" s="756">
        <f t="shared" si="65"/>
        <v>5825</v>
      </c>
      <c r="N394" s="756">
        <f t="shared" si="65"/>
        <v>18425</v>
      </c>
      <c r="O394" s="756">
        <f t="shared" si="65"/>
        <v>-11200</v>
      </c>
      <c r="P394" s="756">
        <f>SUM(P371:P393)</f>
        <v>-7946.08</v>
      </c>
      <c r="Q394" s="758">
        <f>Q393</f>
        <v>-18217.81</v>
      </c>
      <c r="R394" s="759"/>
      <c r="S394" s="701"/>
      <c r="T394" s="701"/>
      <c r="U394" s="701"/>
      <c r="V394" s="701"/>
      <c r="W394" s="701"/>
      <c r="X394" s="701"/>
      <c r="Y394" s="701"/>
      <c r="Z394" s="701"/>
      <c r="AA394" s="701"/>
      <c r="AB394" s="701"/>
      <c r="AC394" s="701"/>
      <c r="AD394" s="701"/>
      <c r="AE394" s="701"/>
      <c r="AF394" s="701"/>
      <c r="AG394" s="701"/>
    </row>
    <row r="395" ht="14.25" customHeight="1">
      <c r="B395" s="682" t="s">
        <v>121</v>
      </c>
      <c r="C395" s="683">
        <v>46026.0</v>
      </c>
      <c r="D395" s="685">
        <v>3.0</v>
      </c>
      <c r="E395" s="686">
        <v>5900.0</v>
      </c>
      <c r="F395" s="688"/>
      <c r="G395" s="689"/>
      <c r="H395" s="690"/>
      <c r="I395" s="689"/>
      <c r="J395" s="686">
        <v>2000.0</v>
      </c>
      <c r="K395" s="589">
        <f t="shared" ref="K395:K414" si="66">E395-J395-L395-M395-N395-I395+F395+G395</f>
        <v>0</v>
      </c>
      <c r="L395" s="689"/>
      <c r="M395" s="689"/>
      <c r="N395" s="697">
        <v>3900.0</v>
      </c>
      <c r="O395" s="697">
        <v>-700.0</v>
      </c>
      <c r="P395" s="698"/>
      <c r="Q395" s="696">
        <f t="shared" ref="Q395:Q414" si="67">Q394+N395+O395+P395</f>
        <v>-15017.81</v>
      </c>
      <c r="R395" s="700"/>
    </row>
    <row r="396" ht="14.25" customHeight="1">
      <c r="B396" s="702"/>
      <c r="C396" s="704">
        <v>46118.0</v>
      </c>
      <c r="D396" s="705"/>
      <c r="E396" s="706"/>
      <c r="F396" s="706"/>
      <c r="G396" s="706"/>
      <c r="H396" s="702"/>
      <c r="I396" s="706"/>
      <c r="J396" s="706"/>
      <c r="K396" s="601">
        <f t="shared" si="66"/>
        <v>0</v>
      </c>
      <c r="L396" s="706"/>
      <c r="M396" s="706"/>
      <c r="N396" s="784"/>
      <c r="O396" s="706"/>
      <c r="P396" s="602"/>
      <c r="Q396" s="706">
        <f t="shared" si="67"/>
        <v>-15017.81</v>
      </c>
      <c r="R396" s="705"/>
    </row>
    <row r="397" ht="14.25" customHeight="1">
      <c r="B397" s="690"/>
      <c r="C397" s="683">
        <v>46180.0</v>
      </c>
      <c r="D397" s="685">
        <v>1.0</v>
      </c>
      <c r="E397" s="686">
        <v>2300.0</v>
      </c>
      <c r="F397" s="689"/>
      <c r="G397" s="689"/>
      <c r="H397" s="744"/>
      <c r="I397" s="689"/>
      <c r="J397" s="693">
        <v>1000.0</v>
      </c>
      <c r="K397" s="589">
        <f t="shared" si="66"/>
        <v>0</v>
      </c>
      <c r="L397" s="686"/>
      <c r="M397" s="689"/>
      <c r="N397" s="718">
        <v>1300.0</v>
      </c>
      <c r="O397" s="697">
        <v>-700.0</v>
      </c>
      <c r="P397" s="698"/>
      <c r="Q397" s="696">
        <f t="shared" si="67"/>
        <v>-14417.81</v>
      </c>
      <c r="R397" s="700"/>
    </row>
    <row r="398" ht="14.25" customHeight="1">
      <c r="B398" s="690"/>
      <c r="C398" s="683">
        <v>46211.0</v>
      </c>
      <c r="D398" s="685">
        <v>1.0</v>
      </c>
      <c r="E398" s="686">
        <v>3350.0</v>
      </c>
      <c r="F398" s="689"/>
      <c r="G398" s="689"/>
      <c r="H398" s="690"/>
      <c r="I398" s="689"/>
      <c r="J398" s="693">
        <v>1000.0</v>
      </c>
      <c r="K398" s="589">
        <f t="shared" si="66"/>
        <v>0</v>
      </c>
      <c r="L398" s="688"/>
      <c r="M398" s="689"/>
      <c r="N398" s="718">
        <v>2350.0</v>
      </c>
      <c r="O398" s="697">
        <v>-700.0</v>
      </c>
      <c r="P398" s="752"/>
      <c r="Q398" s="696">
        <f t="shared" si="67"/>
        <v>-12767.81</v>
      </c>
      <c r="R398" s="748"/>
    </row>
    <row r="399" ht="14.25" customHeight="1">
      <c r="B399" s="690"/>
      <c r="C399" s="683">
        <v>46244.0</v>
      </c>
      <c r="D399" s="685">
        <v>2.0</v>
      </c>
      <c r="E399" s="686">
        <v>4500.0</v>
      </c>
      <c r="F399" s="689"/>
      <c r="G399" s="689"/>
      <c r="H399" s="690"/>
      <c r="I399" s="689"/>
      <c r="J399" s="686">
        <v>1500.0</v>
      </c>
      <c r="K399" s="589">
        <f t="shared" si="66"/>
        <v>0</v>
      </c>
      <c r="L399" s="689"/>
      <c r="M399" s="686">
        <v>3000.0</v>
      </c>
      <c r="N399" s="785"/>
      <c r="O399" s="697">
        <v>-700.0</v>
      </c>
      <c r="P399" s="698"/>
      <c r="Q399" s="696">
        <f t="shared" si="67"/>
        <v>-13467.81</v>
      </c>
      <c r="R399" s="700"/>
    </row>
    <row r="400" ht="14.25" customHeight="1">
      <c r="B400" s="702"/>
      <c r="C400" s="704">
        <v>46306.0</v>
      </c>
      <c r="D400" s="705"/>
      <c r="E400" s="706"/>
      <c r="F400" s="706"/>
      <c r="G400" s="706"/>
      <c r="H400" s="702"/>
      <c r="I400" s="706"/>
      <c r="J400" s="706"/>
      <c r="K400" s="601">
        <f t="shared" si="66"/>
        <v>0</v>
      </c>
      <c r="L400" s="706"/>
      <c r="M400" s="706"/>
      <c r="N400" s="784"/>
      <c r="O400" s="706"/>
      <c r="P400" s="602"/>
      <c r="Q400" s="706">
        <f t="shared" si="67"/>
        <v>-13467.81</v>
      </c>
      <c r="R400" s="705"/>
    </row>
    <row r="401" ht="14.25" customHeight="1">
      <c r="B401" s="690"/>
      <c r="C401" s="683">
        <v>46339.0</v>
      </c>
      <c r="D401" s="685">
        <v>2.0</v>
      </c>
      <c r="E401" s="686">
        <v>4000.0</v>
      </c>
      <c r="F401" s="689"/>
      <c r="G401" s="693"/>
      <c r="H401" s="744"/>
      <c r="I401" s="689"/>
      <c r="J401" s="693">
        <v>2000.0</v>
      </c>
      <c r="K401" s="589">
        <f t="shared" si="66"/>
        <v>0</v>
      </c>
      <c r="L401" s="686"/>
      <c r="M401" s="689"/>
      <c r="N401" s="718">
        <v>2000.0</v>
      </c>
      <c r="O401" s="697">
        <v>-700.0</v>
      </c>
      <c r="P401" s="698"/>
      <c r="Q401" s="696">
        <f t="shared" si="67"/>
        <v>-12167.81</v>
      </c>
      <c r="R401" s="700"/>
    </row>
    <row r="402" ht="14.25" customHeight="1">
      <c r="B402" s="690"/>
      <c r="C402" s="685" t="s">
        <v>46</v>
      </c>
      <c r="D402" s="685">
        <v>1.0</v>
      </c>
      <c r="E402" s="686">
        <v>2126.08</v>
      </c>
      <c r="F402" s="693">
        <v>450.0</v>
      </c>
      <c r="G402" s="689"/>
      <c r="H402" s="744"/>
      <c r="I402" s="689"/>
      <c r="J402" s="693"/>
      <c r="K402" s="791">
        <f t="shared" si="66"/>
        <v>450</v>
      </c>
      <c r="L402" s="686">
        <v>2126.08</v>
      </c>
      <c r="M402" s="689"/>
      <c r="N402" s="785"/>
      <c r="O402" s="697">
        <v>-700.0</v>
      </c>
      <c r="P402" s="752">
        <v>450.0</v>
      </c>
      <c r="Q402" s="696">
        <f t="shared" si="67"/>
        <v>-12417.81</v>
      </c>
      <c r="R402" s="700"/>
    </row>
    <row r="403" ht="14.25" customHeight="1">
      <c r="B403" s="690"/>
      <c r="C403" s="685" t="s">
        <v>29</v>
      </c>
      <c r="D403" s="685">
        <v>1.0</v>
      </c>
      <c r="E403" s="686">
        <v>3000.0</v>
      </c>
      <c r="F403" s="689"/>
      <c r="G403" s="689"/>
      <c r="H403" s="744"/>
      <c r="I403" s="689"/>
      <c r="J403" s="693">
        <v>1000.0</v>
      </c>
      <c r="K403" s="589">
        <f t="shared" si="66"/>
        <v>0</v>
      </c>
      <c r="L403" s="686"/>
      <c r="M403" s="689"/>
      <c r="N403" s="718">
        <v>2000.0</v>
      </c>
      <c r="O403" s="697">
        <v>-700.0</v>
      </c>
      <c r="P403" s="698"/>
      <c r="Q403" s="696">
        <f t="shared" si="67"/>
        <v>-11117.81</v>
      </c>
      <c r="R403" s="700"/>
    </row>
    <row r="404" ht="14.25" customHeight="1">
      <c r="B404" s="702"/>
      <c r="C404" s="738" t="s">
        <v>397</v>
      </c>
      <c r="D404" s="705"/>
      <c r="E404" s="706"/>
      <c r="F404" s="706"/>
      <c r="G404" s="706"/>
      <c r="H404" s="702"/>
      <c r="I404" s="706"/>
      <c r="J404" s="706"/>
      <c r="K404" s="601">
        <f t="shared" si="66"/>
        <v>0</v>
      </c>
      <c r="L404" s="706"/>
      <c r="M404" s="706"/>
      <c r="N404" s="784"/>
      <c r="O404" s="706"/>
      <c r="P404" s="602"/>
      <c r="Q404" s="708">
        <f t="shared" si="67"/>
        <v>-11117.81</v>
      </c>
      <c r="R404" s="705"/>
    </row>
    <row r="405" ht="14.25" customHeight="1">
      <c r="B405" s="690"/>
      <c r="C405" s="685" t="s">
        <v>35</v>
      </c>
      <c r="D405" s="685">
        <v>2.0</v>
      </c>
      <c r="E405" s="777">
        <v>5000.0</v>
      </c>
      <c r="F405" s="688"/>
      <c r="G405" s="689"/>
      <c r="H405" s="690"/>
      <c r="I405" s="689"/>
      <c r="J405" s="686">
        <v>1500.0</v>
      </c>
      <c r="K405" s="589">
        <f t="shared" si="66"/>
        <v>0</v>
      </c>
      <c r="L405" s="689"/>
      <c r="M405" s="686">
        <v>3500.0</v>
      </c>
      <c r="N405" s="785"/>
      <c r="O405" s="697">
        <v>-700.0</v>
      </c>
      <c r="P405" s="698"/>
      <c r="Q405" s="696">
        <f t="shared" si="67"/>
        <v>-11817.81</v>
      </c>
      <c r="R405" s="700"/>
    </row>
    <row r="406" ht="14.25" customHeight="1">
      <c r="B406" s="690"/>
      <c r="C406" s="685" t="s">
        <v>70</v>
      </c>
      <c r="D406" s="685">
        <v>2.0</v>
      </c>
      <c r="E406" s="686">
        <v>4000.0</v>
      </c>
      <c r="F406" s="688"/>
      <c r="G406" s="689"/>
      <c r="H406" s="744"/>
      <c r="I406" s="689"/>
      <c r="J406" s="686">
        <v>1500.0</v>
      </c>
      <c r="K406" s="589">
        <f t="shared" si="66"/>
        <v>0</v>
      </c>
      <c r="L406" s="693"/>
      <c r="M406" s="693">
        <v>2500.0</v>
      </c>
      <c r="N406" s="786"/>
      <c r="O406" s="697">
        <v>-700.0</v>
      </c>
      <c r="P406" s="698"/>
      <c r="Q406" s="696">
        <f t="shared" si="67"/>
        <v>-12517.81</v>
      </c>
      <c r="R406" s="700"/>
    </row>
    <row r="407" ht="14.25" customHeight="1">
      <c r="B407" s="702"/>
      <c r="C407" s="738" t="s">
        <v>71</v>
      </c>
      <c r="D407" s="705"/>
      <c r="E407" s="706"/>
      <c r="F407" s="706"/>
      <c r="G407" s="706"/>
      <c r="H407" s="702"/>
      <c r="I407" s="706"/>
      <c r="J407" s="706"/>
      <c r="K407" s="601">
        <f t="shared" si="66"/>
        <v>0</v>
      </c>
      <c r="L407" s="706"/>
      <c r="M407" s="706"/>
      <c r="N407" s="784"/>
      <c r="O407" s="706"/>
      <c r="P407" s="602"/>
      <c r="Q407" s="708">
        <f t="shared" si="67"/>
        <v>-12517.81</v>
      </c>
      <c r="R407" s="705"/>
    </row>
    <row r="408" ht="14.25" customHeight="1">
      <c r="B408" s="690"/>
      <c r="C408" s="685" t="s">
        <v>47</v>
      </c>
      <c r="D408" s="685">
        <v>1.0</v>
      </c>
      <c r="E408" s="686">
        <v>2000.0</v>
      </c>
      <c r="F408" s="689"/>
      <c r="G408" s="689"/>
      <c r="H408" s="690"/>
      <c r="I408" s="689"/>
      <c r="J408" s="686">
        <v>1000.0</v>
      </c>
      <c r="K408" s="589">
        <f t="shared" si="66"/>
        <v>0</v>
      </c>
      <c r="L408" s="689"/>
      <c r="M408" s="688"/>
      <c r="N408" s="718">
        <v>1000.0</v>
      </c>
      <c r="O408" s="697">
        <v>-700.0</v>
      </c>
      <c r="P408" s="698"/>
      <c r="Q408" s="696">
        <f t="shared" si="67"/>
        <v>-12217.81</v>
      </c>
      <c r="R408" s="700"/>
    </row>
    <row r="409" ht="14.25" customHeight="1">
      <c r="B409" s="690"/>
      <c r="C409" s="685" t="s">
        <v>72</v>
      </c>
      <c r="D409" s="685">
        <v>1.0</v>
      </c>
      <c r="E409" s="686">
        <v>2416.0</v>
      </c>
      <c r="F409" s="689"/>
      <c r="G409" s="689"/>
      <c r="H409" s="690"/>
      <c r="I409" s="689"/>
      <c r="J409" s="686"/>
      <c r="K409" s="589">
        <f t="shared" si="66"/>
        <v>0</v>
      </c>
      <c r="L409" s="693">
        <v>2416.0</v>
      </c>
      <c r="M409" s="688"/>
      <c r="N409" s="785"/>
      <c r="O409" s="697">
        <v>-700.0</v>
      </c>
      <c r="P409" s="698"/>
      <c r="Q409" s="696">
        <f t="shared" si="67"/>
        <v>-12917.81</v>
      </c>
      <c r="R409" s="700"/>
    </row>
    <row r="410" ht="14.25" customHeight="1">
      <c r="B410" s="690"/>
      <c r="C410" s="685" t="s">
        <v>73</v>
      </c>
      <c r="D410" s="685">
        <v>1.0</v>
      </c>
      <c r="E410" s="686">
        <v>3000.0</v>
      </c>
      <c r="F410" s="688"/>
      <c r="G410" s="689"/>
      <c r="H410" s="744"/>
      <c r="I410" s="688"/>
      <c r="J410" s="693">
        <v>1000.0</v>
      </c>
      <c r="K410" s="589">
        <f t="shared" si="66"/>
        <v>0</v>
      </c>
      <c r="L410" s="689"/>
      <c r="M410" s="689"/>
      <c r="N410" s="786">
        <v>2000.0</v>
      </c>
      <c r="O410" s="697">
        <v>-700.0</v>
      </c>
      <c r="P410" s="698"/>
      <c r="Q410" s="696">
        <f t="shared" si="67"/>
        <v>-11617.81</v>
      </c>
      <c r="R410" s="700"/>
    </row>
    <row r="411" ht="14.25" customHeight="1">
      <c r="B411" s="702"/>
      <c r="C411" s="738" t="s">
        <v>167</v>
      </c>
      <c r="D411" s="705"/>
      <c r="E411" s="706"/>
      <c r="F411" s="706"/>
      <c r="G411" s="706"/>
      <c r="H411" s="702"/>
      <c r="I411" s="706"/>
      <c r="J411" s="706"/>
      <c r="K411" s="601">
        <f t="shared" si="66"/>
        <v>0</v>
      </c>
      <c r="L411" s="706"/>
      <c r="M411" s="706"/>
      <c r="N411" s="784"/>
      <c r="O411" s="706"/>
      <c r="P411" s="602"/>
      <c r="Q411" s="708">
        <f t="shared" si="67"/>
        <v>-11617.81</v>
      </c>
      <c r="R411" s="705"/>
    </row>
    <row r="412" ht="14.25" customHeight="1">
      <c r="B412" s="690"/>
      <c r="C412" s="770"/>
      <c r="D412" s="770"/>
      <c r="E412" s="688"/>
      <c r="F412" s="689"/>
      <c r="G412" s="689"/>
      <c r="H412" s="690"/>
      <c r="I412" s="689"/>
      <c r="J412" s="688"/>
      <c r="K412" s="589">
        <f t="shared" si="66"/>
        <v>0</v>
      </c>
      <c r="L412" s="689"/>
      <c r="M412" s="689"/>
      <c r="N412" s="795"/>
      <c r="O412" s="696"/>
      <c r="P412" s="752">
        <v>-5753.7</v>
      </c>
      <c r="Q412" s="696">
        <f t="shared" si="67"/>
        <v>-17371.51</v>
      </c>
      <c r="R412" s="748" t="s">
        <v>208</v>
      </c>
    </row>
    <row r="413" ht="14.25" customHeight="1">
      <c r="B413" s="690"/>
      <c r="C413" s="753"/>
      <c r="D413" s="753"/>
      <c r="E413" s="689"/>
      <c r="F413" s="689"/>
      <c r="G413" s="689"/>
      <c r="H413" s="690"/>
      <c r="I413" s="689"/>
      <c r="J413" s="689"/>
      <c r="K413" s="589">
        <f t="shared" si="66"/>
        <v>0</v>
      </c>
      <c r="L413" s="689"/>
      <c r="M413" s="689"/>
      <c r="N413" s="796"/>
      <c r="O413" s="722"/>
      <c r="P413" s="752">
        <v>-2206.42</v>
      </c>
      <c r="Q413" s="696">
        <f t="shared" si="67"/>
        <v>-19577.93</v>
      </c>
      <c r="R413" s="748" t="s">
        <v>55</v>
      </c>
    </row>
    <row r="414" ht="14.25" customHeight="1">
      <c r="B414" s="690"/>
      <c r="C414" s="753"/>
      <c r="D414" s="753"/>
      <c r="E414" s="689"/>
      <c r="F414" s="689"/>
      <c r="G414" s="689"/>
      <c r="H414" s="690"/>
      <c r="I414" s="689"/>
      <c r="J414" s="689"/>
      <c r="K414" s="589">
        <f t="shared" si="66"/>
        <v>0</v>
      </c>
      <c r="L414" s="689"/>
      <c r="M414" s="689"/>
      <c r="N414" s="796"/>
      <c r="O414" s="722"/>
      <c r="P414" s="752">
        <v>-500.0</v>
      </c>
      <c r="Q414" s="696">
        <f t="shared" si="67"/>
        <v>-20077.93</v>
      </c>
      <c r="R414" s="748" t="s">
        <v>399</v>
      </c>
    </row>
    <row r="415" ht="14.25" customHeight="1">
      <c r="A415" s="701"/>
      <c r="B415" s="754" t="s">
        <v>121</v>
      </c>
      <c r="C415" s="755" t="s">
        <v>80</v>
      </c>
      <c r="D415" s="755">
        <f>sum(D395:D414)</f>
        <v>18</v>
      </c>
      <c r="E415" s="756">
        <f t="shared" ref="E415:O415" si="68">SUM(E395:E414)</f>
        <v>41592.08</v>
      </c>
      <c r="F415" s="756">
        <f t="shared" si="68"/>
        <v>450</v>
      </c>
      <c r="G415" s="756">
        <f t="shared" si="68"/>
        <v>0</v>
      </c>
      <c r="H415" s="756">
        <f t="shared" si="68"/>
        <v>0</v>
      </c>
      <c r="I415" s="756">
        <f t="shared" si="68"/>
        <v>0</v>
      </c>
      <c r="J415" s="756">
        <f t="shared" si="68"/>
        <v>13500</v>
      </c>
      <c r="K415" s="757">
        <f t="shared" si="68"/>
        <v>450</v>
      </c>
      <c r="L415" s="756">
        <f t="shared" si="68"/>
        <v>4542.08</v>
      </c>
      <c r="M415" s="756">
        <f t="shared" si="68"/>
        <v>9000</v>
      </c>
      <c r="N415" s="756">
        <f t="shared" si="68"/>
        <v>14550</v>
      </c>
      <c r="O415" s="756">
        <f t="shared" si="68"/>
        <v>-8400</v>
      </c>
      <c r="P415" s="756">
        <f>SUM(P396:P414)</f>
        <v>-8010.12</v>
      </c>
      <c r="Q415" s="758">
        <f>Q414</f>
        <v>-20077.93</v>
      </c>
      <c r="R415" s="759"/>
      <c r="S415" s="701"/>
      <c r="T415" s="701"/>
      <c r="U415" s="701"/>
      <c r="V415" s="701"/>
      <c r="W415" s="701"/>
      <c r="X415" s="701"/>
      <c r="Y415" s="701"/>
      <c r="Z415" s="701"/>
      <c r="AA415" s="701"/>
      <c r="AB415" s="701"/>
      <c r="AC415" s="701"/>
      <c r="AD415" s="701"/>
      <c r="AE415" s="701"/>
      <c r="AF415" s="701"/>
      <c r="AG415" s="701"/>
    </row>
    <row r="416" ht="14.25" customHeight="1">
      <c r="C416" s="637"/>
      <c r="D416" s="484"/>
      <c r="E416" s="485"/>
      <c r="F416" s="485"/>
      <c r="G416" s="485"/>
      <c r="I416" s="485"/>
      <c r="J416" s="485"/>
      <c r="K416" s="485"/>
      <c r="L416" s="485"/>
      <c r="M416" s="485"/>
      <c r="N416" s="797"/>
      <c r="O416" s="797"/>
      <c r="P416" s="798"/>
      <c r="Q416" s="799"/>
      <c r="R416" s="799"/>
    </row>
    <row r="417" ht="14.25" customHeight="1">
      <c r="B417" s="682" t="s">
        <v>132</v>
      </c>
      <c r="C417" s="683">
        <v>46025.0</v>
      </c>
      <c r="D417" s="685">
        <v>2.0</v>
      </c>
      <c r="E417" s="686">
        <v>3768.96</v>
      </c>
      <c r="F417" s="688"/>
      <c r="G417" s="689"/>
      <c r="H417" s="690"/>
      <c r="I417" s="686"/>
      <c r="J417" s="686"/>
      <c r="K417" s="589">
        <f t="shared" ref="K417:K430" si="69">E417-J417-L417-M417-N417-I417+F417+G417</f>
        <v>0</v>
      </c>
      <c r="L417" s="686">
        <v>3768.96</v>
      </c>
      <c r="M417" s="689"/>
      <c r="N417" s="697"/>
      <c r="O417" s="697">
        <v>-700.0</v>
      </c>
      <c r="P417" s="698"/>
      <c r="Q417" s="696">
        <f t="shared" ref="Q417:Q441" si="70">Q416+N417+O417+P417</f>
        <v>-700</v>
      </c>
      <c r="R417" s="700"/>
    </row>
    <row r="418" ht="14.25" customHeight="1">
      <c r="B418" s="690"/>
      <c r="C418" s="683">
        <v>46085.0</v>
      </c>
      <c r="D418" s="685">
        <v>1.0</v>
      </c>
      <c r="E418" s="686">
        <v>3350.0</v>
      </c>
      <c r="F418" s="689"/>
      <c r="G418" s="689"/>
      <c r="H418" s="744"/>
      <c r="I418" s="693">
        <v>1000.0</v>
      </c>
      <c r="J418" s="693"/>
      <c r="K418" s="589">
        <f t="shared" si="69"/>
        <v>0</v>
      </c>
      <c r="L418" s="686"/>
      <c r="M418" s="800"/>
      <c r="N418" s="718">
        <v>2350.0</v>
      </c>
      <c r="O418" s="697">
        <v>-700.0</v>
      </c>
      <c r="P418" s="698"/>
      <c r="Q418" s="696">
        <f t="shared" si="70"/>
        <v>950</v>
      </c>
      <c r="R418" s="700"/>
      <c r="T418" s="174" t="s">
        <v>400</v>
      </c>
      <c r="U418" s="174" t="s">
        <v>178</v>
      </c>
    </row>
    <row r="419" ht="14.25" customHeight="1">
      <c r="B419" s="690"/>
      <c r="C419" s="683">
        <v>46117.0</v>
      </c>
      <c r="D419" s="685">
        <v>1.0</v>
      </c>
      <c r="E419" s="686">
        <v>3000.0</v>
      </c>
      <c r="F419" s="689"/>
      <c r="G419" s="689"/>
      <c r="H419" s="744"/>
      <c r="I419" s="693">
        <v>1000.0</v>
      </c>
      <c r="J419" s="693"/>
      <c r="K419" s="589">
        <f t="shared" si="69"/>
        <v>0</v>
      </c>
      <c r="L419" s="686"/>
      <c r="M419" s="689"/>
      <c r="N419" s="718">
        <v>2000.0</v>
      </c>
      <c r="O419" s="697">
        <v>-700.0</v>
      </c>
      <c r="P419" s="698"/>
      <c r="Q419" s="696">
        <f t="shared" si="70"/>
        <v>2250</v>
      </c>
      <c r="R419" s="700"/>
      <c r="T419" s="174" t="s">
        <v>115</v>
      </c>
    </row>
    <row r="420" ht="14.25" customHeight="1">
      <c r="B420" s="690"/>
      <c r="C420" s="683">
        <v>46148.0</v>
      </c>
      <c r="D420" s="685">
        <v>1.0</v>
      </c>
      <c r="E420" s="686">
        <v>2500.0</v>
      </c>
      <c r="F420" s="689"/>
      <c r="G420" s="689"/>
      <c r="H420" s="690"/>
      <c r="I420" s="693">
        <v>1000.0</v>
      </c>
      <c r="J420" s="693"/>
      <c r="K420" s="589">
        <f t="shared" si="69"/>
        <v>0</v>
      </c>
      <c r="L420" s="688"/>
      <c r="M420" s="689"/>
      <c r="N420" s="718">
        <v>1500.0</v>
      </c>
      <c r="O420" s="697">
        <v>-700.0</v>
      </c>
      <c r="P420" s="752"/>
      <c r="Q420" s="696">
        <f t="shared" si="70"/>
        <v>3050</v>
      </c>
      <c r="R420" s="748"/>
    </row>
    <row r="421" ht="14.25" customHeight="1">
      <c r="B421" s="690"/>
      <c r="C421" s="683">
        <v>46181.0</v>
      </c>
      <c r="D421" s="685">
        <v>2.0</v>
      </c>
      <c r="E421" s="686">
        <v>3382.4</v>
      </c>
      <c r="F421" s="689"/>
      <c r="G421" s="689"/>
      <c r="H421" s="690"/>
      <c r="I421" s="689"/>
      <c r="J421" s="686"/>
      <c r="K421" s="589">
        <f t="shared" si="69"/>
        <v>0</v>
      </c>
      <c r="L421" s="686">
        <v>3382.4</v>
      </c>
      <c r="M421" s="686"/>
      <c r="N421" s="785"/>
      <c r="O421" s="697">
        <v>-700.0</v>
      </c>
      <c r="P421" s="698"/>
      <c r="Q421" s="696">
        <f t="shared" si="70"/>
        <v>2350</v>
      </c>
      <c r="R421" s="700"/>
    </row>
    <row r="422" ht="14.25" customHeight="1">
      <c r="B422" s="702"/>
      <c r="C422" s="704">
        <v>46243.0</v>
      </c>
      <c r="D422" s="705"/>
      <c r="E422" s="706"/>
      <c r="F422" s="706"/>
      <c r="G422" s="706"/>
      <c r="H422" s="702"/>
      <c r="I422" s="706"/>
      <c r="J422" s="706"/>
      <c r="K422" s="601">
        <f t="shared" si="69"/>
        <v>0</v>
      </c>
      <c r="L422" s="706"/>
      <c r="M422" s="706"/>
      <c r="N422" s="784"/>
      <c r="O422" s="706"/>
      <c r="P422" s="602"/>
      <c r="Q422" s="706">
        <f t="shared" si="70"/>
        <v>2350</v>
      </c>
      <c r="R422" s="705"/>
    </row>
    <row r="423" ht="14.25" customHeight="1">
      <c r="B423" s="690"/>
      <c r="C423" s="683">
        <v>46276.0</v>
      </c>
      <c r="D423" s="685">
        <v>2.0</v>
      </c>
      <c r="E423" s="686">
        <v>4000.0</v>
      </c>
      <c r="F423" s="689"/>
      <c r="G423" s="693"/>
      <c r="H423" s="744"/>
      <c r="I423" s="693">
        <v>1500.0</v>
      </c>
      <c r="J423" s="693"/>
      <c r="K423" s="589">
        <f t="shared" si="69"/>
        <v>0</v>
      </c>
      <c r="L423" s="686"/>
      <c r="M423" s="689"/>
      <c r="N423" s="718">
        <v>2500.0</v>
      </c>
      <c r="O423" s="697">
        <v>-700.0</v>
      </c>
      <c r="P423" s="698"/>
      <c r="Q423" s="696">
        <f t="shared" si="70"/>
        <v>4150</v>
      </c>
      <c r="R423" s="700"/>
    </row>
    <row r="424" ht="14.25" customHeight="1">
      <c r="B424" s="690"/>
      <c r="C424" s="683">
        <v>46339.0</v>
      </c>
      <c r="D424" s="685">
        <v>3.0</v>
      </c>
      <c r="E424" s="686">
        <v>5000.0</v>
      </c>
      <c r="F424" s="693"/>
      <c r="G424" s="689"/>
      <c r="H424" s="744"/>
      <c r="I424" s="693">
        <v>1500.0</v>
      </c>
      <c r="J424" s="693"/>
      <c r="K424" s="791">
        <f t="shared" si="69"/>
        <v>0</v>
      </c>
      <c r="L424" s="686"/>
      <c r="M424" s="693">
        <v>3500.0</v>
      </c>
      <c r="N424" s="718"/>
      <c r="O424" s="697">
        <v>-700.0</v>
      </c>
      <c r="P424" s="752"/>
      <c r="Q424" s="696">
        <f t="shared" si="70"/>
        <v>3450</v>
      </c>
      <c r="R424" s="700"/>
    </row>
    <row r="425" ht="14.25" customHeight="1">
      <c r="B425" s="690"/>
      <c r="C425" s="685" t="s">
        <v>246</v>
      </c>
      <c r="D425" s="685">
        <v>3.0</v>
      </c>
      <c r="E425" s="686">
        <f>2675+4575</f>
        <v>7250</v>
      </c>
      <c r="F425" s="689"/>
      <c r="G425" s="689"/>
      <c r="H425" s="744"/>
      <c r="I425" s="693">
        <v>2675.0</v>
      </c>
      <c r="J425" s="693"/>
      <c r="K425" s="589">
        <f t="shared" si="69"/>
        <v>0</v>
      </c>
      <c r="L425" s="686"/>
      <c r="M425" s="693">
        <v>4575.0</v>
      </c>
      <c r="N425" s="718"/>
      <c r="O425" s="697">
        <v>-700.0</v>
      </c>
      <c r="P425" s="698"/>
      <c r="Q425" s="696">
        <f t="shared" si="70"/>
        <v>2750</v>
      </c>
      <c r="R425" s="700"/>
    </row>
    <row r="426" ht="14.25" customHeight="1">
      <c r="B426" s="690"/>
      <c r="C426" s="685" t="s">
        <v>31</v>
      </c>
      <c r="D426" s="685">
        <v>1.0</v>
      </c>
      <c r="E426" s="777">
        <v>2000.0</v>
      </c>
      <c r="F426" s="688"/>
      <c r="G426" s="689"/>
      <c r="H426" s="690"/>
      <c r="I426" s="693">
        <v>1000.0</v>
      </c>
      <c r="J426" s="686"/>
      <c r="K426" s="589">
        <f t="shared" si="69"/>
        <v>0</v>
      </c>
      <c r="L426" s="689"/>
      <c r="M426" s="686"/>
      <c r="N426" s="718">
        <v>1000.0</v>
      </c>
      <c r="O426" s="697">
        <v>-700.0</v>
      </c>
      <c r="P426" s="698"/>
      <c r="Q426" s="696">
        <f t="shared" si="70"/>
        <v>3050</v>
      </c>
      <c r="R426" s="700"/>
    </row>
    <row r="427" ht="14.25" customHeight="1">
      <c r="B427" s="690"/>
      <c r="C427" s="685" t="s">
        <v>32</v>
      </c>
      <c r="D427" s="685">
        <v>1.0</v>
      </c>
      <c r="E427" s="777">
        <v>2250.0</v>
      </c>
      <c r="F427" s="688"/>
      <c r="G427" s="689"/>
      <c r="H427" s="690"/>
      <c r="I427" s="693">
        <v>1000.0</v>
      </c>
      <c r="J427" s="686"/>
      <c r="K427" s="589">
        <f t="shared" si="69"/>
        <v>0</v>
      </c>
      <c r="L427" s="689"/>
      <c r="M427" s="686">
        <v>1250.0</v>
      </c>
      <c r="N427" s="718"/>
      <c r="O427" s="697">
        <v>-700.0</v>
      </c>
      <c r="P427" s="698"/>
      <c r="Q427" s="696">
        <f t="shared" si="70"/>
        <v>2350</v>
      </c>
      <c r="R427" s="700"/>
    </row>
    <row r="428" ht="14.25" customHeight="1">
      <c r="B428" s="690"/>
      <c r="C428" s="685" t="s">
        <v>33</v>
      </c>
      <c r="D428" s="685">
        <v>1.0</v>
      </c>
      <c r="E428" s="686">
        <v>3150.0</v>
      </c>
      <c r="F428" s="688"/>
      <c r="G428" s="689"/>
      <c r="H428" s="744"/>
      <c r="I428" s="689"/>
      <c r="J428" s="686"/>
      <c r="K428" s="589">
        <f t="shared" si="69"/>
        <v>0</v>
      </c>
      <c r="L428" s="693"/>
      <c r="M428" s="693"/>
      <c r="N428" s="718">
        <v>3150.0</v>
      </c>
      <c r="O428" s="697">
        <v>-700.0</v>
      </c>
      <c r="P428" s="698"/>
      <c r="Q428" s="696">
        <f t="shared" si="70"/>
        <v>4800</v>
      </c>
      <c r="R428" s="748" t="s">
        <v>182</v>
      </c>
    </row>
    <row r="429" ht="14.25" customHeight="1">
      <c r="B429" s="702"/>
      <c r="C429" s="738" t="s">
        <v>64</v>
      </c>
      <c r="D429" s="705"/>
      <c r="E429" s="706"/>
      <c r="F429" s="706"/>
      <c r="G429" s="706"/>
      <c r="H429" s="702"/>
      <c r="I429" s="706"/>
      <c r="J429" s="706"/>
      <c r="K429" s="601">
        <f t="shared" si="69"/>
        <v>0</v>
      </c>
      <c r="L429" s="706"/>
      <c r="M429" s="706"/>
      <c r="N429" s="784"/>
      <c r="O429" s="706"/>
      <c r="P429" s="602"/>
      <c r="Q429" s="708">
        <f t="shared" si="70"/>
        <v>4800</v>
      </c>
      <c r="R429" s="705"/>
    </row>
    <row r="430" ht="14.25" customHeight="1">
      <c r="B430" s="690"/>
      <c r="C430" s="685" t="s">
        <v>78</v>
      </c>
      <c r="D430" s="685">
        <v>2.0</v>
      </c>
      <c r="E430" s="686">
        <v>3500.0</v>
      </c>
      <c r="F430" s="689"/>
      <c r="G430" s="689"/>
      <c r="H430" s="690"/>
      <c r="I430" s="693">
        <v>1500.0</v>
      </c>
      <c r="J430" s="686"/>
      <c r="K430" s="589">
        <f t="shared" si="69"/>
        <v>0</v>
      </c>
      <c r="L430" s="689"/>
      <c r="M430" s="688"/>
      <c r="N430" s="718">
        <v>2000.0</v>
      </c>
      <c r="O430" s="697">
        <v>-700.0</v>
      </c>
      <c r="P430" s="698"/>
      <c r="Q430" s="696">
        <f t="shared" si="70"/>
        <v>6100</v>
      </c>
      <c r="R430" s="700"/>
    </row>
    <row r="431" ht="14.25" customHeight="1">
      <c r="B431" s="702"/>
      <c r="C431" s="738" t="s">
        <v>41</v>
      </c>
      <c r="D431" s="705"/>
      <c r="E431" s="706"/>
      <c r="F431" s="706"/>
      <c r="G431" s="706"/>
      <c r="H431" s="702"/>
      <c r="I431" s="706"/>
      <c r="J431" s="706"/>
      <c r="K431" s="601"/>
      <c r="L431" s="706"/>
      <c r="M431" s="706"/>
      <c r="N431" s="784"/>
      <c r="O431" s="706"/>
      <c r="P431" s="630"/>
      <c r="Q431" s="708">
        <f t="shared" si="70"/>
        <v>6100</v>
      </c>
      <c r="R431" s="711"/>
    </row>
    <row r="432" ht="14.25" customHeight="1">
      <c r="B432" s="690"/>
      <c r="C432" s="685" t="s">
        <v>71</v>
      </c>
      <c r="D432" s="685">
        <v>2.0</v>
      </c>
      <c r="E432" s="686">
        <v>5200.0</v>
      </c>
      <c r="F432" s="688"/>
      <c r="G432" s="689"/>
      <c r="H432" s="744"/>
      <c r="I432" s="686">
        <v>1500.0</v>
      </c>
      <c r="J432" s="693"/>
      <c r="K432" s="589">
        <f t="shared" ref="K432:K433" si="71">E432-J432-L432-M432-N432-I432+F432+G432</f>
        <v>0</v>
      </c>
      <c r="L432" s="689"/>
      <c r="M432" s="689"/>
      <c r="N432" s="718">
        <v>3700.0</v>
      </c>
      <c r="O432" s="697">
        <v>-700.0</v>
      </c>
      <c r="P432" s="698"/>
      <c r="Q432" s="696">
        <f t="shared" si="70"/>
        <v>9100</v>
      </c>
      <c r="R432" s="700"/>
    </row>
    <row r="433" ht="14.25" customHeight="1">
      <c r="B433" s="690"/>
      <c r="C433" s="685" t="s">
        <v>47</v>
      </c>
      <c r="D433" s="685">
        <v>1.0</v>
      </c>
      <c r="E433" s="686">
        <v>2750.0</v>
      </c>
      <c r="F433" s="688"/>
      <c r="G433" s="689"/>
      <c r="H433" s="744"/>
      <c r="I433" s="686">
        <v>1000.0</v>
      </c>
      <c r="J433" s="693"/>
      <c r="K433" s="589">
        <f t="shared" si="71"/>
        <v>0</v>
      </c>
      <c r="L433" s="689"/>
      <c r="M433" s="689"/>
      <c r="N433" s="718">
        <v>1750.0</v>
      </c>
      <c r="O433" s="697">
        <v>-700.0</v>
      </c>
      <c r="P433" s="698"/>
      <c r="Q433" s="696">
        <f t="shared" si="70"/>
        <v>10150</v>
      </c>
      <c r="R433" s="700"/>
    </row>
    <row r="434" ht="14.25" customHeight="1">
      <c r="B434" s="690"/>
      <c r="C434" s="685" t="s">
        <v>72</v>
      </c>
      <c r="D434" s="685">
        <v>1.0</v>
      </c>
      <c r="E434" s="686">
        <v>2000.0</v>
      </c>
      <c r="F434" s="689"/>
      <c r="G434" s="689"/>
      <c r="H434" s="690"/>
      <c r="I434" s="693"/>
      <c r="J434" s="688"/>
      <c r="K434" s="589"/>
      <c r="L434" s="689"/>
      <c r="M434" s="689"/>
      <c r="N434" s="718">
        <v>1000.0</v>
      </c>
      <c r="O434" s="697">
        <v>-700.0</v>
      </c>
      <c r="P434" s="752"/>
      <c r="Q434" s="696">
        <f t="shared" si="70"/>
        <v>10450</v>
      </c>
      <c r="R434" s="748"/>
    </row>
    <row r="435" ht="14.25" customHeight="1">
      <c r="B435" s="702"/>
      <c r="C435" s="738" t="s">
        <v>88</v>
      </c>
      <c r="D435" s="705"/>
      <c r="E435" s="706"/>
      <c r="F435" s="706"/>
      <c r="G435" s="706"/>
      <c r="H435" s="702"/>
      <c r="I435" s="706"/>
      <c r="J435" s="706"/>
      <c r="K435" s="601"/>
      <c r="L435" s="706"/>
      <c r="M435" s="706"/>
      <c r="N435" s="784"/>
      <c r="O435" s="706"/>
      <c r="P435" s="630"/>
      <c r="Q435" s="708">
        <f t="shared" si="70"/>
        <v>10450</v>
      </c>
      <c r="R435" s="711"/>
    </row>
    <row r="436" ht="14.25" customHeight="1">
      <c r="B436" s="690"/>
      <c r="C436" s="685" t="s">
        <v>50</v>
      </c>
      <c r="D436" s="685">
        <v>1.0</v>
      </c>
      <c r="E436" s="686">
        <v>2000.0</v>
      </c>
      <c r="F436" s="689"/>
      <c r="G436" s="689"/>
      <c r="H436" s="690"/>
      <c r="I436" s="693">
        <v>1500.0</v>
      </c>
      <c r="J436" s="688"/>
      <c r="K436" s="589">
        <f>E436-J436-L436-M436-N436-I436+F436+G436</f>
        <v>0</v>
      </c>
      <c r="L436" s="689"/>
      <c r="M436" s="689"/>
      <c r="N436" s="718">
        <v>500.0</v>
      </c>
      <c r="O436" s="697">
        <v>-700.0</v>
      </c>
      <c r="P436" s="752"/>
      <c r="Q436" s="696">
        <f t="shared" si="70"/>
        <v>10250</v>
      </c>
      <c r="R436" s="748"/>
    </row>
    <row r="437" ht="14.25" customHeight="1">
      <c r="B437" s="690"/>
      <c r="C437" s="770"/>
      <c r="D437" s="770"/>
      <c r="E437" s="688"/>
      <c r="F437" s="689"/>
      <c r="G437" s="689"/>
      <c r="H437" s="690"/>
      <c r="I437" s="689"/>
      <c r="J437" s="688"/>
      <c r="K437" s="589"/>
      <c r="L437" s="689"/>
      <c r="M437" s="689"/>
      <c r="N437" s="718"/>
      <c r="O437" s="696"/>
      <c r="P437" s="752">
        <v>-939.75</v>
      </c>
      <c r="Q437" s="696">
        <f t="shared" si="70"/>
        <v>9310.25</v>
      </c>
      <c r="R437" s="748" t="s">
        <v>177</v>
      </c>
    </row>
    <row r="438" ht="14.25" customHeight="1">
      <c r="B438" s="690"/>
      <c r="C438" s="770"/>
      <c r="D438" s="770"/>
      <c r="E438" s="688"/>
      <c r="F438" s="689"/>
      <c r="G438" s="689"/>
      <c r="H438" s="690"/>
      <c r="I438" s="689"/>
      <c r="J438" s="688"/>
      <c r="K438" s="589"/>
      <c r="L438" s="689"/>
      <c r="M438" s="689"/>
      <c r="N438" s="718"/>
      <c r="O438" s="696"/>
      <c r="P438" s="752"/>
      <c r="Q438" s="696">
        <f t="shared" si="70"/>
        <v>9310.25</v>
      </c>
      <c r="R438" s="748" t="s">
        <v>401</v>
      </c>
    </row>
    <row r="439" ht="14.25" customHeight="1">
      <c r="B439" s="690"/>
      <c r="C439" s="770"/>
      <c r="D439" s="770"/>
      <c r="E439" s="688"/>
      <c r="F439" s="689"/>
      <c r="G439" s="689"/>
      <c r="H439" s="690"/>
      <c r="I439" s="689"/>
      <c r="J439" s="688"/>
      <c r="K439" s="589">
        <f t="shared" ref="K439:K441" si="72">E439-J439-L439-M439-N439-I439+F439+G439</f>
        <v>0</v>
      </c>
      <c r="L439" s="689"/>
      <c r="M439" s="689"/>
      <c r="N439" s="795"/>
      <c r="O439" s="696"/>
      <c r="P439" s="752">
        <v>-5677.7</v>
      </c>
      <c r="Q439" s="696">
        <f t="shared" si="70"/>
        <v>3632.55</v>
      </c>
      <c r="R439" s="748" t="s">
        <v>208</v>
      </c>
    </row>
    <row r="440" ht="14.25" customHeight="1">
      <c r="B440" s="690"/>
      <c r="C440" s="753"/>
      <c r="D440" s="753"/>
      <c r="E440" s="689"/>
      <c r="F440" s="689"/>
      <c r="G440" s="689"/>
      <c r="H440" s="690"/>
      <c r="I440" s="689"/>
      <c r="J440" s="689"/>
      <c r="K440" s="589">
        <f t="shared" si="72"/>
        <v>0</v>
      </c>
      <c r="L440" s="689"/>
      <c r="M440" s="689"/>
      <c r="N440" s="796"/>
      <c r="O440" s="722"/>
      <c r="P440" s="752">
        <v>-2305.69</v>
      </c>
      <c r="Q440" s="696">
        <f t="shared" si="70"/>
        <v>1326.86</v>
      </c>
      <c r="R440" s="748" t="s">
        <v>55</v>
      </c>
    </row>
    <row r="441" ht="14.25" customHeight="1">
      <c r="B441" s="690"/>
      <c r="C441" s="753"/>
      <c r="D441" s="753"/>
      <c r="E441" s="689"/>
      <c r="F441" s="689"/>
      <c r="G441" s="689"/>
      <c r="H441" s="690"/>
      <c r="I441" s="689"/>
      <c r="J441" s="689"/>
      <c r="K441" s="589">
        <f t="shared" si="72"/>
        <v>0</v>
      </c>
      <c r="L441" s="689"/>
      <c r="M441" s="689"/>
      <c r="N441" s="796"/>
      <c r="O441" s="722"/>
      <c r="P441" s="752">
        <v>-500.0</v>
      </c>
      <c r="Q441" s="696">
        <f t="shared" si="70"/>
        <v>826.86</v>
      </c>
      <c r="R441" s="748" t="s">
        <v>402</v>
      </c>
    </row>
    <row r="442" ht="14.25" customHeight="1">
      <c r="A442" s="701"/>
      <c r="B442" s="754" t="s">
        <v>132</v>
      </c>
      <c r="C442" s="755" t="s">
        <v>80</v>
      </c>
      <c r="D442" s="755">
        <f>sum(D417:D441)</f>
        <v>25</v>
      </c>
      <c r="E442" s="756">
        <f t="shared" ref="E442:O442" si="73">SUM(E417:E441)</f>
        <v>55101.36</v>
      </c>
      <c r="F442" s="756">
        <f t="shared" si="73"/>
        <v>0</v>
      </c>
      <c r="G442" s="756">
        <f t="shared" si="73"/>
        <v>0</v>
      </c>
      <c r="H442" s="756">
        <f t="shared" si="73"/>
        <v>0</v>
      </c>
      <c r="I442" s="756">
        <f t="shared" si="73"/>
        <v>16175</v>
      </c>
      <c r="J442" s="756">
        <f t="shared" si="73"/>
        <v>0</v>
      </c>
      <c r="K442" s="757">
        <f t="shared" si="73"/>
        <v>0</v>
      </c>
      <c r="L442" s="756">
        <f t="shared" si="73"/>
        <v>7151.36</v>
      </c>
      <c r="M442" s="756">
        <f t="shared" si="73"/>
        <v>9325</v>
      </c>
      <c r="N442" s="756">
        <f t="shared" si="73"/>
        <v>21450</v>
      </c>
      <c r="O442" s="756">
        <f t="shared" si="73"/>
        <v>-11200</v>
      </c>
      <c r="P442" s="756">
        <f>SUM(P418:P441)</f>
        <v>-9423.14</v>
      </c>
      <c r="Q442" s="758">
        <f>Q441</f>
        <v>826.86</v>
      </c>
      <c r="R442" s="759"/>
      <c r="S442" s="701"/>
      <c r="T442" s="701"/>
      <c r="U442" s="701"/>
      <c r="V442" s="701"/>
      <c r="W442" s="701"/>
      <c r="X442" s="701"/>
      <c r="Y442" s="701"/>
      <c r="Z442" s="701"/>
      <c r="AA442" s="701"/>
      <c r="AB442" s="701"/>
      <c r="AC442" s="701"/>
      <c r="AD442" s="701"/>
      <c r="AE442" s="701"/>
      <c r="AF442" s="701"/>
      <c r="AG442" s="701"/>
    </row>
    <row r="443" ht="14.25" customHeight="1">
      <c r="B443" s="682" t="s">
        <v>141</v>
      </c>
      <c r="C443" s="683">
        <v>46024.0</v>
      </c>
      <c r="D443" s="685">
        <v>1.0</v>
      </c>
      <c r="E443" s="686">
        <v>3189.12</v>
      </c>
      <c r="F443" s="688"/>
      <c r="G443" s="689"/>
      <c r="H443" s="744" t="s">
        <v>42</v>
      </c>
      <c r="I443" s="686"/>
      <c r="J443" s="686"/>
      <c r="K443" s="589">
        <f t="shared" ref="K443:K455" si="74">E443-J443-L443-M443-N443-I443+F443+G443</f>
        <v>0</v>
      </c>
      <c r="L443" s="686">
        <v>3189.12</v>
      </c>
      <c r="M443" s="689"/>
      <c r="N443" s="697"/>
      <c r="O443" s="697">
        <v>-700.0</v>
      </c>
      <c r="P443" s="698"/>
      <c r="Q443" s="696">
        <f t="shared" ref="Q443:Q467" si="75">Q442+N443+O443+P443</f>
        <v>126.86</v>
      </c>
      <c r="R443" s="700"/>
    </row>
    <row r="444" ht="14.25" customHeight="1">
      <c r="B444" s="690"/>
      <c r="C444" s="683">
        <v>46056.0</v>
      </c>
      <c r="D444" s="685">
        <v>1.0</v>
      </c>
      <c r="E444" s="686">
        <v>2800.0</v>
      </c>
      <c r="F444" s="693">
        <v>350.0</v>
      </c>
      <c r="G444" s="689"/>
      <c r="H444" s="744"/>
      <c r="I444" s="693"/>
      <c r="J444" s="693">
        <v>1000.0</v>
      </c>
      <c r="K444" s="589">
        <f t="shared" si="74"/>
        <v>0</v>
      </c>
      <c r="L444" s="686"/>
      <c r="M444" s="693">
        <v>350.0</v>
      </c>
      <c r="N444" s="718">
        <v>1800.0</v>
      </c>
      <c r="O444" s="697">
        <v>-700.0</v>
      </c>
      <c r="P444" s="698"/>
      <c r="Q444" s="696">
        <f t="shared" si="75"/>
        <v>1226.86</v>
      </c>
      <c r="R444" s="700"/>
    </row>
    <row r="445" ht="14.25" customHeight="1">
      <c r="B445" s="702"/>
      <c r="C445" s="704">
        <v>46085.0</v>
      </c>
      <c r="D445" s="705"/>
      <c r="E445" s="706"/>
      <c r="F445" s="706"/>
      <c r="G445" s="706"/>
      <c r="H445" s="702"/>
      <c r="I445" s="706"/>
      <c r="J445" s="706"/>
      <c r="K445" s="601">
        <f t="shared" si="74"/>
        <v>0</v>
      </c>
      <c r="L445" s="706"/>
      <c r="M445" s="706"/>
      <c r="N445" s="784"/>
      <c r="O445" s="706"/>
      <c r="P445" s="602"/>
      <c r="Q445" s="706">
        <f t="shared" si="75"/>
        <v>1226.86</v>
      </c>
      <c r="R445" s="705"/>
    </row>
    <row r="446" ht="14.25" customHeight="1">
      <c r="B446" s="690"/>
      <c r="C446" s="683">
        <v>46119.0</v>
      </c>
      <c r="D446" s="685">
        <v>3.0</v>
      </c>
      <c r="E446" s="686">
        <v>5846.72</v>
      </c>
      <c r="F446" s="689"/>
      <c r="G446" s="689"/>
      <c r="H446" s="690"/>
      <c r="I446" s="693"/>
      <c r="J446" s="693"/>
      <c r="K446" s="589">
        <f t="shared" si="74"/>
        <v>0</v>
      </c>
      <c r="L446" s="686">
        <v>5846.72</v>
      </c>
      <c r="M446" s="689"/>
      <c r="N446" s="718"/>
      <c r="O446" s="697">
        <v>-700.0</v>
      </c>
      <c r="P446" s="752"/>
      <c r="Q446" s="696">
        <f t="shared" si="75"/>
        <v>526.86</v>
      </c>
      <c r="R446" s="748"/>
    </row>
    <row r="447" ht="14.25" customHeight="1">
      <c r="B447" s="702"/>
      <c r="C447" s="704">
        <v>46211.0</v>
      </c>
      <c r="D447" s="705"/>
      <c r="E447" s="706"/>
      <c r="F447" s="706"/>
      <c r="G447" s="706"/>
      <c r="H447" s="702"/>
      <c r="I447" s="706"/>
      <c r="J447" s="706"/>
      <c r="K447" s="601">
        <f t="shared" si="74"/>
        <v>0</v>
      </c>
      <c r="L447" s="706"/>
      <c r="M447" s="706"/>
      <c r="N447" s="784"/>
      <c r="O447" s="706"/>
      <c r="P447" s="602"/>
      <c r="Q447" s="706">
        <f t="shared" si="75"/>
        <v>526.86</v>
      </c>
      <c r="R447" s="705"/>
    </row>
    <row r="448" ht="14.25" customHeight="1">
      <c r="B448" s="690"/>
      <c r="C448" s="683">
        <v>46243.0</v>
      </c>
      <c r="D448" s="685">
        <v>1.0</v>
      </c>
      <c r="E448" s="686">
        <v>2500.0</v>
      </c>
      <c r="F448" s="689"/>
      <c r="G448" s="693"/>
      <c r="H448" s="744"/>
      <c r="I448" s="693"/>
      <c r="J448" s="693">
        <v>1000.0</v>
      </c>
      <c r="K448" s="589">
        <f t="shared" si="74"/>
        <v>0</v>
      </c>
      <c r="L448" s="686"/>
      <c r="M448" s="689"/>
      <c r="N448" s="718">
        <v>1500.0</v>
      </c>
      <c r="O448" s="697">
        <v>-700.0</v>
      </c>
      <c r="P448" s="698"/>
      <c r="Q448" s="696">
        <f t="shared" si="75"/>
        <v>1326.86</v>
      </c>
      <c r="R448" s="700"/>
    </row>
    <row r="449" ht="14.25" customHeight="1">
      <c r="B449" s="702"/>
      <c r="C449" s="704">
        <v>46275.0</v>
      </c>
      <c r="D449" s="738"/>
      <c r="E449" s="806"/>
      <c r="F449" s="706"/>
      <c r="G449" s="710"/>
      <c r="H449" s="711"/>
      <c r="I449" s="710"/>
      <c r="J449" s="710"/>
      <c r="K449" s="601">
        <f t="shared" si="74"/>
        <v>0</v>
      </c>
      <c r="L449" s="806"/>
      <c r="M449" s="706"/>
      <c r="N449" s="807"/>
      <c r="O449" s="806"/>
      <c r="P449" s="602"/>
      <c r="Q449" s="708">
        <f t="shared" si="75"/>
        <v>1326.86</v>
      </c>
      <c r="R449" s="711"/>
    </row>
    <row r="450" ht="14.25" customHeight="1">
      <c r="B450" s="690"/>
      <c r="C450" s="683">
        <v>46306.0</v>
      </c>
      <c r="D450" s="685">
        <v>1.0</v>
      </c>
      <c r="E450" s="686">
        <v>2500.0</v>
      </c>
      <c r="F450" s="693"/>
      <c r="G450" s="689"/>
      <c r="H450" s="744"/>
      <c r="I450" s="693"/>
      <c r="J450" s="693">
        <v>1000.0</v>
      </c>
      <c r="K450" s="791">
        <f t="shared" si="74"/>
        <v>0</v>
      </c>
      <c r="L450" s="686"/>
      <c r="M450" s="693">
        <v>1500.0</v>
      </c>
      <c r="N450" s="718"/>
      <c r="O450" s="697">
        <v>-700.0</v>
      </c>
      <c r="P450" s="752"/>
      <c r="Q450" s="696">
        <f t="shared" si="75"/>
        <v>626.86</v>
      </c>
      <c r="R450" s="700"/>
    </row>
    <row r="451" ht="14.25" customHeight="1">
      <c r="B451" s="702"/>
      <c r="C451" s="704">
        <v>46339.0</v>
      </c>
      <c r="D451" s="705"/>
      <c r="E451" s="706"/>
      <c r="F451" s="706"/>
      <c r="G451" s="706"/>
      <c r="H451" s="702"/>
      <c r="I451" s="706"/>
      <c r="J451" s="706"/>
      <c r="K451" s="601">
        <f t="shared" si="74"/>
        <v>0</v>
      </c>
      <c r="L451" s="706"/>
      <c r="M451" s="706"/>
      <c r="N451" s="784"/>
      <c r="O451" s="706"/>
      <c r="P451" s="602"/>
      <c r="Q451" s="708">
        <f t="shared" si="75"/>
        <v>626.86</v>
      </c>
      <c r="R451" s="705"/>
    </row>
    <row r="452" ht="14.25" customHeight="1">
      <c r="B452" s="690"/>
      <c r="C452" s="685" t="s">
        <v>46</v>
      </c>
      <c r="D452" s="685">
        <v>1.0</v>
      </c>
      <c r="E452" s="777">
        <v>2000.0</v>
      </c>
      <c r="F452" s="688"/>
      <c r="G452" s="689"/>
      <c r="H452" s="690"/>
      <c r="I452" s="693"/>
      <c r="J452" s="686">
        <v>1000.0</v>
      </c>
      <c r="K452" s="589">
        <f t="shared" si="74"/>
        <v>0</v>
      </c>
      <c r="L452" s="689"/>
      <c r="M452" s="686"/>
      <c r="N452" s="718">
        <v>1000.0</v>
      </c>
      <c r="O452" s="697">
        <v>-700.0</v>
      </c>
      <c r="P452" s="698"/>
      <c r="Q452" s="696">
        <f t="shared" si="75"/>
        <v>926.86</v>
      </c>
      <c r="R452" s="700"/>
    </row>
    <row r="453" ht="14.25" customHeight="1">
      <c r="B453" s="690"/>
      <c r="C453" s="685" t="s">
        <v>29</v>
      </c>
      <c r="D453" s="685">
        <v>1.0</v>
      </c>
      <c r="E453" s="777">
        <v>2300.0</v>
      </c>
      <c r="F453" s="688"/>
      <c r="G453" s="689"/>
      <c r="H453" s="690"/>
      <c r="I453" s="693"/>
      <c r="J453" s="686">
        <v>1000.0</v>
      </c>
      <c r="K453" s="589">
        <f t="shared" si="74"/>
        <v>0</v>
      </c>
      <c r="L453" s="689"/>
      <c r="M453" s="686">
        <v>1300.0</v>
      </c>
      <c r="N453" s="718"/>
      <c r="O453" s="697">
        <v>-700.0</v>
      </c>
      <c r="P453" s="752"/>
      <c r="Q453" s="696">
        <f t="shared" si="75"/>
        <v>226.86</v>
      </c>
      <c r="R453" s="752" t="s">
        <v>343</v>
      </c>
    </row>
    <row r="454" ht="14.25" customHeight="1">
      <c r="B454" s="702"/>
      <c r="C454" s="738" t="s">
        <v>30</v>
      </c>
      <c r="D454" s="705"/>
      <c r="E454" s="706"/>
      <c r="F454" s="706"/>
      <c r="G454" s="706"/>
      <c r="H454" s="702"/>
      <c r="I454" s="706"/>
      <c r="J454" s="706"/>
      <c r="K454" s="601">
        <f t="shared" si="74"/>
        <v>0</v>
      </c>
      <c r="L454" s="706"/>
      <c r="M454" s="706"/>
      <c r="N454" s="784"/>
      <c r="O454" s="706"/>
      <c r="P454" s="602"/>
      <c r="Q454" s="708">
        <f t="shared" si="75"/>
        <v>226.86</v>
      </c>
      <c r="R454" s="705"/>
    </row>
    <row r="455" ht="14.25" customHeight="1">
      <c r="B455" s="690"/>
      <c r="C455" s="685" t="s">
        <v>31</v>
      </c>
      <c r="D455" s="685">
        <v>1.0</v>
      </c>
      <c r="E455" s="686">
        <v>2800.0</v>
      </c>
      <c r="F455" s="689"/>
      <c r="G455" s="689"/>
      <c r="H455" s="690"/>
      <c r="I455" s="693"/>
      <c r="J455" s="686">
        <v>1000.0</v>
      </c>
      <c r="K455" s="589">
        <f t="shared" si="74"/>
        <v>0</v>
      </c>
      <c r="L455" s="689"/>
      <c r="M455" s="688"/>
      <c r="N455" s="718">
        <v>1800.0</v>
      </c>
      <c r="O455" s="697">
        <v>-700.0</v>
      </c>
      <c r="P455" s="698"/>
      <c r="Q455" s="696">
        <f t="shared" si="75"/>
        <v>1326.86</v>
      </c>
      <c r="R455" s="700"/>
    </row>
    <row r="456" ht="14.25" customHeight="1">
      <c r="B456" s="690"/>
      <c r="C456" s="685" t="s">
        <v>32</v>
      </c>
      <c r="D456" s="685">
        <v>1.0</v>
      </c>
      <c r="E456" s="686">
        <v>2126.8</v>
      </c>
      <c r="F456" s="693">
        <v>450.0</v>
      </c>
      <c r="G456" s="689"/>
      <c r="H456" s="690"/>
      <c r="I456" s="693"/>
      <c r="J456" s="686"/>
      <c r="K456" s="589">
        <f t="shared" ref="K456:K460" si="76">E456-J456-L456-M456-N456-I456+F456+G456-P456</f>
        <v>0</v>
      </c>
      <c r="L456" s="686">
        <v>2126.8</v>
      </c>
      <c r="M456" s="688"/>
      <c r="N456" s="718"/>
      <c r="O456" s="697">
        <v>-700.0</v>
      </c>
      <c r="P456" s="752">
        <v>450.0</v>
      </c>
      <c r="Q456" s="696">
        <f t="shared" si="75"/>
        <v>1076.86</v>
      </c>
      <c r="R456" s="748" t="s">
        <v>403</v>
      </c>
    </row>
    <row r="457" ht="14.25" customHeight="1">
      <c r="B457" s="690"/>
      <c r="C457" s="685" t="s">
        <v>33</v>
      </c>
      <c r="D457" s="685">
        <v>1.0</v>
      </c>
      <c r="E457" s="686">
        <v>2500.0</v>
      </c>
      <c r="F457" s="688"/>
      <c r="G457" s="689"/>
      <c r="H457" s="744"/>
      <c r="I457" s="686"/>
      <c r="J457" s="693"/>
      <c r="K457" s="589">
        <f t="shared" si="76"/>
        <v>0</v>
      </c>
      <c r="L457" s="689"/>
      <c r="M457" s="689"/>
      <c r="N457" s="718">
        <v>2500.0</v>
      </c>
      <c r="O457" s="697">
        <v>-700.0</v>
      </c>
      <c r="P457" s="698"/>
      <c r="Q457" s="696">
        <f t="shared" si="75"/>
        <v>2876.86</v>
      </c>
      <c r="R457" s="700"/>
    </row>
    <row r="458" ht="14.25" customHeight="1">
      <c r="B458" s="702"/>
      <c r="C458" s="738" t="s">
        <v>144</v>
      </c>
      <c r="D458" s="705"/>
      <c r="E458" s="706"/>
      <c r="F458" s="706"/>
      <c r="G458" s="706"/>
      <c r="H458" s="702"/>
      <c r="I458" s="706"/>
      <c r="J458" s="706"/>
      <c r="K458" s="601">
        <f t="shared" si="76"/>
        <v>0</v>
      </c>
      <c r="L458" s="706"/>
      <c r="M458" s="706"/>
      <c r="N458" s="784"/>
      <c r="O458" s="706"/>
      <c r="P458" s="630"/>
      <c r="Q458" s="708">
        <f t="shared" si="75"/>
        <v>2876.86</v>
      </c>
      <c r="R458" s="711"/>
    </row>
    <row r="459" ht="14.25" customHeight="1">
      <c r="B459" s="690"/>
      <c r="C459" s="685" t="s">
        <v>37</v>
      </c>
      <c r="D459" s="685">
        <v>1.0</v>
      </c>
      <c r="E459" s="686">
        <v>2500.0</v>
      </c>
      <c r="F459" s="686">
        <v>450.0</v>
      </c>
      <c r="G459" s="689"/>
      <c r="H459" s="744"/>
      <c r="I459" s="686"/>
      <c r="J459" s="693">
        <v>1000.0</v>
      </c>
      <c r="K459" s="589">
        <f t="shared" si="76"/>
        <v>0</v>
      </c>
      <c r="L459" s="689"/>
      <c r="M459" s="693">
        <v>1950.0</v>
      </c>
      <c r="N459" s="718"/>
      <c r="O459" s="697">
        <v>-700.0</v>
      </c>
      <c r="P459" s="752"/>
      <c r="Q459" s="696">
        <f t="shared" si="75"/>
        <v>2176.86</v>
      </c>
      <c r="R459" s="700"/>
    </row>
    <row r="460" ht="14.25" customHeight="1">
      <c r="B460" s="690"/>
      <c r="C460" s="685" t="s">
        <v>108</v>
      </c>
      <c r="D460" s="685">
        <v>2.0</v>
      </c>
      <c r="E460" s="686">
        <v>5300.0</v>
      </c>
      <c r="F460" s="693">
        <v>500.0</v>
      </c>
      <c r="G460" s="689"/>
      <c r="H460" s="690"/>
      <c r="I460" s="693"/>
      <c r="J460" s="686">
        <v>1500.0</v>
      </c>
      <c r="K460" s="589">
        <f t="shared" si="76"/>
        <v>0</v>
      </c>
      <c r="L460" s="689"/>
      <c r="M460" s="693">
        <v>4300.0</v>
      </c>
      <c r="N460" s="718"/>
      <c r="O460" s="697">
        <v>-700.0</v>
      </c>
      <c r="P460" s="752"/>
      <c r="Q460" s="696">
        <f t="shared" si="75"/>
        <v>1476.86</v>
      </c>
      <c r="R460" s="748"/>
    </row>
    <row r="461" ht="14.25" customHeight="1">
      <c r="B461" s="702"/>
      <c r="C461" s="738" t="s">
        <v>99</v>
      </c>
      <c r="D461" s="705"/>
      <c r="E461" s="706"/>
      <c r="F461" s="706"/>
      <c r="G461" s="706"/>
      <c r="H461" s="702"/>
      <c r="I461" s="706"/>
      <c r="J461" s="706"/>
      <c r="K461" s="601">
        <f t="shared" ref="K461:K467" si="77">E461-J461-L461-M461-N461-I461+F461+G461</f>
        <v>0</v>
      </c>
      <c r="L461" s="706"/>
      <c r="M461" s="706"/>
      <c r="N461" s="784"/>
      <c r="O461" s="706"/>
      <c r="P461" s="630"/>
      <c r="Q461" s="708">
        <f t="shared" si="75"/>
        <v>1476.86</v>
      </c>
      <c r="R461" s="711"/>
    </row>
    <row r="462" ht="14.25" customHeight="1">
      <c r="B462" s="690"/>
      <c r="C462" s="685" t="s">
        <v>72</v>
      </c>
      <c r="D462" s="685">
        <v>1.0</v>
      </c>
      <c r="E462" s="686">
        <v>2000.0</v>
      </c>
      <c r="F462" s="689"/>
      <c r="G462" s="689"/>
      <c r="H462" s="690"/>
      <c r="I462" s="693"/>
      <c r="J462" s="686">
        <v>1000.0</v>
      </c>
      <c r="K462" s="589">
        <f t="shared" si="77"/>
        <v>0</v>
      </c>
      <c r="L462" s="689"/>
      <c r="M462" s="693">
        <v>1000.0</v>
      </c>
      <c r="N462" s="718"/>
      <c r="O462" s="697">
        <v>-700.0</v>
      </c>
      <c r="P462" s="752"/>
      <c r="Q462" s="696">
        <f t="shared" si="75"/>
        <v>776.86</v>
      </c>
      <c r="R462" s="748"/>
    </row>
    <row r="463" ht="14.25" customHeight="1">
      <c r="B463" s="690"/>
      <c r="C463" s="685" t="s">
        <v>73</v>
      </c>
      <c r="D463" s="685">
        <v>1.0</v>
      </c>
      <c r="E463" s="686">
        <v>2300.0</v>
      </c>
      <c r="F463" s="693">
        <v>450.0</v>
      </c>
      <c r="G463" s="689"/>
      <c r="H463" s="690"/>
      <c r="I463" s="689"/>
      <c r="J463" s="686">
        <v>1225.0</v>
      </c>
      <c r="K463" s="589">
        <f t="shared" si="77"/>
        <v>0</v>
      </c>
      <c r="L463" s="689"/>
      <c r="M463" s="689"/>
      <c r="N463" s="718">
        <v>1525.0</v>
      </c>
      <c r="O463" s="697">
        <v>-700.0</v>
      </c>
      <c r="P463" s="752"/>
      <c r="Q463" s="696">
        <f t="shared" si="75"/>
        <v>1601.86</v>
      </c>
      <c r="R463" s="748"/>
    </row>
    <row r="464" ht="14.25" customHeight="1">
      <c r="B464" s="690"/>
      <c r="C464" s="685" t="s">
        <v>167</v>
      </c>
      <c r="D464" s="685">
        <v>2.0</v>
      </c>
      <c r="E464" s="686">
        <v>6700.0</v>
      </c>
      <c r="F464" s="689"/>
      <c r="G464" s="689"/>
      <c r="H464" s="690"/>
      <c r="I464" s="689"/>
      <c r="J464" s="686">
        <v>1500.0</v>
      </c>
      <c r="K464" s="589">
        <f t="shared" si="77"/>
        <v>0</v>
      </c>
      <c r="L464" s="689"/>
      <c r="M464" s="689"/>
      <c r="N464" s="718">
        <v>5200.0</v>
      </c>
      <c r="O464" s="697">
        <v>-700.0</v>
      </c>
      <c r="P464" s="752"/>
      <c r="Q464" s="696">
        <f t="shared" si="75"/>
        <v>6101.86</v>
      </c>
      <c r="R464" s="748" t="s">
        <v>405</v>
      </c>
    </row>
    <row r="465" ht="14.25" customHeight="1">
      <c r="B465" s="690"/>
      <c r="C465" s="770"/>
      <c r="D465" s="770"/>
      <c r="E465" s="688"/>
      <c r="F465" s="689"/>
      <c r="G465" s="689"/>
      <c r="H465" s="690"/>
      <c r="I465" s="689"/>
      <c r="J465" s="688"/>
      <c r="K465" s="589">
        <f t="shared" si="77"/>
        <v>0</v>
      </c>
      <c r="L465" s="689"/>
      <c r="M465" s="689"/>
      <c r="N465" s="795"/>
      <c r="O465" s="696"/>
      <c r="P465" s="752">
        <v>-6167.1</v>
      </c>
      <c r="Q465" s="696">
        <f t="shared" si="75"/>
        <v>-65.24</v>
      </c>
      <c r="R465" s="748" t="s">
        <v>208</v>
      </c>
    </row>
    <row r="466" ht="14.25" customHeight="1">
      <c r="B466" s="690"/>
      <c r="C466" s="753"/>
      <c r="D466" s="753"/>
      <c r="E466" s="689"/>
      <c r="F466" s="689"/>
      <c r="G466" s="689"/>
      <c r="H466" s="690"/>
      <c r="I466" s="689"/>
      <c r="J466" s="689"/>
      <c r="K466" s="589">
        <f t="shared" si="77"/>
        <v>0</v>
      </c>
      <c r="L466" s="689"/>
      <c r="M466" s="689"/>
      <c r="N466" s="796"/>
      <c r="O466" s="722"/>
      <c r="P466" s="752">
        <v>-3191.3</v>
      </c>
      <c r="Q466" s="696">
        <f t="shared" si="75"/>
        <v>-3256.54</v>
      </c>
      <c r="R466" s="748" t="s">
        <v>55</v>
      </c>
    </row>
    <row r="467" ht="14.25" customHeight="1">
      <c r="B467" s="690"/>
      <c r="C467" s="753"/>
      <c r="D467" s="753"/>
      <c r="E467" s="689"/>
      <c r="F467" s="689"/>
      <c r="G467" s="689"/>
      <c r="H467" s="690"/>
      <c r="I467" s="689"/>
      <c r="J467" s="689"/>
      <c r="K467" s="589">
        <f t="shared" si="77"/>
        <v>0</v>
      </c>
      <c r="L467" s="689"/>
      <c r="M467" s="689"/>
      <c r="N467" s="796"/>
      <c r="O467" s="722"/>
      <c r="P467" s="752">
        <v>-500.0</v>
      </c>
      <c r="Q467" s="696">
        <f t="shared" si="75"/>
        <v>-3756.54</v>
      </c>
      <c r="R467" s="748" t="s">
        <v>406</v>
      </c>
    </row>
    <row r="468" ht="14.25" customHeight="1">
      <c r="A468" s="701"/>
      <c r="B468" s="754" t="s">
        <v>141</v>
      </c>
      <c r="C468" s="755" t="s">
        <v>80</v>
      </c>
      <c r="D468" s="755">
        <f>sum(D443:D467)</f>
        <v>19</v>
      </c>
      <c r="E468" s="756">
        <f t="shared" ref="E468:O468" si="78">SUM(E443:E467)</f>
        <v>47362.64</v>
      </c>
      <c r="F468" s="756">
        <f t="shared" si="78"/>
        <v>2200</v>
      </c>
      <c r="G468" s="756">
        <f t="shared" si="78"/>
        <v>0</v>
      </c>
      <c r="H468" s="756">
        <f t="shared" si="78"/>
        <v>0</v>
      </c>
      <c r="I468" s="756">
        <f t="shared" si="78"/>
        <v>0</v>
      </c>
      <c r="J468" s="756">
        <f t="shared" si="78"/>
        <v>12225</v>
      </c>
      <c r="K468" s="757">
        <f t="shared" si="78"/>
        <v>0</v>
      </c>
      <c r="L468" s="756">
        <f t="shared" si="78"/>
        <v>11162.64</v>
      </c>
      <c r="M468" s="756">
        <f t="shared" si="78"/>
        <v>10400</v>
      </c>
      <c r="N468" s="756">
        <f t="shared" si="78"/>
        <v>15325</v>
      </c>
      <c r="O468" s="756">
        <f t="shared" si="78"/>
        <v>-10500</v>
      </c>
      <c r="P468" s="756">
        <f>SUM(P444:P467)</f>
        <v>-9408.4</v>
      </c>
      <c r="Q468" s="758">
        <f>Q467</f>
        <v>-3756.54</v>
      </c>
      <c r="R468" s="759"/>
      <c r="S468" s="701"/>
      <c r="T468" s="701"/>
      <c r="U468" s="701"/>
      <c r="V468" s="701"/>
      <c r="W468" s="701"/>
      <c r="X468" s="701"/>
      <c r="Y468" s="701"/>
      <c r="Z468" s="701"/>
      <c r="AA468" s="701"/>
      <c r="AB468" s="701"/>
      <c r="AC468" s="701"/>
      <c r="AD468" s="701"/>
      <c r="AE468" s="701"/>
      <c r="AF468" s="701"/>
      <c r="AG468" s="701"/>
    </row>
    <row r="469" ht="14.25" customHeight="1">
      <c r="B469" s="682" t="s">
        <v>154</v>
      </c>
      <c r="C469" s="683">
        <v>46025.0</v>
      </c>
      <c r="D469" s="685">
        <v>2.0</v>
      </c>
      <c r="E469" s="686">
        <v>3500.0</v>
      </c>
      <c r="F469" s="688"/>
      <c r="G469" s="689"/>
      <c r="H469" s="744"/>
      <c r="I469" s="686"/>
      <c r="J469" s="686">
        <v>1500.0</v>
      </c>
      <c r="K469" s="589">
        <f t="shared" ref="K469:K481" si="79">E469-J469-L469-M469-N469-I469+F469+G469</f>
        <v>0</v>
      </c>
      <c r="L469" s="686"/>
      <c r="M469" s="689"/>
      <c r="N469" s="697">
        <v>2000.0</v>
      </c>
      <c r="O469" s="697">
        <v>-700.0</v>
      </c>
      <c r="P469" s="698"/>
      <c r="Q469" s="696">
        <f t="shared" ref="Q469:Q492" si="80">Q468+N469+O469+P469</f>
        <v>-2456.54</v>
      </c>
      <c r="R469" s="700"/>
    </row>
    <row r="470">
      <c r="B470" s="702"/>
      <c r="C470" s="704">
        <v>46086.0</v>
      </c>
      <c r="D470" s="705"/>
      <c r="E470" s="706"/>
      <c r="F470" s="706"/>
      <c r="G470" s="706"/>
      <c r="H470" s="702"/>
      <c r="I470" s="706"/>
      <c r="J470" s="706"/>
      <c r="K470" s="601">
        <f t="shared" si="79"/>
        <v>0</v>
      </c>
      <c r="L470" s="706"/>
      <c r="M470" s="706"/>
      <c r="N470" s="784"/>
      <c r="O470" s="706"/>
      <c r="P470" s="602"/>
      <c r="Q470" s="706">
        <f t="shared" si="80"/>
        <v>-2456.54</v>
      </c>
      <c r="R470" s="705"/>
    </row>
    <row r="471">
      <c r="B471" s="690"/>
      <c r="C471" s="683">
        <v>46148.0</v>
      </c>
      <c r="D471" s="685">
        <v>1.0</v>
      </c>
      <c r="E471" s="686">
        <v>3300.0</v>
      </c>
      <c r="F471" s="689"/>
      <c r="G471" s="689"/>
      <c r="H471" s="690"/>
      <c r="I471" s="693"/>
      <c r="J471" s="693">
        <v>1000.0</v>
      </c>
      <c r="K471" s="589">
        <f t="shared" si="79"/>
        <v>0</v>
      </c>
      <c r="L471" s="686"/>
      <c r="M471" s="689"/>
      <c r="N471" s="718">
        <v>2300.0</v>
      </c>
      <c r="O471" s="697">
        <v>-700.0</v>
      </c>
      <c r="P471" s="752"/>
      <c r="Q471" s="696">
        <f t="shared" si="80"/>
        <v>-856.54</v>
      </c>
      <c r="R471" s="748"/>
    </row>
    <row r="472">
      <c r="B472" s="690"/>
      <c r="C472" s="683">
        <v>46180.0</v>
      </c>
      <c r="D472" s="685">
        <v>1.0</v>
      </c>
      <c r="E472" s="686">
        <v>3150.0</v>
      </c>
      <c r="F472" s="689"/>
      <c r="G472" s="689"/>
      <c r="H472" s="690"/>
      <c r="I472" s="693"/>
      <c r="J472" s="693">
        <v>1000.0</v>
      </c>
      <c r="K472" s="589">
        <f t="shared" si="79"/>
        <v>0</v>
      </c>
      <c r="L472" s="686"/>
      <c r="M472" s="693">
        <v>2150.0</v>
      </c>
      <c r="N472" s="718"/>
      <c r="O472" s="697">
        <v>-700.0</v>
      </c>
      <c r="P472" s="752"/>
      <c r="Q472" s="696">
        <f t="shared" si="80"/>
        <v>-1556.54</v>
      </c>
      <c r="R472" s="748"/>
    </row>
    <row r="473" ht="14.25" customHeight="1">
      <c r="B473" s="702"/>
      <c r="C473" s="704">
        <v>46212.0</v>
      </c>
      <c r="D473" s="705"/>
      <c r="E473" s="706"/>
      <c r="F473" s="706"/>
      <c r="G473" s="706"/>
      <c r="H473" s="702"/>
      <c r="I473" s="706"/>
      <c r="J473" s="706"/>
      <c r="K473" s="601">
        <f t="shared" si="79"/>
        <v>0</v>
      </c>
      <c r="L473" s="706"/>
      <c r="M473" s="706"/>
      <c r="N473" s="784"/>
      <c r="O473" s="706"/>
      <c r="P473" s="602"/>
      <c r="Q473" s="706">
        <f t="shared" si="80"/>
        <v>-1556.54</v>
      </c>
      <c r="R473" s="705"/>
    </row>
    <row r="474" ht="14.25" customHeight="1">
      <c r="B474" s="690"/>
      <c r="C474" s="683">
        <v>46275.0</v>
      </c>
      <c r="D474" s="685">
        <v>1.0</v>
      </c>
      <c r="E474" s="686">
        <v>2000.0</v>
      </c>
      <c r="F474" s="693">
        <v>350.0</v>
      </c>
      <c r="G474" s="693"/>
      <c r="H474" s="744"/>
      <c r="I474" s="693"/>
      <c r="J474" s="693">
        <v>1175.0</v>
      </c>
      <c r="K474" s="589">
        <f t="shared" si="79"/>
        <v>0</v>
      </c>
      <c r="L474" s="686"/>
      <c r="M474" s="693">
        <v>1175.0</v>
      </c>
      <c r="N474" s="718"/>
      <c r="O474" s="697">
        <v>-700.0</v>
      </c>
      <c r="P474" s="698"/>
      <c r="Q474" s="696">
        <f t="shared" si="80"/>
        <v>-2256.54</v>
      </c>
      <c r="R474" s="700"/>
    </row>
    <row r="475" ht="14.25" customHeight="1">
      <c r="B475" s="702"/>
      <c r="C475" s="704">
        <v>46306.0</v>
      </c>
      <c r="D475" s="705"/>
      <c r="E475" s="706"/>
      <c r="F475" s="706"/>
      <c r="G475" s="706"/>
      <c r="H475" s="702"/>
      <c r="I475" s="706"/>
      <c r="J475" s="706"/>
      <c r="K475" s="601">
        <f t="shared" si="79"/>
        <v>0</v>
      </c>
      <c r="L475" s="706"/>
      <c r="M475" s="706"/>
      <c r="N475" s="784"/>
      <c r="O475" s="706"/>
      <c r="P475" s="602"/>
      <c r="Q475" s="708">
        <f t="shared" si="80"/>
        <v>-2256.54</v>
      </c>
      <c r="R475" s="705"/>
    </row>
    <row r="476" ht="14.25" customHeight="1">
      <c r="B476" s="690"/>
      <c r="C476" s="683">
        <v>46338.0</v>
      </c>
      <c r="D476" s="685">
        <v>1.0</v>
      </c>
      <c r="E476" s="777">
        <v>2000.0</v>
      </c>
      <c r="F476" s="688"/>
      <c r="G476" s="689"/>
      <c r="H476" s="690"/>
      <c r="I476" s="693"/>
      <c r="J476" s="686">
        <v>1000.0</v>
      </c>
      <c r="K476" s="589">
        <f t="shared" si="79"/>
        <v>0</v>
      </c>
      <c r="L476" s="689"/>
      <c r="M476" s="686">
        <v>1000.0</v>
      </c>
      <c r="N476" s="718"/>
      <c r="O476" s="697">
        <v>-700.0</v>
      </c>
      <c r="P476" s="698"/>
      <c r="Q476" s="696">
        <f t="shared" si="80"/>
        <v>-2956.54</v>
      </c>
      <c r="R476" s="700"/>
    </row>
    <row r="477" ht="14.25" customHeight="1">
      <c r="B477" s="690"/>
      <c r="C477" s="683">
        <v>46369.0</v>
      </c>
      <c r="D477" s="685">
        <v>1.0</v>
      </c>
      <c r="E477" s="777">
        <v>2800.0</v>
      </c>
      <c r="F477" s="688"/>
      <c r="G477" s="689"/>
      <c r="H477" s="690"/>
      <c r="I477" s="693"/>
      <c r="J477" s="686">
        <v>1000.0</v>
      </c>
      <c r="K477" s="589">
        <f t="shared" si="79"/>
        <v>0</v>
      </c>
      <c r="L477" s="689"/>
      <c r="M477" s="686"/>
      <c r="N477" s="718">
        <v>1800.0</v>
      </c>
      <c r="O477" s="697">
        <v>-700.0</v>
      </c>
      <c r="P477" s="698"/>
      <c r="Q477" s="696">
        <f t="shared" si="80"/>
        <v>-1856.54</v>
      </c>
      <c r="R477" s="700"/>
    </row>
    <row r="478" ht="14.25" customHeight="1">
      <c r="B478" s="690"/>
      <c r="C478" s="685" t="s">
        <v>46</v>
      </c>
      <c r="D478" s="685">
        <v>1.0</v>
      </c>
      <c r="E478" s="777">
        <v>2800.0</v>
      </c>
      <c r="F478" s="688"/>
      <c r="G478" s="689"/>
      <c r="H478" s="690"/>
      <c r="I478" s="693"/>
      <c r="J478" s="686">
        <v>1000.0</v>
      </c>
      <c r="K478" s="589">
        <f t="shared" si="79"/>
        <v>0</v>
      </c>
      <c r="L478" s="689"/>
      <c r="M478" s="686">
        <v>1800.0</v>
      </c>
      <c r="N478" s="718"/>
      <c r="O478" s="697">
        <v>-700.0</v>
      </c>
      <c r="P478" s="698"/>
      <c r="Q478" s="696">
        <f t="shared" si="80"/>
        <v>-2556.54</v>
      </c>
      <c r="R478" s="700"/>
    </row>
    <row r="479" ht="14.25" customHeight="1">
      <c r="B479" s="690"/>
      <c r="C479" s="685" t="s">
        <v>101</v>
      </c>
      <c r="D479" s="685">
        <v>2.0</v>
      </c>
      <c r="E479" s="777">
        <v>4000.0</v>
      </c>
      <c r="F479" s="688"/>
      <c r="G479" s="689"/>
      <c r="H479" s="690"/>
      <c r="I479" s="693"/>
      <c r="J479" s="686">
        <v>1500.0</v>
      </c>
      <c r="K479" s="589">
        <f t="shared" si="79"/>
        <v>0</v>
      </c>
      <c r="L479" s="689"/>
      <c r="M479" s="686"/>
      <c r="N479" s="718">
        <v>2500.0</v>
      </c>
      <c r="O479" s="697">
        <v>-700.0</v>
      </c>
      <c r="P479" s="698"/>
      <c r="Q479" s="696">
        <f t="shared" si="80"/>
        <v>-756.54</v>
      </c>
      <c r="R479" s="700"/>
    </row>
    <row r="480" ht="14.25" customHeight="1">
      <c r="B480" s="702"/>
      <c r="C480" s="738" t="s">
        <v>102</v>
      </c>
      <c r="D480" s="705"/>
      <c r="E480" s="706"/>
      <c r="F480" s="706"/>
      <c r="G480" s="706"/>
      <c r="H480" s="702"/>
      <c r="I480" s="706"/>
      <c r="J480" s="706"/>
      <c r="K480" s="601">
        <f t="shared" si="79"/>
        <v>0</v>
      </c>
      <c r="L480" s="706"/>
      <c r="M480" s="706"/>
      <c r="N480" s="784"/>
      <c r="O480" s="706"/>
      <c r="P480" s="602"/>
      <c r="Q480" s="708">
        <f t="shared" si="80"/>
        <v>-756.54</v>
      </c>
      <c r="R480" s="705"/>
    </row>
    <row r="481" ht="14.25" customHeight="1">
      <c r="B481" s="690"/>
      <c r="C481" s="685" t="s">
        <v>33</v>
      </c>
      <c r="D481" s="685">
        <v>1.0</v>
      </c>
      <c r="E481" s="686">
        <v>2300.0</v>
      </c>
      <c r="F481" s="689"/>
      <c r="G481" s="689"/>
      <c r="H481" s="690"/>
      <c r="I481" s="693"/>
      <c r="J481" s="686">
        <v>1000.0</v>
      </c>
      <c r="K481" s="589">
        <f t="shared" si="79"/>
        <v>0</v>
      </c>
      <c r="L481" s="689"/>
      <c r="M481" s="688"/>
      <c r="N481" s="718">
        <v>1300.0</v>
      </c>
      <c r="O481" s="697">
        <v>-700.0</v>
      </c>
      <c r="P481" s="698"/>
      <c r="Q481" s="696">
        <f t="shared" si="80"/>
        <v>-156.54</v>
      </c>
      <c r="R481" s="700"/>
    </row>
    <row r="482" ht="14.25" customHeight="1">
      <c r="B482" s="690"/>
      <c r="C482" s="685" t="s">
        <v>64</v>
      </c>
      <c r="D482" s="685">
        <v>2.0</v>
      </c>
      <c r="E482" s="686">
        <v>5000.0</v>
      </c>
      <c r="F482" s="693"/>
      <c r="G482" s="689"/>
      <c r="H482" s="690"/>
      <c r="I482" s="693"/>
      <c r="J482" s="686">
        <v>1500.0</v>
      </c>
      <c r="K482" s="589">
        <f t="shared" ref="K482:K486" si="81">E482-J482-L482-M482-N482-I482+F482+G482-P482</f>
        <v>0</v>
      </c>
      <c r="L482" s="686"/>
      <c r="M482" s="686">
        <v>3500.0</v>
      </c>
      <c r="N482" s="718"/>
      <c r="O482" s="697">
        <v>-700.0</v>
      </c>
      <c r="P482" s="752"/>
      <c r="Q482" s="696">
        <f t="shared" si="80"/>
        <v>-856.54</v>
      </c>
      <c r="R482" s="748"/>
    </row>
    <row r="483" ht="14.25" customHeight="1">
      <c r="B483" s="690"/>
      <c r="C483" s="685" t="s">
        <v>78</v>
      </c>
      <c r="D483" s="685">
        <v>2.0</v>
      </c>
      <c r="E483" s="686">
        <f>1500+2500</f>
        <v>4000</v>
      </c>
      <c r="F483" s="686">
        <v>350.0</v>
      </c>
      <c r="G483" s="689"/>
      <c r="H483" s="744"/>
      <c r="I483" s="686"/>
      <c r="J483" s="693">
        <v>1000.0</v>
      </c>
      <c r="K483" s="589">
        <f t="shared" si="81"/>
        <v>0</v>
      </c>
      <c r="L483" s="689"/>
      <c r="M483" s="693">
        <f>1500+1850</f>
        <v>3350</v>
      </c>
      <c r="N483" s="718"/>
      <c r="O483" s="697">
        <v>-700.0</v>
      </c>
      <c r="P483" s="698"/>
      <c r="Q483" s="696">
        <f t="shared" si="80"/>
        <v>-1556.54</v>
      </c>
      <c r="R483" s="700"/>
    </row>
    <row r="484" ht="14.25" customHeight="1">
      <c r="B484" s="690"/>
      <c r="C484" s="685" t="s">
        <v>108</v>
      </c>
      <c r="D484" s="685">
        <v>2.0</v>
      </c>
      <c r="E484" s="686">
        <v>4100.0</v>
      </c>
      <c r="F484" s="686"/>
      <c r="G484" s="689"/>
      <c r="H484" s="744"/>
      <c r="I484" s="686"/>
      <c r="J484" s="693">
        <v>1500.0</v>
      </c>
      <c r="K484" s="589">
        <f t="shared" si="81"/>
        <v>0</v>
      </c>
      <c r="L484" s="689"/>
      <c r="M484" s="693">
        <v>2600.0</v>
      </c>
      <c r="N484" s="718"/>
      <c r="O484" s="697">
        <v>-700.0</v>
      </c>
      <c r="P484" s="752"/>
      <c r="Q484" s="696">
        <f t="shared" si="80"/>
        <v>-2256.54</v>
      </c>
      <c r="R484" s="700"/>
    </row>
    <row r="485" ht="14.25" customHeight="1">
      <c r="B485" s="690"/>
      <c r="C485" s="685" t="s">
        <v>99</v>
      </c>
      <c r="D485" s="685"/>
      <c r="E485" s="686"/>
      <c r="F485" s="686"/>
      <c r="G485" s="689"/>
      <c r="H485" s="744"/>
      <c r="I485" s="686"/>
      <c r="J485" s="693"/>
      <c r="K485" s="589">
        <f t="shared" si="81"/>
        <v>0</v>
      </c>
      <c r="L485" s="689"/>
      <c r="M485" s="693"/>
      <c r="N485" s="718"/>
      <c r="O485" s="697">
        <v>-700.0</v>
      </c>
      <c r="P485" s="752"/>
      <c r="Q485" s="696">
        <f t="shared" si="80"/>
        <v>-2956.54</v>
      </c>
      <c r="R485" s="748" t="s">
        <v>407</v>
      </c>
    </row>
    <row r="486" ht="14.25" customHeight="1">
      <c r="B486" s="690"/>
      <c r="C486" s="685" t="s">
        <v>72</v>
      </c>
      <c r="D486" s="685">
        <v>1.0</v>
      </c>
      <c r="E486" s="686">
        <v>2800.0</v>
      </c>
      <c r="F486" s="693"/>
      <c r="G486" s="689"/>
      <c r="H486" s="690"/>
      <c r="I486" s="693"/>
      <c r="J486" s="686">
        <v>1000.0</v>
      </c>
      <c r="K486" s="589">
        <f t="shared" si="81"/>
        <v>0</v>
      </c>
      <c r="L486" s="689"/>
      <c r="M486" s="693"/>
      <c r="N486" s="718">
        <v>1800.0</v>
      </c>
      <c r="O486" s="697">
        <v>-700.0</v>
      </c>
      <c r="P486" s="752"/>
      <c r="Q486" s="696">
        <f t="shared" si="80"/>
        <v>-1856.54</v>
      </c>
      <c r="R486" s="748"/>
    </row>
    <row r="487" ht="14.25" customHeight="1">
      <c r="B487" s="702"/>
      <c r="C487" s="738" t="s">
        <v>73</v>
      </c>
      <c r="D487" s="705"/>
      <c r="E487" s="706"/>
      <c r="F487" s="706"/>
      <c r="G487" s="706"/>
      <c r="H487" s="702"/>
      <c r="I487" s="706"/>
      <c r="J487" s="706"/>
      <c r="K487" s="601">
        <f t="shared" ref="K487:K490" si="82">E487-J487-L487-M487-N487-I487+F487+G487</f>
        <v>0</v>
      </c>
      <c r="L487" s="706"/>
      <c r="M487" s="706"/>
      <c r="N487" s="784"/>
      <c r="O487" s="706"/>
      <c r="P487" s="630"/>
      <c r="Q487" s="708">
        <f t="shared" si="80"/>
        <v>-1856.54</v>
      </c>
      <c r="R487" s="711"/>
    </row>
    <row r="488" ht="14.25" customHeight="1">
      <c r="B488" s="690"/>
      <c r="C488" s="685" t="s">
        <v>49</v>
      </c>
      <c r="D488" s="685">
        <v>1.0</v>
      </c>
      <c r="E488" s="686">
        <v>2000.0</v>
      </c>
      <c r="F488" s="693"/>
      <c r="G488" s="689"/>
      <c r="H488" s="690"/>
      <c r="I488" s="693"/>
      <c r="J488" s="686">
        <v>1000.0</v>
      </c>
      <c r="K488" s="589">
        <f t="shared" si="82"/>
        <v>0</v>
      </c>
      <c r="L488" s="689"/>
      <c r="M488" s="693"/>
      <c r="N488" s="718">
        <v>1000.0</v>
      </c>
      <c r="O488" s="697">
        <v>-700.0</v>
      </c>
      <c r="P488" s="752"/>
      <c r="Q488" s="696">
        <f t="shared" si="80"/>
        <v>-1556.54</v>
      </c>
      <c r="R488" s="748"/>
    </row>
    <row r="489" ht="14.25" customHeight="1">
      <c r="B489" s="690"/>
      <c r="C489" s="685" t="s">
        <v>75</v>
      </c>
      <c r="D489" s="685">
        <v>1.0</v>
      </c>
      <c r="E489" s="686">
        <f>1800+500</f>
        <v>2300</v>
      </c>
      <c r="F489" s="693">
        <v>400.0</v>
      </c>
      <c r="G489" s="689"/>
      <c r="H489" s="690"/>
      <c r="I489" s="689"/>
      <c r="J489" s="686">
        <v>1200.0</v>
      </c>
      <c r="K489" s="589">
        <f t="shared" si="82"/>
        <v>0</v>
      </c>
      <c r="L489" s="689"/>
      <c r="M489" s="693">
        <v>1500.0</v>
      </c>
      <c r="N489" s="718"/>
      <c r="O489" s="697">
        <v>-700.0</v>
      </c>
      <c r="P489" s="752"/>
      <c r="Q489" s="696">
        <f t="shared" si="80"/>
        <v>-2256.54</v>
      </c>
      <c r="R489" s="748"/>
    </row>
    <row r="490" ht="14.25" customHeight="1">
      <c r="B490" s="690"/>
      <c r="C490" s="685"/>
      <c r="D490" s="685"/>
      <c r="E490" s="686"/>
      <c r="F490" s="689"/>
      <c r="G490" s="689"/>
      <c r="H490" s="690"/>
      <c r="I490" s="689"/>
      <c r="J490" s="686"/>
      <c r="K490" s="589">
        <f t="shared" si="82"/>
        <v>0</v>
      </c>
      <c r="L490" s="689"/>
      <c r="M490" s="689"/>
      <c r="N490" s="718"/>
      <c r="O490" s="697"/>
      <c r="P490" s="752">
        <v>-987.0</v>
      </c>
      <c r="Q490" s="696">
        <f t="shared" si="80"/>
        <v>-3243.54</v>
      </c>
      <c r="R490" s="748" t="s">
        <v>408</v>
      </c>
    </row>
    <row r="491" ht="14.25" customHeight="1">
      <c r="B491" s="690"/>
      <c r="C491" s="753"/>
      <c r="D491" s="753"/>
      <c r="E491" s="689"/>
      <c r="F491" s="689"/>
      <c r="G491" s="689"/>
      <c r="H491" s="690"/>
      <c r="I491" s="689"/>
      <c r="J491" s="689"/>
      <c r="K491" s="589"/>
      <c r="L491" s="689"/>
      <c r="M491" s="689"/>
      <c r="N491" s="796"/>
      <c r="O491" s="722"/>
      <c r="P491" s="752">
        <v>-500.0</v>
      </c>
      <c r="Q491" s="696">
        <f t="shared" si="80"/>
        <v>-3743.54</v>
      </c>
      <c r="R491" s="748" t="s">
        <v>409</v>
      </c>
    </row>
    <row r="492" ht="14.25" customHeight="1">
      <c r="B492" s="690"/>
      <c r="C492" s="753"/>
      <c r="D492" s="753"/>
      <c r="E492" s="689"/>
      <c r="F492" s="689"/>
      <c r="G492" s="689"/>
      <c r="H492" s="690"/>
      <c r="I492" s="689"/>
      <c r="J492" s="689"/>
      <c r="K492" s="589">
        <f>E492-J492-L492-M492-N492-I492+F492+G492</f>
        <v>0</v>
      </c>
      <c r="L492" s="689"/>
      <c r="M492" s="689"/>
      <c r="N492" s="796"/>
      <c r="O492" s="722"/>
      <c r="P492" s="752">
        <f>-500+4243.54</f>
        <v>3743.54</v>
      </c>
      <c r="Q492" s="696">
        <f t="shared" si="80"/>
        <v>0</v>
      </c>
      <c r="R492" s="748" t="s">
        <v>410</v>
      </c>
    </row>
    <row r="493" ht="14.25" customHeight="1">
      <c r="A493" s="701"/>
      <c r="B493" s="754" t="s">
        <v>154</v>
      </c>
      <c r="C493" s="755" t="s">
        <v>80</v>
      </c>
      <c r="D493" s="755">
        <f>sum(D469:D492)</f>
        <v>20</v>
      </c>
      <c r="E493" s="756">
        <f t="shared" ref="E493:O493" si="83">SUM(E469:E492)</f>
        <v>46050</v>
      </c>
      <c r="F493" s="756">
        <f t="shared" si="83"/>
        <v>1100</v>
      </c>
      <c r="G493" s="756">
        <f t="shared" si="83"/>
        <v>0</v>
      </c>
      <c r="H493" s="756">
        <f t="shared" si="83"/>
        <v>0</v>
      </c>
      <c r="I493" s="756">
        <f t="shared" si="83"/>
        <v>0</v>
      </c>
      <c r="J493" s="756">
        <f t="shared" si="83"/>
        <v>17375</v>
      </c>
      <c r="K493" s="757">
        <f t="shared" si="83"/>
        <v>0</v>
      </c>
      <c r="L493" s="756">
        <f t="shared" si="83"/>
        <v>0</v>
      </c>
      <c r="M493" s="756">
        <f t="shared" si="83"/>
        <v>17075</v>
      </c>
      <c r="N493" s="756">
        <f t="shared" si="83"/>
        <v>12700</v>
      </c>
      <c r="O493" s="756">
        <f t="shared" si="83"/>
        <v>-11200</v>
      </c>
      <c r="P493" s="756">
        <f>SUM(P470:P492)</f>
        <v>2256.54</v>
      </c>
      <c r="Q493" s="758">
        <f>Q492</f>
        <v>0</v>
      </c>
      <c r="R493" s="759"/>
      <c r="S493" s="701"/>
      <c r="T493" s="701"/>
      <c r="U493" s="701"/>
      <c r="V493" s="701"/>
      <c r="W493" s="701"/>
      <c r="X493" s="701"/>
      <c r="Y493" s="701"/>
      <c r="Z493" s="701"/>
      <c r="AA493" s="701"/>
      <c r="AB493" s="701"/>
      <c r="AC493" s="701"/>
      <c r="AD493" s="701"/>
      <c r="AE493" s="701"/>
      <c r="AF493" s="701"/>
      <c r="AG493" s="701"/>
    </row>
    <row r="494" ht="14.25" customHeight="1">
      <c r="B494" s="682" t="s">
        <v>172</v>
      </c>
      <c r="C494" s="683">
        <v>46025.0</v>
      </c>
      <c r="D494" s="685">
        <v>2.0</v>
      </c>
      <c r="E494" s="686">
        <v>4000.0</v>
      </c>
      <c r="F494" s="688"/>
      <c r="G494" s="689"/>
      <c r="H494" s="744"/>
      <c r="I494" s="686"/>
      <c r="J494" s="686">
        <v>1000.0</v>
      </c>
      <c r="K494" s="589">
        <f t="shared" ref="K494:K506" si="84">E494-J494-L494-M494-N494-I494+F494+G494</f>
        <v>0</v>
      </c>
      <c r="L494" s="686"/>
      <c r="M494" s="689"/>
      <c r="N494" s="697">
        <v>3000.0</v>
      </c>
      <c r="O494" s="697">
        <v>-700.0</v>
      </c>
      <c r="P494" s="698"/>
      <c r="Q494" s="696">
        <f t="shared" ref="Q494:Q519" si="85">Q493+N494+O494+P494</f>
        <v>2300</v>
      </c>
      <c r="R494" s="700"/>
    </row>
    <row r="495">
      <c r="B495" s="690"/>
      <c r="C495" s="683">
        <v>46085.0</v>
      </c>
      <c r="D495" s="685">
        <v>1.0</v>
      </c>
      <c r="E495" s="686">
        <v>2300.0</v>
      </c>
      <c r="F495" s="689"/>
      <c r="G495" s="689"/>
      <c r="H495" s="690"/>
      <c r="I495" s="693"/>
      <c r="J495" s="693">
        <v>1000.0</v>
      </c>
      <c r="K495" s="589">
        <f t="shared" si="84"/>
        <v>0</v>
      </c>
      <c r="L495" s="686"/>
      <c r="M495" s="693">
        <v>1300.0</v>
      </c>
      <c r="N495" s="718"/>
      <c r="O495" s="697">
        <v>-700.0</v>
      </c>
      <c r="P495" s="752"/>
      <c r="Q495" s="696">
        <f t="shared" si="85"/>
        <v>1600</v>
      </c>
      <c r="R495" s="748"/>
    </row>
    <row r="496">
      <c r="B496" s="690"/>
      <c r="C496" s="683">
        <v>46117.0</v>
      </c>
      <c r="D496" s="685">
        <v>1.0</v>
      </c>
      <c r="E496" s="686">
        <v>2800.0</v>
      </c>
      <c r="F496" s="689"/>
      <c r="G496" s="689"/>
      <c r="H496" s="690"/>
      <c r="I496" s="693"/>
      <c r="J496" s="693">
        <v>1000.0</v>
      </c>
      <c r="K496" s="589">
        <f t="shared" si="84"/>
        <v>0</v>
      </c>
      <c r="L496" s="686"/>
      <c r="M496" s="693">
        <v>1800.0</v>
      </c>
      <c r="N496" s="718"/>
      <c r="O496" s="697">
        <v>-700.0</v>
      </c>
      <c r="P496" s="752"/>
      <c r="Q496" s="696">
        <f t="shared" si="85"/>
        <v>900</v>
      </c>
      <c r="R496" s="748"/>
    </row>
    <row r="497" ht="14.25" customHeight="1">
      <c r="B497" s="702"/>
      <c r="C497" s="704">
        <v>46149.0</v>
      </c>
      <c r="D497" s="705"/>
      <c r="E497" s="706"/>
      <c r="F497" s="706"/>
      <c r="G497" s="706"/>
      <c r="H497" s="702"/>
      <c r="I497" s="706"/>
      <c r="J497" s="706"/>
      <c r="K497" s="601">
        <f t="shared" si="84"/>
        <v>0</v>
      </c>
      <c r="L497" s="706"/>
      <c r="M497" s="706"/>
      <c r="N497" s="784"/>
      <c r="O497" s="706"/>
      <c r="P497" s="602"/>
      <c r="Q497" s="706">
        <f t="shared" si="85"/>
        <v>900</v>
      </c>
      <c r="R497" s="705"/>
    </row>
    <row r="498">
      <c r="B498" s="690"/>
      <c r="C498" s="683">
        <v>46211.0</v>
      </c>
      <c r="D498" s="685">
        <v>1.0</v>
      </c>
      <c r="E498" s="686">
        <v>2000.0</v>
      </c>
      <c r="F498" s="689">
        <v>300.0</v>
      </c>
      <c r="G498" s="689"/>
      <c r="H498" s="690"/>
      <c r="I498" s="693"/>
      <c r="J498" s="693"/>
      <c r="K498" s="589">
        <f t="shared" si="84"/>
        <v>0</v>
      </c>
      <c r="L498" s="686"/>
      <c r="M498" s="693"/>
      <c r="N498" s="718">
        <v>2300.0</v>
      </c>
      <c r="O498" s="697">
        <v>-700.0</v>
      </c>
      <c r="P498" s="752"/>
      <c r="Q498" s="696">
        <f t="shared" si="85"/>
        <v>2500</v>
      </c>
      <c r="R498" s="748"/>
    </row>
    <row r="499" ht="14.25" customHeight="1">
      <c r="B499" s="702"/>
      <c r="C499" s="704">
        <v>46243.0</v>
      </c>
      <c r="D499" s="705"/>
      <c r="E499" s="710"/>
      <c r="F499" s="706"/>
      <c r="G499" s="706"/>
      <c r="H499" s="711"/>
      <c r="I499" s="706"/>
      <c r="J499" s="710"/>
      <c r="K499" s="601">
        <f t="shared" si="84"/>
        <v>0</v>
      </c>
      <c r="L499" s="706"/>
      <c r="M499" s="706"/>
      <c r="N499" s="784"/>
      <c r="O499" s="706"/>
      <c r="P499" s="602"/>
      <c r="Q499" s="708">
        <f t="shared" si="85"/>
        <v>2500</v>
      </c>
      <c r="R499" s="705"/>
    </row>
    <row r="500" ht="14.25" customHeight="1">
      <c r="B500" s="702"/>
      <c r="C500" s="704">
        <v>46275.0</v>
      </c>
      <c r="D500" s="705">
        <v>1.0</v>
      </c>
      <c r="E500" s="710">
        <v>1000.0</v>
      </c>
      <c r="F500" s="706"/>
      <c r="G500" s="706"/>
      <c r="H500" s="711"/>
      <c r="I500" s="706"/>
      <c r="J500" s="710">
        <v>1000.0</v>
      </c>
      <c r="K500" s="601">
        <f t="shared" si="84"/>
        <v>0</v>
      </c>
      <c r="L500" s="706"/>
      <c r="M500" s="706"/>
      <c r="N500" s="784"/>
      <c r="O500" s="706"/>
      <c r="P500" s="602"/>
      <c r="Q500" s="708">
        <f t="shared" si="85"/>
        <v>2500</v>
      </c>
      <c r="R500" s="711" t="s">
        <v>98</v>
      </c>
    </row>
    <row r="501" ht="14.25" customHeight="1">
      <c r="B501" s="690"/>
      <c r="C501" s="683">
        <v>46306.0</v>
      </c>
      <c r="D501" s="685">
        <v>1.0</v>
      </c>
      <c r="E501" s="777">
        <v>2000.0</v>
      </c>
      <c r="F501" s="688"/>
      <c r="G501" s="689"/>
      <c r="H501" s="690"/>
      <c r="I501" s="693"/>
      <c r="J501" s="686">
        <v>1000.0</v>
      </c>
      <c r="K501" s="589">
        <f t="shared" si="84"/>
        <v>0</v>
      </c>
      <c r="L501" s="689"/>
      <c r="M501" s="686">
        <v>1000.0</v>
      </c>
      <c r="N501" s="785"/>
      <c r="O501" s="697">
        <v>-700.0</v>
      </c>
      <c r="P501" s="698"/>
      <c r="Q501" s="696">
        <f t="shared" si="85"/>
        <v>1800</v>
      </c>
      <c r="R501" s="700"/>
    </row>
    <row r="502" ht="14.25" customHeight="1">
      <c r="B502" s="690"/>
      <c r="C502" s="683">
        <v>46338.0</v>
      </c>
      <c r="D502" s="685">
        <v>1.0</v>
      </c>
      <c r="E502" s="777">
        <v>2800.0</v>
      </c>
      <c r="F502" s="686">
        <v>700.0</v>
      </c>
      <c r="G502" s="689"/>
      <c r="H502" s="744" t="s">
        <v>414</v>
      </c>
      <c r="I502" s="693"/>
      <c r="J502" s="686">
        <v>1500.0</v>
      </c>
      <c r="K502" s="589">
        <f t="shared" si="84"/>
        <v>0</v>
      </c>
      <c r="L502" s="693">
        <v>2000.0</v>
      </c>
      <c r="M502" s="686"/>
      <c r="N502" s="718"/>
      <c r="O502" s="697">
        <v>-700.0</v>
      </c>
      <c r="P502" s="698"/>
      <c r="Q502" s="696">
        <f t="shared" si="85"/>
        <v>1100</v>
      </c>
      <c r="R502" s="700"/>
    </row>
    <row r="503" ht="14.25" customHeight="1">
      <c r="B503" s="702"/>
      <c r="C503" s="704">
        <v>46369.0</v>
      </c>
      <c r="D503" s="705"/>
      <c r="E503" s="706"/>
      <c r="F503" s="706"/>
      <c r="G503" s="706"/>
      <c r="H503" s="702"/>
      <c r="I503" s="706"/>
      <c r="J503" s="706"/>
      <c r="K503" s="601">
        <f t="shared" si="84"/>
        <v>0</v>
      </c>
      <c r="L503" s="706"/>
      <c r="M503" s="706"/>
      <c r="N503" s="784"/>
      <c r="O503" s="706"/>
      <c r="P503" s="602"/>
      <c r="Q503" s="708">
        <f t="shared" si="85"/>
        <v>1100</v>
      </c>
      <c r="R503" s="705"/>
    </row>
    <row r="504" ht="14.25" customHeight="1">
      <c r="B504" s="690"/>
      <c r="C504" s="685" t="s">
        <v>46</v>
      </c>
      <c r="D504" s="685">
        <v>1.0</v>
      </c>
      <c r="E504" s="777">
        <v>2300.0</v>
      </c>
      <c r="F504" s="688"/>
      <c r="G504" s="689"/>
      <c r="H504" s="690"/>
      <c r="I504" s="693"/>
      <c r="J504" s="686">
        <v>1000.0</v>
      </c>
      <c r="K504" s="589">
        <f t="shared" si="84"/>
        <v>0</v>
      </c>
      <c r="L504" s="689"/>
      <c r="M504" s="686">
        <v>1300.0</v>
      </c>
      <c r="N504" s="718"/>
      <c r="O504" s="697">
        <v>-700.0</v>
      </c>
      <c r="P504" s="698"/>
      <c r="Q504" s="696">
        <f t="shared" si="85"/>
        <v>400</v>
      </c>
      <c r="R504" s="700"/>
    </row>
    <row r="505" ht="14.25" customHeight="1">
      <c r="B505" s="690"/>
      <c r="C505" s="685" t="s">
        <v>101</v>
      </c>
      <c r="D505" s="685">
        <v>2.0</v>
      </c>
      <c r="E505" s="686">
        <v>3700.0</v>
      </c>
      <c r="F505" s="689"/>
      <c r="G505" s="689"/>
      <c r="H505" s="690"/>
      <c r="I505" s="693"/>
      <c r="J505" s="686">
        <v>1500.0</v>
      </c>
      <c r="K505" s="589">
        <f t="shared" si="84"/>
        <v>0</v>
      </c>
      <c r="L505" s="689"/>
      <c r="M505" s="686">
        <v>2200.0</v>
      </c>
      <c r="N505" s="718"/>
      <c r="O505" s="697">
        <v>-700.0</v>
      </c>
      <c r="P505" s="698"/>
      <c r="Q505" s="696">
        <f t="shared" si="85"/>
        <v>-300</v>
      </c>
      <c r="R505" s="700"/>
    </row>
    <row r="506" ht="14.25" customHeight="1">
      <c r="B506" s="690"/>
      <c r="C506" s="685" t="s">
        <v>31</v>
      </c>
      <c r="D506" s="685">
        <v>1.0</v>
      </c>
      <c r="E506" s="686">
        <v>2000.0</v>
      </c>
      <c r="F506" s="689"/>
      <c r="G506" s="689"/>
      <c r="H506" s="690"/>
      <c r="I506" s="693"/>
      <c r="J506" s="686">
        <v>1000.0</v>
      </c>
      <c r="K506" s="589">
        <f t="shared" si="84"/>
        <v>0</v>
      </c>
      <c r="L506" s="689"/>
      <c r="M506" s="686">
        <v>1000.0</v>
      </c>
      <c r="N506" s="718"/>
      <c r="O506" s="697">
        <v>-700.0</v>
      </c>
      <c r="P506" s="698"/>
      <c r="Q506" s="696">
        <f t="shared" si="85"/>
        <v>-1000</v>
      </c>
      <c r="R506" s="700"/>
    </row>
    <row r="507" ht="14.25" customHeight="1">
      <c r="B507" s="690"/>
      <c r="C507" s="685" t="s">
        <v>32</v>
      </c>
      <c r="D507" s="685">
        <v>1.0</v>
      </c>
      <c r="E507" s="686">
        <v>2500.0</v>
      </c>
      <c r="F507" s="693"/>
      <c r="G507" s="689"/>
      <c r="H507" s="690"/>
      <c r="I507" s="693"/>
      <c r="J507" s="686">
        <v>1000.0</v>
      </c>
      <c r="K507" s="589">
        <f t="shared" ref="K507:K511" si="86">E507-J507-L507-M507-N507-I507+F507+G507-P507</f>
        <v>0</v>
      </c>
      <c r="L507" s="686"/>
      <c r="M507" s="686"/>
      <c r="N507" s="718">
        <v>1500.0</v>
      </c>
      <c r="O507" s="697">
        <v>-700.0</v>
      </c>
      <c r="P507" s="752"/>
      <c r="Q507" s="696">
        <f t="shared" si="85"/>
        <v>-200</v>
      </c>
      <c r="R507" s="748"/>
    </row>
    <row r="508" ht="14.25" customHeight="1">
      <c r="B508" s="690"/>
      <c r="C508" s="685" t="s">
        <v>33</v>
      </c>
      <c r="D508" s="685">
        <v>1.0</v>
      </c>
      <c r="E508" s="686">
        <v>2800.0</v>
      </c>
      <c r="F508" s="686"/>
      <c r="G508" s="689"/>
      <c r="H508" s="744"/>
      <c r="I508" s="686"/>
      <c r="J508" s="693">
        <v>1000.0</v>
      </c>
      <c r="K508" s="589">
        <f t="shared" si="86"/>
        <v>0</v>
      </c>
      <c r="L508" s="689"/>
      <c r="M508" s="693">
        <v>1800.0</v>
      </c>
      <c r="N508" s="718"/>
      <c r="O508" s="697">
        <v>-700.0</v>
      </c>
      <c r="P508" s="698"/>
      <c r="Q508" s="696">
        <f t="shared" si="85"/>
        <v>-900</v>
      </c>
      <c r="R508" s="700"/>
    </row>
    <row r="509" ht="14.25" customHeight="1">
      <c r="B509" s="702"/>
      <c r="C509" s="738" t="s">
        <v>34</v>
      </c>
      <c r="D509" s="705"/>
      <c r="E509" s="706"/>
      <c r="F509" s="706"/>
      <c r="G509" s="706"/>
      <c r="H509" s="702"/>
      <c r="I509" s="706"/>
      <c r="J509" s="706"/>
      <c r="K509" s="601">
        <f t="shared" si="86"/>
        <v>0</v>
      </c>
      <c r="L509" s="706"/>
      <c r="M509" s="706"/>
      <c r="N509" s="784"/>
      <c r="O509" s="706"/>
      <c r="P509" s="602"/>
      <c r="Q509" s="708">
        <f t="shared" si="85"/>
        <v>-900</v>
      </c>
      <c r="R509" s="705"/>
    </row>
    <row r="510" ht="14.25" customHeight="1">
      <c r="B510" s="690"/>
      <c r="C510" s="685" t="s">
        <v>35</v>
      </c>
      <c r="D510" s="685">
        <v>1.0</v>
      </c>
      <c r="E510" s="686">
        <f>1850+2000</f>
        <v>3850</v>
      </c>
      <c r="F510" s="686">
        <v>350.0</v>
      </c>
      <c r="G510" s="689"/>
      <c r="H510" s="744"/>
      <c r="I510" s="686"/>
      <c r="J510" s="693">
        <v>1175.0</v>
      </c>
      <c r="K510" s="589">
        <f t="shared" si="86"/>
        <v>0</v>
      </c>
      <c r="L510" s="689"/>
      <c r="M510" s="693">
        <f>1850+1175</f>
        <v>3025</v>
      </c>
      <c r="N510" s="718"/>
      <c r="O510" s="697">
        <v>-700.0</v>
      </c>
      <c r="P510" s="752"/>
      <c r="Q510" s="696">
        <f t="shared" si="85"/>
        <v>-1600</v>
      </c>
      <c r="R510" s="748"/>
    </row>
    <row r="511" ht="14.25" customHeight="1">
      <c r="B511" s="702"/>
      <c r="C511" s="738" t="s">
        <v>37</v>
      </c>
      <c r="D511" s="705"/>
      <c r="E511" s="706"/>
      <c r="F511" s="706"/>
      <c r="G511" s="706"/>
      <c r="H511" s="702"/>
      <c r="I511" s="706"/>
      <c r="J511" s="706"/>
      <c r="K511" s="601">
        <f t="shared" si="86"/>
        <v>0</v>
      </c>
      <c r="L511" s="706"/>
      <c r="M511" s="706"/>
      <c r="N511" s="784"/>
      <c r="O511" s="706"/>
      <c r="P511" s="630"/>
      <c r="Q511" s="708">
        <f t="shared" si="85"/>
        <v>-1600</v>
      </c>
      <c r="R511" s="711"/>
    </row>
    <row r="512" ht="14.25" customHeight="1">
      <c r="B512" s="690"/>
      <c r="C512" s="685" t="s">
        <v>108</v>
      </c>
      <c r="D512" s="685">
        <v>1.0</v>
      </c>
      <c r="E512" s="686">
        <v>4300.0</v>
      </c>
      <c r="F512" s="693"/>
      <c r="G512" s="689"/>
      <c r="H512" s="690"/>
      <c r="I512" s="693"/>
      <c r="J512" s="686">
        <v>1500.0</v>
      </c>
      <c r="K512" s="589">
        <f t="shared" ref="K512:K515" si="87">E512-J512-L512-M512-N512-I512+F512+G512</f>
        <v>0</v>
      </c>
      <c r="L512" s="689"/>
      <c r="M512" s="693">
        <v>2800.0</v>
      </c>
      <c r="N512" s="785"/>
      <c r="O512" s="697">
        <v>-700.0</v>
      </c>
      <c r="P512" s="752"/>
      <c r="Q512" s="696">
        <f t="shared" si="85"/>
        <v>-2300</v>
      </c>
      <c r="R512" s="748"/>
      <c r="T512" s="174" t="s">
        <v>415</v>
      </c>
    </row>
    <row r="513" ht="14.25" customHeight="1">
      <c r="B513" s="690"/>
      <c r="C513" s="685" t="s">
        <v>45</v>
      </c>
      <c r="D513" s="685">
        <v>1.0</v>
      </c>
      <c r="E513" s="686">
        <v>3150.0</v>
      </c>
      <c r="F513" s="693"/>
      <c r="G513" s="689"/>
      <c r="H513" s="690"/>
      <c r="I513" s="693"/>
      <c r="J513" s="686">
        <v>1000.0</v>
      </c>
      <c r="K513" s="589">
        <f t="shared" si="87"/>
        <v>0</v>
      </c>
      <c r="L513" s="689"/>
      <c r="M513" s="693">
        <v>2150.0</v>
      </c>
      <c r="N513" s="718"/>
      <c r="O513" s="697">
        <v>-700.0</v>
      </c>
      <c r="P513" s="752"/>
      <c r="Q513" s="696">
        <f t="shared" si="85"/>
        <v>-3000</v>
      </c>
      <c r="R513" s="748"/>
    </row>
    <row r="514" ht="14.25" customHeight="1">
      <c r="B514" s="702"/>
      <c r="C514" s="738" t="s">
        <v>47</v>
      </c>
      <c r="D514" s="705"/>
      <c r="E514" s="706"/>
      <c r="F514" s="706"/>
      <c r="G514" s="706"/>
      <c r="H514" s="702"/>
      <c r="I514" s="706"/>
      <c r="J514" s="706"/>
      <c r="K514" s="601">
        <f t="shared" si="87"/>
        <v>0</v>
      </c>
      <c r="L514" s="706"/>
      <c r="M514" s="706"/>
      <c r="N514" s="784"/>
      <c r="O514" s="706"/>
      <c r="P514" s="630"/>
      <c r="Q514" s="708">
        <f t="shared" si="85"/>
        <v>-3000</v>
      </c>
      <c r="R514" s="711"/>
    </row>
    <row r="515" ht="14.25" customHeight="1">
      <c r="B515" s="690"/>
      <c r="C515" s="685" t="s">
        <v>72</v>
      </c>
      <c r="D515" s="685">
        <v>1.0</v>
      </c>
      <c r="E515" s="686">
        <v>2000.0</v>
      </c>
      <c r="F515" s="693">
        <v>450.0</v>
      </c>
      <c r="G515" s="689"/>
      <c r="H515" s="690"/>
      <c r="I515" s="689"/>
      <c r="J515" s="686">
        <v>1225.0</v>
      </c>
      <c r="K515" s="589">
        <f t="shared" si="87"/>
        <v>0</v>
      </c>
      <c r="L515" s="689"/>
      <c r="M515" s="693">
        <v>1225.0</v>
      </c>
      <c r="N515" s="718"/>
      <c r="O515" s="697">
        <v>-700.0</v>
      </c>
      <c r="P515" s="752"/>
      <c r="Q515" s="696">
        <f t="shared" si="85"/>
        <v>-3700</v>
      </c>
      <c r="R515" s="748"/>
    </row>
    <row r="516" ht="14.25" customHeight="1">
      <c r="B516" s="690"/>
      <c r="C516" s="685" t="s">
        <v>73</v>
      </c>
      <c r="D516" s="744">
        <v>1.0</v>
      </c>
      <c r="E516" s="693">
        <v>2000.0</v>
      </c>
      <c r="F516" s="693">
        <v>450.0</v>
      </c>
      <c r="G516" s="689"/>
      <c r="H516" s="690"/>
      <c r="I516" s="689"/>
      <c r="J516" s="693">
        <v>1000.0</v>
      </c>
      <c r="K516" s="589">
        <f>E516-J516-L516-M516-N516-I516+F516+G516-P516</f>
        <v>0</v>
      </c>
      <c r="L516" s="689"/>
      <c r="M516" s="689"/>
      <c r="N516" s="718">
        <v>1000.0</v>
      </c>
      <c r="O516" s="697">
        <v>-700.0</v>
      </c>
      <c r="P516" s="752">
        <v>450.0</v>
      </c>
      <c r="Q516" s="696">
        <f t="shared" si="85"/>
        <v>-2950</v>
      </c>
      <c r="R516" s="748" t="s">
        <v>43</v>
      </c>
    </row>
    <row r="517" ht="14.25" customHeight="1">
      <c r="B517" s="690"/>
      <c r="C517" s="744" t="s">
        <v>49</v>
      </c>
      <c r="D517" s="744">
        <v>1.0</v>
      </c>
      <c r="E517" s="693">
        <v>2000.0</v>
      </c>
      <c r="F517" s="693">
        <v>350.0</v>
      </c>
      <c r="G517" s="689"/>
      <c r="H517" s="690"/>
      <c r="I517" s="689"/>
      <c r="J517" s="693">
        <v>1000.0</v>
      </c>
      <c r="K517" s="589">
        <f t="shared" ref="K517:K520" si="88">E517-J517-L517-M517-N517-I517+F517+G517</f>
        <v>0</v>
      </c>
      <c r="L517" s="689"/>
      <c r="M517" s="693">
        <v>1350.0</v>
      </c>
      <c r="N517" s="796"/>
      <c r="O517" s="697">
        <v>-700.0</v>
      </c>
      <c r="P517" s="752"/>
      <c r="Q517" s="696">
        <f t="shared" si="85"/>
        <v>-3650</v>
      </c>
      <c r="R517" s="748"/>
    </row>
    <row r="518" ht="14.25" customHeight="1">
      <c r="B518" s="702"/>
      <c r="C518" s="738" t="s">
        <v>50</v>
      </c>
      <c r="D518" s="705"/>
      <c r="E518" s="706"/>
      <c r="F518" s="706"/>
      <c r="G518" s="706"/>
      <c r="H518" s="702"/>
      <c r="I518" s="706"/>
      <c r="J518" s="706"/>
      <c r="K518" s="601">
        <f t="shared" si="88"/>
        <v>0</v>
      </c>
      <c r="L518" s="706"/>
      <c r="M518" s="706"/>
      <c r="N518" s="784"/>
      <c r="O518" s="706"/>
      <c r="P518" s="630"/>
      <c r="Q518" s="708">
        <f t="shared" si="85"/>
        <v>-3650</v>
      </c>
      <c r="R518" s="711"/>
    </row>
    <row r="519" ht="14.25" customHeight="1">
      <c r="B519" s="690"/>
      <c r="C519" s="744" t="s">
        <v>52</v>
      </c>
      <c r="D519" s="744">
        <v>1.0</v>
      </c>
      <c r="E519" s="693">
        <v>2000.0</v>
      </c>
      <c r="F519" s="689"/>
      <c r="G519" s="689"/>
      <c r="H519" s="690"/>
      <c r="I519" s="689"/>
      <c r="J519" s="693">
        <v>1000.0</v>
      </c>
      <c r="K519" s="589">
        <f t="shared" si="88"/>
        <v>0</v>
      </c>
      <c r="L519" s="689"/>
      <c r="M519" s="693">
        <v>1000.0</v>
      </c>
      <c r="N519" s="796"/>
      <c r="O519" s="697">
        <v>-700.0</v>
      </c>
      <c r="P519" s="752"/>
      <c r="Q519" s="696">
        <f t="shared" si="85"/>
        <v>-4350</v>
      </c>
      <c r="R519" s="748"/>
    </row>
    <row r="520" ht="14.25" customHeight="1">
      <c r="B520" s="690"/>
      <c r="C520" s="753"/>
      <c r="D520" s="753"/>
      <c r="E520" s="689"/>
      <c r="F520" s="689"/>
      <c r="G520" s="689"/>
      <c r="H520" s="690"/>
      <c r="I520" s="689"/>
      <c r="J520" s="689"/>
      <c r="K520" s="589">
        <f t="shared" si="88"/>
        <v>0</v>
      </c>
      <c r="L520" s="689"/>
      <c r="M520" s="689"/>
      <c r="N520" s="796"/>
      <c r="O520" s="722"/>
      <c r="P520" s="752">
        <v>-500.0</v>
      </c>
      <c r="Q520" s="696">
        <f>Q515+N520+O520+P520</f>
        <v>-4200</v>
      </c>
      <c r="R520" s="748" t="s">
        <v>416</v>
      </c>
    </row>
    <row r="521" ht="14.25" customHeight="1">
      <c r="A521" s="701"/>
      <c r="B521" s="754" t="str">
        <f>B494</f>
        <v>JUL</v>
      </c>
      <c r="C521" s="755" t="s">
        <v>80</v>
      </c>
      <c r="D521" s="755">
        <f>sum(D494:D520)</f>
        <v>21</v>
      </c>
      <c r="E521" s="756">
        <f t="shared" ref="E521:O521" si="89">SUM(E494:E520)</f>
        <v>49500</v>
      </c>
      <c r="F521" s="756">
        <f t="shared" si="89"/>
        <v>2600</v>
      </c>
      <c r="G521" s="756">
        <f t="shared" si="89"/>
        <v>0</v>
      </c>
      <c r="H521" s="756">
        <f t="shared" si="89"/>
        <v>0</v>
      </c>
      <c r="I521" s="756">
        <f t="shared" si="89"/>
        <v>0</v>
      </c>
      <c r="J521" s="756">
        <f t="shared" si="89"/>
        <v>19900</v>
      </c>
      <c r="K521" s="757">
        <f t="shared" si="89"/>
        <v>0</v>
      </c>
      <c r="L521" s="756">
        <f t="shared" si="89"/>
        <v>2000</v>
      </c>
      <c r="M521" s="756">
        <f t="shared" si="89"/>
        <v>21950</v>
      </c>
      <c r="N521" s="756">
        <f t="shared" si="89"/>
        <v>7800</v>
      </c>
      <c r="O521" s="756">
        <f t="shared" si="89"/>
        <v>-12600</v>
      </c>
      <c r="P521" s="756">
        <f>SUM(P495:P520)</f>
        <v>-50</v>
      </c>
      <c r="Q521" s="758">
        <f>Q520</f>
        <v>-4200</v>
      </c>
      <c r="R521" s="759"/>
      <c r="S521" s="701"/>
      <c r="T521" s="701"/>
      <c r="U521" s="701"/>
      <c r="V521" s="701"/>
      <c r="W521" s="701"/>
      <c r="X521" s="701"/>
      <c r="Y521" s="701"/>
      <c r="Z521" s="701"/>
      <c r="AA521" s="701"/>
      <c r="AB521" s="701"/>
      <c r="AC521" s="701"/>
      <c r="AD521" s="701"/>
      <c r="AE521" s="701"/>
      <c r="AF521" s="701"/>
      <c r="AG521" s="701"/>
    </row>
    <row r="522">
      <c r="B522" s="702" t="s">
        <v>166</v>
      </c>
      <c r="C522" s="704">
        <v>46024.0</v>
      </c>
      <c r="D522" s="705">
        <v>1.0</v>
      </c>
      <c r="E522" s="706">
        <v>1000.0</v>
      </c>
      <c r="F522" s="706"/>
      <c r="G522" s="706"/>
      <c r="H522" s="711" t="s">
        <v>98</v>
      </c>
      <c r="I522" s="706"/>
      <c r="J522" s="706">
        <v>1000.0</v>
      </c>
      <c r="K522" s="601">
        <f t="shared" ref="K522:K529" si="90">E522-J522-L522-M522-N522-I522+F522+G522</f>
        <v>0</v>
      </c>
      <c r="L522" s="706"/>
      <c r="M522" s="706"/>
      <c r="N522" s="784"/>
      <c r="O522" s="706"/>
      <c r="P522" s="602"/>
      <c r="Q522" s="706">
        <f t="shared" ref="Q522:Q542" si="91">Q521+N522+O522+P522</f>
        <v>-4200</v>
      </c>
      <c r="R522" s="705"/>
    </row>
    <row r="523">
      <c r="B523" s="690"/>
      <c r="C523" s="683">
        <v>46024.0</v>
      </c>
      <c r="D523" s="685">
        <v>1.0</v>
      </c>
      <c r="E523" s="686">
        <v>2800.0</v>
      </c>
      <c r="F523" s="693">
        <v>500.0</v>
      </c>
      <c r="G523" s="689"/>
      <c r="H523" s="690"/>
      <c r="I523" s="693"/>
      <c r="J523" s="693">
        <v>1000.0</v>
      </c>
      <c r="K523" s="589">
        <f t="shared" si="90"/>
        <v>0</v>
      </c>
      <c r="L523" s="686">
        <v>2300.0</v>
      </c>
      <c r="M523" s="693"/>
      <c r="N523" s="785"/>
      <c r="O523" s="697">
        <v>-700.0</v>
      </c>
      <c r="P523" s="752"/>
      <c r="Q523" s="696">
        <f t="shared" si="91"/>
        <v>-4900</v>
      </c>
      <c r="R523" s="748"/>
    </row>
    <row r="524" ht="14.25" customHeight="1">
      <c r="B524" s="702"/>
      <c r="C524" s="704">
        <v>46059.0</v>
      </c>
      <c r="D524" s="705"/>
      <c r="E524" s="706"/>
      <c r="F524" s="706"/>
      <c r="G524" s="706"/>
      <c r="H524" s="702"/>
      <c r="I524" s="706"/>
      <c r="J524" s="706"/>
      <c r="K524" s="601">
        <f t="shared" si="90"/>
        <v>0</v>
      </c>
      <c r="L524" s="706"/>
      <c r="M524" s="706"/>
      <c r="N524" s="784"/>
      <c r="O524" s="706"/>
      <c r="P524" s="602"/>
      <c r="Q524" s="706">
        <f t="shared" si="91"/>
        <v>-4900</v>
      </c>
      <c r="R524" s="705"/>
    </row>
    <row r="525">
      <c r="B525" s="690"/>
      <c r="C525" s="683">
        <v>46180.0</v>
      </c>
      <c r="D525" s="685">
        <v>1.0</v>
      </c>
      <c r="E525" s="686">
        <v>2000.0</v>
      </c>
      <c r="F525" s="689"/>
      <c r="G525" s="689"/>
      <c r="H525" s="690"/>
      <c r="I525" s="693"/>
      <c r="J525" s="693">
        <v>1000.0</v>
      </c>
      <c r="K525" s="589">
        <f t="shared" si="90"/>
        <v>0</v>
      </c>
      <c r="L525" s="686"/>
      <c r="M525" s="693"/>
      <c r="N525" s="718">
        <v>1000.0</v>
      </c>
      <c r="O525" s="697">
        <v>-700.0</v>
      </c>
      <c r="P525" s="752"/>
      <c r="Q525" s="696">
        <f t="shared" si="91"/>
        <v>-4600</v>
      </c>
      <c r="R525" s="748"/>
    </row>
    <row r="526" ht="14.25" customHeight="1">
      <c r="B526" s="702"/>
      <c r="C526" s="704">
        <v>46211.0</v>
      </c>
      <c r="D526" s="705"/>
      <c r="E526" s="706"/>
      <c r="F526" s="706"/>
      <c r="G526" s="706"/>
      <c r="H526" s="702"/>
      <c r="I526" s="706"/>
      <c r="J526" s="706"/>
      <c r="K526" s="601">
        <f t="shared" si="90"/>
        <v>0</v>
      </c>
      <c r="L526" s="706"/>
      <c r="M526" s="706"/>
      <c r="N526" s="784"/>
      <c r="O526" s="706"/>
      <c r="P526" s="602"/>
      <c r="Q526" s="706">
        <f t="shared" si="91"/>
        <v>-4600</v>
      </c>
      <c r="R526" s="705"/>
    </row>
    <row r="527" ht="14.25" customHeight="1">
      <c r="B527" s="690"/>
      <c r="C527" s="683">
        <v>46244.0</v>
      </c>
      <c r="D527" s="685">
        <v>2.0</v>
      </c>
      <c r="E527" s="686">
        <v>5500.0</v>
      </c>
      <c r="F527" s="693"/>
      <c r="G527" s="693"/>
      <c r="H527" s="744"/>
      <c r="I527" s="693"/>
      <c r="J527" s="693">
        <v>1500.0</v>
      </c>
      <c r="K527" s="589">
        <f t="shared" si="90"/>
        <v>0</v>
      </c>
      <c r="L527" s="686"/>
      <c r="M527" s="693">
        <v>4000.0</v>
      </c>
      <c r="N527" s="718"/>
      <c r="O527" s="697">
        <v>-700.0</v>
      </c>
      <c r="P527" s="698"/>
      <c r="Q527" s="696">
        <f t="shared" si="91"/>
        <v>-5300</v>
      </c>
      <c r="R527" s="700"/>
    </row>
    <row r="528" ht="14.25" customHeight="1">
      <c r="B528" s="702"/>
      <c r="C528" s="704">
        <v>46310.0</v>
      </c>
      <c r="D528" s="705"/>
      <c r="E528" s="706"/>
      <c r="F528" s="706"/>
      <c r="G528" s="706"/>
      <c r="H528" s="702"/>
      <c r="I528" s="706"/>
      <c r="J528" s="706"/>
      <c r="K528" s="601">
        <f t="shared" si="90"/>
        <v>0</v>
      </c>
      <c r="L528" s="706"/>
      <c r="M528" s="706"/>
      <c r="N528" s="784"/>
      <c r="O528" s="706"/>
      <c r="P528" s="602"/>
      <c r="Q528" s="708">
        <f t="shared" si="91"/>
        <v>-5300</v>
      </c>
      <c r="R528" s="705"/>
    </row>
    <row r="529" ht="14.25" customHeight="1">
      <c r="B529" s="690"/>
      <c r="C529" s="685" t="s">
        <v>30</v>
      </c>
      <c r="D529" s="685">
        <v>1.0</v>
      </c>
      <c r="E529" s="777">
        <v>2800.0</v>
      </c>
      <c r="F529" s="688"/>
      <c r="G529" s="689"/>
      <c r="H529" s="690"/>
      <c r="I529" s="693"/>
      <c r="J529" s="686">
        <v>1000.0</v>
      </c>
      <c r="K529" s="589">
        <f t="shared" si="90"/>
        <v>0</v>
      </c>
      <c r="L529" s="689"/>
      <c r="M529" s="686">
        <v>1800.0</v>
      </c>
      <c r="N529" s="718"/>
      <c r="O529" s="697">
        <v>-700.0</v>
      </c>
      <c r="P529" s="698"/>
      <c r="Q529" s="696">
        <f t="shared" si="91"/>
        <v>-6000</v>
      </c>
      <c r="R529" s="700"/>
    </row>
    <row r="530" ht="14.25" customHeight="1">
      <c r="B530" s="690"/>
      <c r="C530" s="685" t="s">
        <v>31</v>
      </c>
      <c r="D530" s="685">
        <v>1.0</v>
      </c>
      <c r="E530" s="777">
        <v>2500.0</v>
      </c>
      <c r="F530" s="686">
        <v>450.0</v>
      </c>
      <c r="G530" s="689"/>
      <c r="H530" s="690"/>
      <c r="I530" s="693"/>
      <c r="J530" s="686">
        <v>1000.0</v>
      </c>
      <c r="K530" s="589">
        <f>E530-J530-L530-M530-N530-I530+F530+G530-P530</f>
        <v>0</v>
      </c>
      <c r="L530" s="689"/>
      <c r="M530" s="686"/>
      <c r="N530" s="718">
        <v>1500.0</v>
      </c>
      <c r="O530" s="697">
        <v>-700.0</v>
      </c>
      <c r="P530" s="752">
        <v>450.0</v>
      </c>
      <c r="Q530" s="696">
        <f t="shared" si="91"/>
        <v>-4750</v>
      </c>
      <c r="R530" s="700"/>
    </row>
    <row r="531" ht="14.25" customHeight="1">
      <c r="B531" s="702"/>
      <c r="C531" s="738" t="s">
        <v>32</v>
      </c>
      <c r="D531" s="705"/>
      <c r="E531" s="706"/>
      <c r="F531" s="706"/>
      <c r="G531" s="706"/>
      <c r="H531" s="702"/>
      <c r="I531" s="706"/>
      <c r="J531" s="706"/>
      <c r="K531" s="601">
        <f>E531-J531-L531-M531-N531-I531+F531+G531</f>
        <v>0</v>
      </c>
      <c r="L531" s="706"/>
      <c r="M531" s="706"/>
      <c r="N531" s="784"/>
      <c r="O531" s="706"/>
      <c r="P531" s="602"/>
      <c r="Q531" s="708">
        <f t="shared" si="91"/>
        <v>-4750</v>
      </c>
      <c r="R531" s="705"/>
    </row>
    <row r="532" ht="14.25" customHeight="1">
      <c r="B532" s="690"/>
      <c r="C532" s="685" t="s">
        <v>33</v>
      </c>
      <c r="D532" s="685">
        <v>1.0</v>
      </c>
      <c r="E532" s="777">
        <v>2300.0</v>
      </c>
      <c r="F532" s="688"/>
      <c r="G532" s="689"/>
      <c r="H532" s="690"/>
      <c r="I532" s="693"/>
      <c r="J532" s="686">
        <v>1000.0</v>
      </c>
      <c r="K532" s="589">
        <f t="shared" ref="K532:K539" si="92">E532-J532-L532-M532-N532-I532+F532+G532-P532</f>
        <v>0</v>
      </c>
      <c r="L532" s="689"/>
      <c r="M532" s="686">
        <v>1300.0</v>
      </c>
      <c r="N532" s="718"/>
      <c r="O532" s="697">
        <v>-700.0</v>
      </c>
      <c r="P532" s="698"/>
      <c r="Q532" s="696">
        <f t="shared" si="91"/>
        <v>-5450</v>
      </c>
      <c r="R532" s="700"/>
    </row>
    <row r="533" ht="14.25" customHeight="1">
      <c r="B533" s="690"/>
      <c r="C533" s="685" t="s">
        <v>34</v>
      </c>
      <c r="D533" s="685">
        <v>1.0</v>
      </c>
      <c r="E533" s="686">
        <v>2000.0</v>
      </c>
      <c r="F533" s="693">
        <v>400.0</v>
      </c>
      <c r="G533" s="689"/>
      <c r="H533" s="690"/>
      <c r="I533" s="693"/>
      <c r="J533" s="686"/>
      <c r="K533" s="589">
        <f t="shared" si="92"/>
        <v>0</v>
      </c>
      <c r="L533" s="689"/>
      <c r="M533" s="688"/>
      <c r="N533" s="718">
        <v>2000.0</v>
      </c>
      <c r="O533" s="697">
        <v>-700.0</v>
      </c>
      <c r="P533" s="752">
        <v>400.0</v>
      </c>
      <c r="Q533" s="696">
        <f t="shared" si="91"/>
        <v>-3750</v>
      </c>
      <c r="R533" s="748" t="s">
        <v>134</v>
      </c>
    </row>
    <row r="534" ht="14.25" customHeight="1">
      <c r="B534" s="690"/>
      <c r="C534" s="685" t="s">
        <v>69</v>
      </c>
      <c r="D534" s="685">
        <v>1.0</v>
      </c>
      <c r="E534" s="686">
        <v>2000.0</v>
      </c>
      <c r="F534" s="689"/>
      <c r="G534" s="689"/>
      <c r="H534" s="690"/>
      <c r="I534" s="693"/>
      <c r="J534" s="686">
        <v>1000.0</v>
      </c>
      <c r="K534" s="589">
        <f t="shared" si="92"/>
        <v>0</v>
      </c>
      <c r="L534" s="689"/>
      <c r="M534" s="688"/>
      <c r="N534" s="718">
        <v>1000.0</v>
      </c>
      <c r="O534" s="697">
        <v>-700.0</v>
      </c>
      <c r="P534" s="698"/>
      <c r="Q534" s="696">
        <f t="shared" si="91"/>
        <v>-3450</v>
      </c>
      <c r="R534" s="700"/>
    </row>
    <row r="535" ht="14.25" customHeight="1">
      <c r="B535" s="690"/>
      <c r="C535" s="685" t="s">
        <v>78</v>
      </c>
      <c r="D535" s="685">
        <v>2.0</v>
      </c>
      <c r="E535" s="686">
        <v>5300.0</v>
      </c>
      <c r="F535" s="693"/>
      <c r="G535" s="689"/>
      <c r="H535" s="690"/>
      <c r="I535" s="693"/>
      <c r="J535" s="686">
        <v>1500.0</v>
      </c>
      <c r="K535" s="589">
        <f t="shared" si="92"/>
        <v>0</v>
      </c>
      <c r="L535" s="686"/>
      <c r="M535" s="686">
        <v>3800.0</v>
      </c>
      <c r="N535" s="718"/>
      <c r="O535" s="697">
        <v>-700.0</v>
      </c>
      <c r="P535" s="752"/>
      <c r="Q535" s="696">
        <f t="shared" si="91"/>
        <v>-4150</v>
      </c>
      <c r="R535" s="748"/>
    </row>
    <row r="536" ht="14.25" customHeight="1">
      <c r="B536" s="702"/>
      <c r="C536" s="738" t="s">
        <v>41</v>
      </c>
      <c r="D536" s="705"/>
      <c r="E536" s="706"/>
      <c r="F536" s="706"/>
      <c r="G536" s="706"/>
      <c r="H536" s="702"/>
      <c r="I536" s="706"/>
      <c r="J536" s="706"/>
      <c r="K536" s="601">
        <f t="shared" si="92"/>
        <v>0</v>
      </c>
      <c r="L536" s="706"/>
      <c r="M536" s="706"/>
      <c r="N536" s="784"/>
      <c r="O536" s="706"/>
      <c r="P536" s="630"/>
      <c r="Q536" s="708">
        <f t="shared" si="91"/>
        <v>-4150</v>
      </c>
      <c r="R536" s="711"/>
    </row>
    <row r="537" ht="14.25" customHeight="1">
      <c r="B537" s="690"/>
      <c r="C537" s="685" t="s">
        <v>71</v>
      </c>
      <c r="D537" s="685">
        <v>2.0</v>
      </c>
      <c r="E537" s="686">
        <v>4000.0</v>
      </c>
      <c r="F537" s="686"/>
      <c r="G537" s="689"/>
      <c r="H537" s="744"/>
      <c r="I537" s="686"/>
      <c r="J537" s="693">
        <v>1000.0</v>
      </c>
      <c r="K537" s="589">
        <f t="shared" si="92"/>
        <v>0</v>
      </c>
      <c r="L537" s="689"/>
      <c r="M537" s="693">
        <v>2000.0</v>
      </c>
      <c r="N537" s="718">
        <v>1000.0</v>
      </c>
      <c r="O537" s="697">
        <v>-700.0</v>
      </c>
      <c r="P537" s="752"/>
      <c r="Q537" s="696">
        <f t="shared" si="91"/>
        <v>-3850</v>
      </c>
      <c r="R537" s="700"/>
    </row>
    <row r="538" ht="14.25" customHeight="1">
      <c r="B538" s="702"/>
      <c r="C538" s="738" t="s">
        <v>86</v>
      </c>
      <c r="D538" s="705"/>
      <c r="E538" s="706"/>
      <c r="F538" s="706"/>
      <c r="G538" s="706"/>
      <c r="H538" s="702"/>
      <c r="I538" s="706"/>
      <c r="J538" s="706"/>
      <c r="K538" s="601">
        <f t="shared" si="92"/>
        <v>0</v>
      </c>
      <c r="L538" s="706"/>
      <c r="M538" s="706"/>
      <c r="N538" s="784"/>
      <c r="O538" s="706"/>
      <c r="P538" s="630"/>
      <c r="Q538" s="708">
        <f t="shared" si="91"/>
        <v>-3850</v>
      </c>
      <c r="R538" s="711"/>
    </row>
    <row r="539" ht="14.25" customHeight="1">
      <c r="B539" s="690"/>
      <c r="C539" s="685" t="s">
        <v>88</v>
      </c>
      <c r="D539" s="685">
        <v>2.0</v>
      </c>
      <c r="E539" s="686">
        <v>5000.0</v>
      </c>
      <c r="F539" s="693"/>
      <c r="G539" s="689"/>
      <c r="H539" s="690"/>
      <c r="I539" s="693"/>
      <c r="J539" s="686">
        <v>1500.0</v>
      </c>
      <c r="K539" s="589">
        <f t="shared" si="92"/>
        <v>0</v>
      </c>
      <c r="L539" s="689"/>
      <c r="M539" s="693">
        <v>3500.0</v>
      </c>
      <c r="N539" s="718"/>
      <c r="O539" s="697">
        <v>-700.0</v>
      </c>
      <c r="P539" s="752"/>
      <c r="Q539" s="696">
        <f t="shared" si="91"/>
        <v>-4550</v>
      </c>
      <c r="R539" s="748"/>
    </row>
    <row r="540" ht="14.25" customHeight="1">
      <c r="B540" s="690"/>
      <c r="C540" s="685" t="s">
        <v>50</v>
      </c>
      <c r="D540" s="685">
        <v>1.0</v>
      </c>
      <c r="E540" s="686">
        <v>3300.0</v>
      </c>
      <c r="F540" s="693"/>
      <c r="G540" s="689"/>
      <c r="H540" s="690"/>
      <c r="I540" s="693"/>
      <c r="J540" s="686">
        <v>1000.0</v>
      </c>
      <c r="K540" s="589">
        <f t="shared" ref="K540:K542" si="93">E540-J540-L540-M540-N540-I540+F540+G540</f>
        <v>0</v>
      </c>
      <c r="L540" s="689"/>
      <c r="M540" s="693"/>
      <c r="N540" s="718">
        <v>2300.0</v>
      </c>
      <c r="O540" s="697">
        <v>-700.0</v>
      </c>
      <c r="P540" s="752"/>
      <c r="Q540" s="696">
        <f t="shared" si="91"/>
        <v>-2950</v>
      </c>
      <c r="R540" s="748"/>
    </row>
    <row r="541" ht="14.25" customHeight="1">
      <c r="B541" s="690"/>
      <c r="C541" s="685"/>
      <c r="D541" s="685"/>
      <c r="E541" s="686"/>
      <c r="F541" s="693"/>
      <c r="G541" s="689"/>
      <c r="H541" s="690"/>
      <c r="I541" s="693"/>
      <c r="J541" s="686"/>
      <c r="K541" s="589">
        <f t="shared" si="93"/>
        <v>0</v>
      </c>
      <c r="L541" s="689"/>
      <c r="M541" s="693"/>
      <c r="N541" s="718"/>
      <c r="O541" s="697"/>
      <c r="P541" s="752">
        <v>-500.0</v>
      </c>
      <c r="Q541" s="696">
        <f t="shared" si="91"/>
        <v>-3450</v>
      </c>
      <c r="R541" s="748" t="s">
        <v>419</v>
      </c>
    </row>
    <row r="542" ht="14.25" customHeight="1">
      <c r="B542" s="690"/>
      <c r="C542" s="685"/>
      <c r="D542" s="685"/>
      <c r="E542" s="686"/>
      <c r="F542" s="693"/>
      <c r="G542" s="689"/>
      <c r="H542" s="690"/>
      <c r="I542" s="689"/>
      <c r="J542" s="686"/>
      <c r="K542" s="589">
        <f t="shared" si="93"/>
        <v>0</v>
      </c>
      <c r="L542" s="689"/>
      <c r="M542" s="693"/>
      <c r="N542" s="718"/>
      <c r="O542" s="697"/>
      <c r="P542" s="752">
        <v>-2241.17</v>
      </c>
      <c r="Q542" s="696">
        <f t="shared" si="91"/>
        <v>-5691.17</v>
      </c>
      <c r="R542" s="748" t="s">
        <v>55</v>
      </c>
    </row>
    <row r="543" ht="14.25" customHeight="1">
      <c r="A543" s="701"/>
      <c r="B543" s="754" t="str">
        <f>B522</f>
        <v>AUG</v>
      </c>
      <c r="C543" s="755" t="s">
        <v>80</v>
      </c>
      <c r="D543" s="755">
        <f>sum(D522:D542)</f>
        <v>17</v>
      </c>
      <c r="E543" s="756">
        <f t="shared" ref="E543:O543" si="94">SUM(E522:E542)</f>
        <v>40500</v>
      </c>
      <c r="F543" s="756">
        <f t="shared" si="94"/>
        <v>1350</v>
      </c>
      <c r="G543" s="756">
        <f t="shared" si="94"/>
        <v>0</v>
      </c>
      <c r="H543" s="756">
        <f t="shared" si="94"/>
        <v>0</v>
      </c>
      <c r="I543" s="756">
        <f t="shared" si="94"/>
        <v>0</v>
      </c>
      <c r="J543" s="756">
        <f t="shared" si="94"/>
        <v>13500</v>
      </c>
      <c r="K543" s="757">
        <f t="shared" si="94"/>
        <v>0</v>
      </c>
      <c r="L543" s="756">
        <f t="shared" si="94"/>
        <v>2300</v>
      </c>
      <c r="M543" s="756">
        <f t="shared" si="94"/>
        <v>16400</v>
      </c>
      <c r="N543" s="756">
        <f t="shared" si="94"/>
        <v>8800</v>
      </c>
      <c r="O543" s="756">
        <f t="shared" si="94"/>
        <v>-8400</v>
      </c>
      <c r="P543" s="756">
        <f>SUM(P523:P542)</f>
        <v>-1891.17</v>
      </c>
      <c r="Q543" s="758">
        <f>Q542</f>
        <v>-5691.17</v>
      </c>
      <c r="R543" s="759"/>
      <c r="S543" s="701"/>
      <c r="T543" s="701"/>
      <c r="U543" s="701"/>
      <c r="V543" s="701"/>
      <c r="W543" s="701"/>
      <c r="X543" s="701"/>
      <c r="Y543" s="701"/>
      <c r="Z543" s="701"/>
      <c r="AA543" s="701"/>
      <c r="AB543" s="701"/>
      <c r="AC543" s="701"/>
      <c r="AD543" s="701"/>
      <c r="AE543" s="701"/>
      <c r="AF543" s="701"/>
      <c r="AG543" s="701"/>
    </row>
    <row r="544" ht="14.25" customHeight="1">
      <c r="C544" s="637"/>
      <c r="D544" s="484"/>
      <c r="E544" s="485"/>
      <c r="F544" s="485"/>
      <c r="G544" s="485"/>
      <c r="I544" s="485"/>
      <c r="J544" s="485"/>
      <c r="K544" s="485"/>
      <c r="L544" s="485"/>
      <c r="M544" s="485"/>
      <c r="N544" s="797"/>
      <c r="O544" s="797"/>
      <c r="P544" s="798"/>
      <c r="Q544" s="799"/>
      <c r="R544" s="799"/>
    </row>
    <row r="545" ht="14.25" customHeight="1">
      <c r="C545" s="637"/>
      <c r="D545" s="484"/>
      <c r="E545" s="485"/>
      <c r="F545" s="485"/>
      <c r="G545" s="485"/>
      <c r="I545" s="485"/>
      <c r="J545" s="485"/>
      <c r="K545" s="485"/>
      <c r="L545" s="485"/>
      <c r="M545" s="485"/>
      <c r="N545" s="797"/>
      <c r="O545" s="797"/>
      <c r="P545" s="798"/>
      <c r="Q545" s="799"/>
      <c r="R545" s="799"/>
    </row>
    <row r="546" ht="14.25" customHeight="1">
      <c r="C546" s="637"/>
      <c r="D546" s="484"/>
      <c r="E546" s="485"/>
      <c r="F546" s="485"/>
      <c r="G546" s="485"/>
      <c r="I546" s="485"/>
      <c r="J546" s="485"/>
      <c r="K546" s="485"/>
      <c r="L546" s="485"/>
      <c r="M546" s="485"/>
      <c r="N546" s="797"/>
      <c r="O546" s="797"/>
      <c r="P546" s="798"/>
      <c r="Q546" s="799"/>
      <c r="R546" s="799"/>
    </row>
    <row r="547" ht="14.25" customHeight="1">
      <c r="C547" s="637"/>
      <c r="D547" s="484"/>
      <c r="E547" s="485"/>
      <c r="F547" s="485"/>
      <c r="G547" s="485"/>
      <c r="I547" s="485"/>
      <c r="J547" s="485"/>
      <c r="K547" s="485"/>
      <c r="L547" s="485"/>
      <c r="M547" s="485"/>
      <c r="N547" s="797"/>
      <c r="O547" s="797"/>
      <c r="P547" s="798"/>
      <c r="Q547" s="799"/>
      <c r="R547" s="799"/>
    </row>
    <row r="548" ht="14.25" customHeight="1">
      <c r="C548" s="637"/>
      <c r="D548" s="484"/>
      <c r="E548" s="485"/>
      <c r="F548" s="485"/>
      <c r="G548" s="485"/>
      <c r="I548" s="485"/>
      <c r="J548" s="485"/>
      <c r="K548" s="485"/>
      <c r="L548" s="485"/>
      <c r="M548" s="485"/>
      <c r="N548" s="797"/>
      <c r="O548" s="797"/>
      <c r="P548" s="798"/>
      <c r="Q548" s="799"/>
      <c r="R548" s="799"/>
    </row>
    <row r="549" ht="14.25" customHeight="1">
      <c r="C549" s="637"/>
      <c r="D549" s="484"/>
      <c r="E549" s="485"/>
      <c r="F549" s="485"/>
      <c r="G549" s="485"/>
      <c r="I549" s="485"/>
      <c r="J549" s="485"/>
      <c r="K549" s="485"/>
      <c r="L549" s="485"/>
      <c r="M549" s="485"/>
      <c r="N549" s="797"/>
      <c r="O549" s="797"/>
      <c r="P549" s="798"/>
      <c r="Q549" s="799"/>
      <c r="R549" s="799"/>
    </row>
    <row r="550" ht="14.25" customHeight="1">
      <c r="C550" s="637"/>
      <c r="D550" s="484"/>
      <c r="E550" s="485"/>
      <c r="F550" s="485"/>
      <c r="G550" s="485"/>
      <c r="I550" s="485"/>
      <c r="J550" s="485"/>
      <c r="K550" s="485"/>
      <c r="L550" s="485"/>
      <c r="M550" s="485"/>
      <c r="N550" s="797"/>
      <c r="O550" s="797"/>
      <c r="P550" s="798"/>
      <c r="Q550" s="799"/>
      <c r="R550" s="799"/>
    </row>
    <row r="551" ht="14.25" customHeight="1">
      <c r="C551" s="637"/>
      <c r="D551" s="484"/>
      <c r="E551" s="485"/>
      <c r="F551" s="485"/>
      <c r="G551" s="485"/>
      <c r="I551" s="485"/>
      <c r="J551" s="485"/>
      <c r="K551" s="485"/>
      <c r="L551" s="485"/>
      <c r="M551" s="485"/>
      <c r="N551" s="797"/>
      <c r="O551" s="797"/>
      <c r="P551" s="798"/>
      <c r="Q551" s="799"/>
      <c r="R551" s="799"/>
    </row>
  </sheetData>
  <mergeCells count="13">
    <mergeCell ref="I2:J2"/>
    <mergeCell ref="K2:K3"/>
    <mergeCell ref="O2:O3"/>
    <mergeCell ref="P2:P3"/>
    <mergeCell ref="Q2:Q3"/>
    <mergeCell ref="R2:R3"/>
    <mergeCell ref="L1:N2"/>
    <mergeCell ref="O1:R1"/>
    <mergeCell ref="B2:D3"/>
    <mergeCell ref="E2:E3"/>
    <mergeCell ref="F2:F3"/>
    <mergeCell ref="G2:G3"/>
    <mergeCell ref="H2:H3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3.57"/>
    <col customWidth="1" min="2" max="2" width="5.86"/>
    <col customWidth="1" min="3" max="3" width="7.57"/>
    <col customWidth="1" hidden="1" min="4" max="4" width="5.14"/>
    <col customWidth="1" hidden="1" min="5" max="6" width="11.14"/>
    <col customWidth="1" hidden="1" min="7" max="8" width="13.43"/>
    <col customWidth="1" hidden="1" min="9" max="9" width="9.71"/>
    <col customWidth="1" hidden="1" min="10" max="10" width="11.86"/>
    <col customWidth="1" hidden="1" min="11" max="11" width="13.43"/>
    <col customWidth="1" hidden="1" min="12" max="12" width="11.43"/>
    <col customWidth="1" hidden="1" min="13" max="13" width="10.86"/>
    <col customWidth="1" min="14" max="14" width="12.43"/>
    <col customWidth="1" min="15" max="15" width="12.14"/>
    <col customWidth="1" min="16" max="16" width="11.57"/>
    <col customWidth="1" min="17" max="17" width="13.43"/>
    <col customWidth="1" min="18" max="18" width="16.57"/>
    <col customWidth="1" min="19" max="19" width="8.71"/>
    <col customWidth="1" min="20" max="20" width="12.43"/>
    <col customWidth="1" min="21" max="21" width="15.14"/>
    <col customWidth="1" min="22" max="22" width="9.71"/>
    <col customWidth="1" min="23" max="27" width="8.71"/>
  </cols>
  <sheetData>
    <row r="1" ht="14.25" customHeight="1">
      <c r="B1" s="660" t="s">
        <v>349</v>
      </c>
      <c r="C1" s="661"/>
      <c r="D1" s="662"/>
      <c r="E1" s="663"/>
      <c r="F1" s="663"/>
      <c r="G1" s="664"/>
      <c r="H1" s="663"/>
      <c r="I1" s="661"/>
      <c r="J1" s="665"/>
      <c r="K1" s="666"/>
      <c r="L1" s="667" t="s">
        <v>5</v>
      </c>
      <c r="M1" s="30"/>
      <c r="N1" s="31"/>
      <c r="O1" s="668" t="s">
        <v>350</v>
      </c>
      <c r="P1" s="495"/>
      <c r="Q1" s="495"/>
      <c r="R1" s="496"/>
    </row>
    <row r="2" ht="14.25" customHeight="1">
      <c r="A2" s="36"/>
      <c r="B2" s="669" t="s">
        <v>7</v>
      </c>
      <c r="C2" s="127"/>
      <c r="D2" s="129"/>
      <c r="E2" s="672" t="s">
        <v>8</v>
      </c>
      <c r="F2" s="673" t="s">
        <v>28</v>
      </c>
      <c r="G2" s="675" t="s">
        <v>9</v>
      </c>
      <c r="H2" s="672" t="s">
        <v>11</v>
      </c>
      <c r="I2" s="677" t="s">
        <v>12</v>
      </c>
      <c r="J2" s="44"/>
      <c r="K2" s="672" t="s">
        <v>13</v>
      </c>
      <c r="L2" s="503"/>
      <c r="M2" s="47"/>
      <c r="N2" s="48"/>
      <c r="O2" s="679" t="s">
        <v>14</v>
      </c>
      <c r="P2" s="681" t="s">
        <v>15</v>
      </c>
      <c r="Q2" s="684" t="s">
        <v>16</v>
      </c>
      <c r="R2" s="687" t="s">
        <v>11</v>
      </c>
      <c r="S2" s="36"/>
      <c r="T2" s="36"/>
      <c r="U2" s="36"/>
      <c r="V2" s="36"/>
      <c r="W2" s="36"/>
      <c r="X2" s="36"/>
      <c r="Y2" s="36"/>
      <c r="Z2" s="36"/>
      <c r="AA2" s="36"/>
    </row>
    <row r="3" ht="12.0" customHeight="1">
      <c r="A3" s="36"/>
      <c r="B3" s="159"/>
      <c r="C3" s="143"/>
      <c r="D3" s="57"/>
      <c r="E3" s="56"/>
      <c r="F3" s="56"/>
      <c r="G3" s="56"/>
      <c r="H3" s="56"/>
      <c r="I3" s="691" t="s">
        <v>18</v>
      </c>
      <c r="J3" s="691" t="s">
        <v>19</v>
      </c>
      <c r="K3" s="510"/>
      <c r="L3" s="692" t="s">
        <v>18</v>
      </c>
      <c r="M3" s="694" t="s">
        <v>19</v>
      </c>
      <c r="N3" s="695" t="s">
        <v>36</v>
      </c>
      <c r="O3" s="514"/>
      <c r="P3" s="515"/>
      <c r="Q3" s="515"/>
      <c r="R3" s="516"/>
      <c r="S3" s="36"/>
      <c r="T3" s="36"/>
      <c r="U3" s="36"/>
      <c r="V3" s="36"/>
      <c r="W3" s="36"/>
      <c r="X3" s="36"/>
      <c r="Y3" s="36"/>
      <c r="Z3" s="36"/>
      <c r="AA3" s="36"/>
    </row>
    <row r="4" ht="14.25" customHeight="1">
      <c r="B4" s="517" t="s">
        <v>40</v>
      </c>
      <c r="C4" s="518">
        <v>45293.0</v>
      </c>
      <c r="D4" s="66">
        <v>1.0</v>
      </c>
      <c r="E4" s="67">
        <v>2300.0</v>
      </c>
      <c r="F4" s="67">
        <v>-500.0</v>
      </c>
      <c r="G4" s="699"/>
      <c r="H4" s="519" t="s">
        <v>352</v>
      </c>
      <c r="I4" s="67"/>
      <c r="J4" s="67">
        <v>500.0</v>
      </c>
      <c r="K4" s="186">
        <f t="shared" ref="K4:K10" si="1">E4-J4-L4-M4-N4-I4+G4</f>
        <v>0</v>
      </c>
      <c r="L4" s="67"/>
      <c r="M4" s="67"/>
      <c r="N4" s="703">
        <v>1800.0</v>
      </c>
      <c r="O4" s="703">
        <v>-700.0</v>
      </c>
      <c r="P4" s="703"/>
      <c r="Q4" s="703">
        <f>N4+O4+P4</f>
        <v>1100</v>
      </c>
      <c r="R4" s="703"/>
      <c r="T4" s="707">
        <v>828.0</v>
      </c>
      <c r="U4" s="709">
        <f>Q28</f>
        <v>14679.06</v>
      </c>
    </row>
    <row r="5" ht="14.25" customHeight="1">
      <c r="B5" s="524"/>
      <c r="C5" s="525">
        <v>45326.0</v>
      </c>
      <c r="D5" s="87"/>
      <c r="E5" s="88"/>
      <c r="F5" s="88"/>
      <c r="G5" s="526"/>
      <c r="H5" s="524"/>
      <c r="I5" s="88"/>
      <c r="J5" s="88"/>
      <c r="K5" s="199">
        <f t="shared" si="1"/>
        <v>0</v>
      </c>
      <c r="L5" s="88"/>
      <c r="M5" s="88"/>
      <c r="N5" s="88"/>
      <c r="O5" s="88"/>
      <c r="P5" s="88"/>
      <c r="Q5" s="88">
        <f t="shared" ref="Q5:Q27" si="2">Q4+N5+O5+P5</f>
        <v>1100</v>
      </c>
      <c r="R5" s="88"/>
      <c r="T5" s="707"/>
      <c r="U5" s="709"/>
    </row>
    <row r="6" ht="14.25" customHeight="1">
      <c r="B6" s="519"/>
      <c r="C6" s="527" t="s">
        <v>357</v>
      </c>
      <c r="D6" s="66">
        <v>5.0</v>
      </c>
      <c r="E6" s="67">
        <v>9000.0</v>
      </c>
      <c r="F6" s="67"/>
      <c r="G6" s="699">
        <f>800+900</f>
        <v>1700</v>
      </c>
      <c r="H6" s="519" t="s">
        <v>358</v>
      </c>
      <c r="I6" s="67"/>
      <c r="J6" s="67">
        <v>3000.0</v>
      </c>
      <c r="K6" s="186">
        <f t="shared" si="1"/>
        <v>0</v>
      </c>
      <c r="L6" s="67"/>
      <c r="M6" s="67">
        <v>7700.0</v>
      </c>
      <c r="N6" s="703"/>
      <c r="O6" s="703">
        <v>-700.0</v>
      </c>
      <c r="P6" s="703"/>
      <c r="Q6" s="703">
        <f t="shared" si="2"/>
        <v>400</v>
      </c>
      <c r="R6" s="703"/>
      <c r="T6" s="707"/>
      <c r="U6" s="709"/>
    </row>
    <row r="7" ht="14.25" customHeight="1">
      <c r="B7" s="519"/>
      <c r="C7" s="518">
        <v>45545.0</v>
      </c>
      <c r="D7" s="66">
        <v>1.0</v>
      </c>
      <c r="E7" s="67">
        <v>2100.0</v>
      </c>
      <c r="F7" s="67"/>
      <c r="G7" s="699"/>
      <c r="H7" s="519"/>
      <c r="I7" s="67"/>
      <c r="J7" s="67">
        <v>1000.0</v>
      </c>
      <c r="K7" s="186">
        <f t="shared" si="1"/>
        <v>0</v>
      </c>
      <c r="L7" s="67"/>
      <c r="M7" s="67"/>
      <c r="N7" s="703">
        <v>1100.0</v>
      </c>
      <c r="O7" s="703">
        <v>-700.0</v>
      </c>
      <c r="P7" s="703"/>
      <c r="Q7" s="703">
        <f t="shared" si="2"/>
        <v>800</v>
      </c>
      <c r="R7" s="703"/>
      <c r="T7" s="707"/>
      <c r="U7" s="709"/>
    </row>
    <row r="8" ht="14.25" customHeight="1">
      <c r="B8" s="524"/>
      <c r="C8" s="525">
        <v>45578.0</v>
      </c>
      <c r="D8" s="87"/>
      <c r="E8" s="88">
        <v>500.0</v>
      </c>
      <c r="F8" s="88"/>
      <c r="G8" s="526"/>
      <c r="H8" s="524" t="s">
        <v>81</v>
      </c>
      <c r="I8" s="88"/>
      <c r="J8" s="88">
        <v>500.0</v>
      </c>
      <c r="K8" s="199">
        <f t="shared" si="1"/>
        <v>0</v>
      </c>
      <c r="L8" s="88"/>
      <c r="M8" s="88"/>
      <c r="N8" s="88"/>
      <c r="O8" s="88"/>
      <c r="P8" s="88"/>
      <c r="Q8" s="88">
        <f t="shared" si="2"/>
        <v>800</v>
      </c>
      <c r="R8" s="88"/>
      <c r="T8" s="707"/>
      <c r="U8" s="709"/>
    </row>
    <row r="9" ht="14.25" customHeight="1">
      <c r="B9" s="519"/>
      <c r="C9" s="66" t="s">
        <v>46</v>
      </c>
      <c r="D9" s="66">
        <v>1.0</v>
      </c>
      <c r="E9" s="67">
        <v>2000.0</v>
      </c>
      <c r="F9" s="67"/>
      <c r="G9" s="699"/>
      <c r="H9" s="519"/>
      <c r="I9" s="67"/>
      <c r="J9" s="67"/>
      <c r="K9" s="186">
        <f t="shared" si="1"/>
        <v>0</v>
      </c>
      <c r="L9" s="67"/>
      <c r="M9" s="67"/>
      <c r="N9" s="703">
        <v>2000.0</v>
      </c>
      <c r="O9" s="703">
        <v>-700.0</v>
      </c>
      <c r="P9" s="703"/>
      <c r="Q9" s="703">
        <f t="shared" si="2"/>
        <v>2100</v>
      </c>
      <c r="R9" s="703"/>
      <c r="T9" s="707"/>
      <c r="U9" s="709"/>
    </row>
    <row r="10" ht="14.25" customHeight="1">
      <c r="B10" s="519"/>
      <c r="C10" s="66" t="s">
        <v>101</v>
      </c>
      <c r="D10" s="66">
        <v>2.0</v>
      </c>
      <c r="E10" s="67">
        <v>5300.0</v>
      </c>
      <c r="F10" s="67"/>
      <c r="G10" s="699"/>
      <c r="H10" s="519"/>
      <c r="I10" s="67"/>
      <c r="J10" s="67">
        <v>1500.0</v>
      </c>
      <c r="K10" s="186">
        <f t="shared" si="1"/>
        <v>0</v>
      </c>
      <c r="L10" s="67"/>
      <c r="M10" s="67"/>
      <c r="N10" s="703">
        <v>3800.0</v>
      </c>
      <c r="O10" s="703">
        <v>-700.0</v>
      </c>
      <c r="P10" s="703"/>
      <c r="Q10" s="703">
        <f t="shared" si="2"/>
        <v>5200</v>
      </c>
      <c r="R10" s="703"/>
      <c r="T10" s="707"/>
    </row>
    <row r="11" ht="14.25" customHeight="1">
      <c r="B11" s="524"/>
      <c r="C11" s="87" t="s">
        <v>102</v>
      </c>
      <c r="D11" s="87"/>
      <c r="E11" s="88"/>
      <c r="F11" s="88"/>
      <c r="G11" s="526"/>
      <c r="H11" s="524"/>
      <c r="I11" s="88"/>
      <c r="J11" s="88"/>
      <c r="K11" s="199"/>
      <c r="L11" s="88"/>
      <c r="M11" s="88"/>
      <c r="N11" s="88"/>
      <c r="O11" s="88"/>
      <c r="P11" s="88"/>
      <c r="Q11" s="88">
        <f t="shared" si="2"/>
        <v>5200</v>
      </c>
      <c r="R11" s="88"/>
      <c r="T11" s="707"/>
      <c r="U11" s="709"/>
    </row>
    <row r="12" ht="14.25" customHeight="1">
      <c r="B12" s="519"/>
      <c r="C12" s="66" t="s">
        <v>33</v>
      </c>
      <c r="D12" s="66">
        <v>1.0</v>
      </c>
      <c r="E12" s="67">
        <v>1800.0</v>
      </c>
      <c r="F12" s="67"/>
      <c r="G12" s="699"/>
      <c r="H12" s="519"/>
      <c r="I12" s="67"/>
      <c r="J12" s="67">
        <v>800.0</v>
      </c>
      <c r="K12" s="186">
        <f>E12-J12-L12-M12-N12-I12+G12</f>
        <v>0</v>
      </c>
      <c r="L12" s="67"/>
      <c r="M12" s="67"/>
      <c r="N12" s="703">
        <v>1000.0</v>
      </c>
      <c r="O12" s="703">
        <v>-700.0</v>
      </c>
      <c r="P12" s="703"/>
      <c r="Q12" s="703">
        <f t="shared" si="2"/>
        <v>5500</v>
      </c>
      <c r="R12" s="703"/>
      <c r="T12" s="707"/>
      <c r="U12" s="709"/>
    </row>
    <row r="13" ht="14.25" customHeight="1">
      <c r="B13" s="519"/>
      <c r="C13" s="66" t="s">
        <v>34</v>
      </c>
      <c r="D13" s="66">
        <v>1.0</v>
      </c>
      <c r="E13" s="67">
        <v>2300.0</v>
      </c>
      <c r="F13" s="67"/>
      <c r="G13" s="699">
        <v>300.0</v>
      </c>
      <c r="H13" s="519"/>
      <c r="I13" s="67"/>
      <c r="J13" s="67">
        <v>1500.0</v>
      </c>
      <c r="K13" s="186">
        <f>E13-J13-L13-M13-N13-I13+G13-P13</f>
        <v>0</v>
      </c>
      <c r="L13" s="67"/>
      <c r="M13" s="67"/>
      <c r="N13" s="703">
        <v>800.0</v>
      </c>
      <c r="O13" s="703">
        <v>-700.0</v>
      </c>
      <c r="P13" s="703">
        <v>300.0</v>
      </c>
      <c r="Q13" s="703">
        <f t="shared" si="2"/>
        <v>5900</v>
      </c>
      <c r="R13" s="703" t="s">
        <v>9</v>
      </c>
      <c r="T13" s="707"/>
      <c r="U13" s="709"/>
    </row>
    <row r="14" ht="14.25" customHeight="1">
      <c r="B14" s="519"/>
      <c r="C14" s="66" t="s">
        <v>69</v>
      </c>
      <c r="D14" s="66">
        <v>1.0</v>
      </c>
      <c r="E14" s="67">
        <v>2500.0</v>
      </c>
      <c r="F14" s="67"/>
      <c r="G14" s="699"/>
      <c r="H14" s="519"/>
      <c r="I14" s="67"/>
      <c r="J14" s="67">
        <v>1000.0</v>
      </c>
      <c r="K14" s="186">
        <f t="shared" ref="K14:K27" si="3">E14-J14-L14-M14-N14-I14+G14</f>
        <v>0</v>
      </c>
      <c r="L14" s="67"/>
      <c r="M14" s="67"/>
      <c r="N14" s="703">
        <v>1500.0</v>
      </c>
      <c r="O14" s="703">
        <v>-700.0</v>
      </c>
      <c r="P14" s="703"/>
      <c r="Q14" s="703">
        <f t="shared" si="2"/>
        <v>6700</v>
      </c>
      <c r="R14" s="703"/>
      <c r="T14" s="707"/>
      <c r="U14" s="709"/>
    </row>
    <row r="15" ht="14.25" customHeight="1">
      <c r="B15" s="519"/>
      <c r="C15" s="66" t="s">
        <v>68</v>
      </c>
      <c r="D15" s="66">
        <v>1.0</v>
      </c>
      <c r="E15" s="67">
        <v>4500.0</v>
      </c>
      <c r="F15" s="67">
        <v>-700.0</v>
      </c>
      <c r="G15" s="699"/>
      <c r="H15" s="519" t="s">
        <v>363</v>
      </c>
      <c r="I15" s="67">
        <v>1000.0</v>
      </c>
      <c r="J15" s="67"/>
      <c r="K15" s="186">
        <f t="shared" si="3"/>
        <v>0</v>
      </c>
      <c r="L15" s="67"/>
      <c r="M15" s="67"/>
      <c r="N15" s="703">
        <v>3500.0</v>
      </c>
      <c r="O15" s="703">
        <v>-700.0</v>
      </c>
      <c r="P15" s="703">
        <v>-500.0</v>
      </c>
      <c r="Q15" s="703">
        <f t="shared" si="2"/>
        <v>9000</v>
      </c>
      <c r="R15" s="703" t="s">
        <v>85</v>
      </c>
      <c r="T15" s="707"/>
      <c r="U15" s="709"/>
    </row>
    <row r="16" ht="14.25" customHeight="1">
      <c r="B16" s="519"/>
      <c r="C16" s="66" t="s">
        <v>37</v>
      </c>
      <c r="D16" s="66">
        <v>1.0</v>
      </c>
      <c r="E16" s="67">
        <v>2300.0</v>
      </c>
      <c r="F16" s="67"/>
      <c r="G16" s="699"/>
      <c r="H16" s="519"/>
      <c r="I16" s="67"/>
      <c r="J16" s="67">
        <v>1000.0</v>
      </c>
      <c r="K16" s="186">
        <f t="shared" si="3"/>
        <v>0</v>
      </c>
      <c r="L16" s="67"/>
      <c r="M16" s="67"/>
      <c r="N16" s="703">
        <v>1300.0</v>
      </c>
      <c r="O16" s="703">
        <v>-700.0</v>
      </c>
      <c r="P16" s="703"/>
      <c r="Q16" s="703">
        <f t="shared" si="2"/>
        <v>9600</v>
      </c>
      <c r="R16" s="703"/>
      <c r="T16" s="707"/>
      <c r="U16" s="709"/>
    </row>
    <row r="17" ht="14.25" customHeight="1">
      <c r="B17" s="519"/>
      <c r="C17" s="66" t="s">
        <v>104</v>
      </c>
      <c r="D17" s="66">
        <v>3.0</v>
      </c>
      <c r="E17" s="67">
        <v>9500.0</v>
      </c>
      <c r="F17" s="67"/>
      <c r="G17" s="699"/>
      <c r="H17" s="519"/>
      <c r="I17" s="67"/>
      <c r="J17" s="67">
        <v>2000.0</v>
      </c>
      <c r="K17" s="186">
        <f t="shared" si="3"/>
        <v>0</v>
      </c>
      <c r="L17" s="67"/>
      <c r="M17" s="67"/>
      <c r="N17" s="703">
        <v>7500.0</v>
      </c>
      <c r="O17" s="703">
        <v>-700.0</v>
      </c>
      <c r="P17" s="703"/>
      <c r="Q17" s="703">
        <f t="shared" si="2"/>
        <v>16400</v>
      </c>
      <c r="R17" s="703"/>
      <c r="T17" s="707"/>
      <c r="U17" s="709"/>
    </row>
    <row r="18" ht="14.25" customHeight="1">
      <c r="B18" s="519"/>
      <c r="C18" s="66" t="s">
        <v>86</v>
      </c>
      <c r="D18" s="66">
        <v>2.0</v>
      </c>
      <c r="E18" s="67">
        <v>4500.0</v>
      </c>
      <c r="F18" s="67"/>
      <c r="G18" s="699"/>
      <c r="H18" s="519"/>
      <c r="I18" s="67"/>
      <c r="J18" s="67">
        <v>1500.0</v>
      </c>
      <c r="K18" s="186">
        <f t="shared" si="3"/>
        <v>0</v>
      </c>
      <c r="L18" s="67"/>
      <c r="M18" s="67"/>
      <c r="N18" s="703">
        <v>3000.0</v>
      </c>
      <c r="O18" s="703">
        <v>-700.0</v>
      </c>
      <c r="P18" s="703"/>
      <c r="Q18" s="703">
        <f t="shared" si="2"/>
        <v>18700</v>
      </c>
      <c r="R18" s="703"/>
      <c r="T18" s="707"/>
      <c r="U18" s="709"/>
    </row>
    <row r="19" ht="14.25" customHeight="1">
      <c r="B19" s="519"/>
      <c r="C19" s="66" t="s">
        <v>88</v>
      </c>
      <c r="D19" s="66"/>
      <c r="E19" s="67">
        <v>1500.0</v>
      </c>
      <c r="F19" s="67"/>
      <c r="G19" s="699"/>
      <c r="H19" s="519" t="s">
        <v>81</v>
      </c>
      <c r="I19" s="67"/>
      <c r="J19" s="67">
        <v>1500.0</v>
      </c>
      <c r="K19" s="186">
        <f t="shared" si="3"/>
        <v>0</v>
      </c>
      <c r="L19" s="67"/>
      <c r="M19" s="67"/>
      <c r="N19" s="703"/>
      <c r="O19" s="703"/>
      <c r="P19" s="703"/>
      <c r="Q19" s="703">
        <f t="shared" si="2"/>
        <v>18700</v>
      </c>
      <c r="R19" s="703" t="s">
        <v>81</v>
      </c>
      <c r="T19" s="707"/>
      <c r="U19" s="709"/>
    </row>
    <row r="20" ht="14.25" customHeight="1">
      <c r="B20" s="519"/>
      <c r="C20" s="66" t="s">
        <v>73</v>
      </c>
      <c r="D20" s="66">
        <v>1.0</v>
      </c>
      <c r="E20" s="67">
        <v>2500.0</v>
      </c>
      <c r="F20" s="67"/>
      <c r="G20" s="699"/>
      <c r="H20" s="519"/>
      <c r="I20" s="67"/>
      <c r="J20" s="67">
        <v>500.0</v>
      </c>
      <c r="K20" s="186">
        <f t="shared" si="3"/>
        <v>0</v>
      </c>
      <c r="L20" s="67"/>
      <c r="M20" s="67">
        <v>2000.0</v>
      </c>
      <c r="N20" s="703"/>
      <c r="O20" s="703">
        <v>-700.0</v>
      </c>
      <c r="P20" s="703"/>
      <c r="Q20" s="703">
        <f t="shared" si="2"/>
        <v>18000</v>
      </c>
      <c r="R20" s="703"/>
      <c r="T20" s="707"/>
      <c r="U20" s="709"/>
    </row>
    <row r="21" ht="14.25" customHeight="1">
      <c r="B21" s="519"/>
      <c r="C21" s="66" t="s">
        <v>49</v>
      </c>
      <c r="D21" s="66">
        <v>1.0</v>
      </c>
      <c r="E21" s="67">
        <v>2000.0</v>
      </c>
      <c r="F21" s="67"/>
      <c r="G21" s="699"/>
      <c r="H21" s="519"/>
      <c r="I21" s="67"/>
      <c r="J21" s="67">
        <v>500.0</v>
      </c>
      <c r="K21" s="186">
        <f t="shared" si="3"/>
        <v>0</v>
      </c>
      <c r="L21" s="67"/>
      <c r="M21" s="67"/>
      <c r="N21" s="703">
        <v>1500.0</v>
      </c>
      <c r="O21" s="703">
        <v>-700.0</v>
      </c>
      <c r="P21" s="703"/>
      <c r="Q21" s="703">
        <f t="shared" si="2"/>
        <v>18800</v>
      </c>
      <c r="R21" s="703"/>
      <c r="T21" s="707"/>
      <c r="U21" s="709"/>
    </row>
    <row r="22" ht="14.25" customHeight="1">
      <c r="B22" s="519"/>
      <c r="C22" s="66" t="s">
        <v>75</v>
      </c>
      <c r="D22" s="66"/>
      <c r="E22" s="67">
        <v>1500.0</v>
      </c>
      <c r="F22" s="67"/>
      <c r="G22" s="699"/>
      <c r="H22" s="519" t="s">
        <v>81</v>
      </c>
      <c r="I22" s="67"/>
      <c r="J22" s="67">
        <v>1500.0</v>
      </c>
      <c r="K22" s="186">
        <f t="shared" si="3"/>
        <v>0</v>
      </c>
      <c r="L22" s="67"/>
      <c r="M22" s="67"/>
      <c r="N22" s="703"/>
      <c r="O22" s="703"/>
      <c r="P22" s="769"/>
      <c r="Q22" s="703">
        <f t="shared" si="2"/>
        <v>18800</v>
      </c>
      <c r="R22" s="703" t="s">
        <v>81</v>
      </c>
      <c r="T22" s="707"/>
      <c r="U22" s="709"/>
    </row>
    <row r="23" ht="14.25" customHeight="1">
      <c r="B23" s="519"/>
      <c r="C23" s="66" t="s">
        <v>52</v>
      </c>
      <c r="D23" s="66">
        <v>1.0</v>
      </c>
      <c r="E23" s="67">
        <v>2500.0</v>
      </c>
      <c r="F23" s="67"/>
      <c r="G23" s="699"/>
      <c r="H23" s="519"/>
      <c r="I23" s="67"/>
      <c r="J23" s="67">
        <v>1000.0</v>
      </c>
      <c r="K23" s="186">
        <f t="shared" si="3"/>
        <v>0</v>
      </c>
      <c r="L23" s="67"/>
      <c r="M23" s="67"/>
      <c r="N23" s="703">
        <v>1500.0</v>
      </c>
      <c r="O23" s="703">
        <v>-700.0</v>
      </c>
      <c r="P23" s="769"/>
      <c r="Q23" s="703">
        <f t="shared" si="2"/>
        <v>19600</v>
      </c>
      <c r="R23" s="703"/>
      <c r="T23" s="707"/>
      <c r="U23" s="709"/>
    </row>
    <row r="24" ht="14.25" customHeight="1">
      <c r="B24" s="519"/>
      <c r="C24" s="66"/>
      <c r="D24" s="66"/>
      <c r="E24" s="67"/>
      <c r="F24" s="67"/>
      <c r="G24" s="699"/>
      <c r="H24" s="519"/>
      <c r="I24" s="67"/>
      <c r="J24" s="67"/>
      <c r="K24" s="186">
        <f t="shared" si="3"/>
        <v>0</v>
      </c>
      <c r="L24" s="67"/>
      <c r="M24" s="67"/>
      <c r="N24" s="703"/>
      <c r="O24" s="703"/>
      <c r="P24" s="769">
        <v>-1145.0</v>
      </c>
      <c r="Q24" s="703">
        <f t="shared" si="2"/>
        <v>18455</v>
      </c>
      <c r="R24" s="703" t="s">
        <v>114</v>
      </c>
      <c r="T24" s="707"/>
      <c r="U24" s="709"/>
    </row>
    <row r="25" ht="14.25" customHeight="1">
      <c r="B25" s="519"/>
      <c r="C25" s="66"/>
      <c r="D25" s="66"/>
      <c r="E25" s="67"/>
      <c r="F25" s="67"/>
      <c r="G25" s="699"/>
      <c r="H25" s="519"/>
      <c r="I25" s="67"/>
      <c r="J25" s="67"/>
      <c r="K25" s="186">
        <f t="shared" si="3"/>
        <v>0</v>
      </c>
      <c r="L25" s="67"/>
      <c r="M25" s="67"/>
      <c r="N25" s="703"/>
      <c r="O25" s="703"/>
      <c r="P25" s="769">
        <v>-895.29</v>
      </c>
      <c r="Q25" s="703">
        <f t="shared" si="2"/>
        <v>17559.71</v>
      </c>
      <c r="R25" s="703" t="s">
        <v>374</v>
      </c>
      <c r="T25" s="707"/>
      <c r="U25" s="709"/>
    </row>
    <row r="26" ht="14.25" customHeight="1">
      <c r="B26" s="519"/>
      <c r="C26" s="66"/>
      <c r="D26" s="66"/>
      <c r="E26" s="67"/>
      <c r="F26" s="67"/>
      <c r="G26" s="699"/>
      <c r="H26" s="519"/>
      <c r="I26" s="67"/>
      <c r="J26" s="67"/>
      <c r="K26" s="186">
        <f t="shared" si="3"/>
        <v>0</v>
      </c>
      <c r="L26" s="67"/>
      <c r="M26" s="67"/>
      <c r="N26" s="703"/>
      <c r="O26" s="703"/>
      <c r="P26" s="769">
        <v>-500.0</v>
      </c>
      <c r="Q26" s="703">
        <f t="shared" si="2"/>
        <v>17059.71</v>
      </c>
      <c r="R26" s="703" t="s">
        <v>93</v>
      </c>
      <c r="T26" s="707"/>
      <c r="U26" s="709"/>
    </row>
    <row r="27" ht="14.25" customHeight="1">
      <c r="B27" s="519"/>
      <c r="C27" s="66"/>
      <c r="D27" s="66"/>
      <c r="E27" s="67"/>
      <c r="F27" s="67"/>
      <c r="G27" s="699"/>
      <c r="H27" s="519"/>
      <c r="I27" s="67"/>
      <c r="J27" s="67"/>
      <c r="K27" s="186">
        <f t="shared" si="3"/>
        <v>0</v>
      </c>
      <c r="L27" s="67"/>
      <c r="M27" s="67"/>
      <c r="N27" s="703"/>
      <c r="O27" s="703"/>
      <c r="P27" s="769">
        <v>-2380.65</v>
      </c>
      <c r="Q27" s="703">
        <f t="shared" si="2"/>
        <v>14679.06</v>
      </c>
      <c r="R27" s="703" t="s">
        <v>55</v>
      </c>
      <c r="U27" s="771"/>
    </row>
    <row r="28" ht="14.25" customHeight="1">
      <c r="B28" s="772" t="s">
        <v>40</v>
      </c>
      <c r="C28" s="772" t="s">
        <v>80</v>
      </c>
      <c r="D28" s="773">
        <f t="shared" ref="D28:P28" si="4">sum(D4:D27)</f>
        <v>23</v>
      </c>
      <c r="E28" s="774">
        <f t="shared" si="4"/>
        <v>58600</v>
      </c>
      <c r="F28" s="774">
        <f t="shared" si="4"/>
        <v>-1200</v>
      </c>
      <c r="G28" s="774">
        <f t="shared" si="4"/>
        <v>2000</v>
      </c>
      <c r="H28" s="774">
        <f t="shared" si="4"/>
        <v>0</v>
      </c>
      <c r="I28" s="774">
        <f t="shared" si="4"/>
        <v>1000</v>
      </c>
      <c r="J28" s="774">
        <f t="shared" si="4"/>
        <v>19300</v>
      </c>
      <c r="K28" s="774">
        <f t="shared" si="4"/>
        <v>0</v>
      </c>
      <c r="L28" s="774">
        <f t="shared" si="4"/>
        <v>0</v>
      </c>
      <c r="M28" s="774">
        <f t="shared" si="4"/>
        <v>9700</v>
      </c>
      <c r="N28" s="774">
        <f t="shared" si="4"/>
        <v>30300</v>
      </c>
      <c r="O28" s="774">
        <f t="shared" si="4"/>
        <v>-10500</v>
      </c>
      <c r="P28" s="774">
        <f t="shared" si="4"/>
        <v>-5120.94</v>
      </c>
      <c r="Q28" s="774">
        <f>Q27</f>
        <v>14679.06</v>
      </c>
      <c r="R28" s="774"/>
      <c r="U28" s="771"/>
    </row>
    <row r="29" ht="14.25" customHeight="1">
      <c r="B29" s="519" t="s">
        <v>96</v>
      </c>
      <c r="C29" s="525">
        <v>45660.0</v>
      </c>
      <c r="D29" s="87"/>
      <c r="E29" s="88"/>
      <c r="F29" s="88"/>
      <c r="G29" s="526"/>
      <c r="H29" s="524"/>
      <c r="I29" s="88"/>
      <c r="J29" s="88"/>
      <c r="K29" s="199">
        <f t="shared" ref="K29:K53" si="5">E29-J29-L29-M29-N29-I29+G29</f>
        <v>0</v>
      </c>
      <c r="L29" s="88"/>
      <c r="M29" s="88"/>
      <c r="N29" s="88"/>
      <c r="O29" s="88"/>
      <c r="P29" s="410"/>
      <c r="Q29" s="88">
        <f t="shared" ref="Q29:Q31" si="6">Q28+N29+O29+P29</f>
        <v>14679.06</v>
      </c>
      <c r="R29" s="88"/>
      <c r="U29" s="771"/>
    </row>
    <row r="30" ht="14.25" customHeight="1">
      <c r="B30" s="519"/>
      <c r="C30" s="518">
        <v>45720.0</v>
      </c>
      <c r="D30" s="66">
        <v>1.0</v>
      </c>
      <c r="E30" s="67">
        <v>2500.0</v>
      </c>
      <c r="F30" s="67"/>
      <c r="G30" s="699"/>
      <c r="H30" s="519"/>
      <c r="I30" s="67"/>
      <c r="J30" s="67">
        <v>1000.0</v>
      </c>
      <c r="K30" s="186">
        <f t="shared" si="5"/>
        <v>0</v>
      </c>
      <c r="L30" s="67"/>
      <c r="M30" s="67">
        <v>1500.0</v>
      </c>
      <c r="N30" s="703"/>
      <c r="O30" s="703">
        <v>-700.0</v>
      </c>
      <c r="P30" s="769"/>
      <c r="Q30" s="703">
        <f t="shared" si="6"/>
        <v>13979.06</v>
      </c>
      <c r="R30" s="703"/>
      <c r="U30" s="771"/>
    </row>
    <row r="31" ht="14.25" customHeight="1">
      <c r="B31" s="519"/>
      <c r="C31" s="518">
        <v>45753.0</v>
      </c>
      <c r="D31" s="66">
        <v>1.0</v>
      </c>
      <c r="E31" s="67">
        <v>2000.0</v>
      </c>
      <c r="F31" s="67"/>
      <c r="G31" s="699"/>
      <c r="H31" s="519"/>
      <c r="I31" s="67"/>
      <c r="J31" s="67"/>
      <c r="K31" s="186">
        <f t="shared" si="5"/>
        <v>0</v>
      </c>
      <c r="L31" s="67"/>
      <c r="M31" s="67"/>
      <c r="N31" s="703">
        <v>2000.0</v>
      </c>
      <c r="O31" s="703">
        <v>-700.0</v>
      </c>
      <c r="P31" s="769"/>
      <c r="Q31" s="703">
        <f t="shared" si="6"/>
        <v>15279.06</v>
      </c>
      <c r="R31" s="703"/>
      <c r="U31" s="771"/>
    </row>
    <row r="32" ht="14.25" customHeight="1">
      <c r="B32" s="519"/>
      <c r="C32" s="525">
        <v>45783.0</v>
      </c>
      <c r="D32" s="87"/>
      <c r="E32" s="88"/>
      <c r="F32" s="88"/>
      <c r="G32" s="526"/>
      <c r="H32" s="524"/>
      <c r="I32" s="88"/>
      <c r="J32" s="88"/>
      <c r="K32" s="199">
        <f t="shared" si="5"/>
        <v>0</v>
      </c>
      <c r="L32" s="88"/>
      <c r="M32" s="88"/>
      <c r="N32" s="88"/>
      <c r="O32" s="88"/>
      <c r="P32" s="410"/>
      <c r="Q32" s="88">
        <f>Q30+N32+O32+P32</f>
        <v>13979.06</v>
      </c>
      <c r="R32" s="88"/>
      <c r="U32" s="771"/>
    </row>
    <row r="33" ht="14.25" customHeight="1">
      <c r="B33" s="519"/>
      <c r="C33" s="518">
        <v>45815.0</v>
      </c>
      <c r="D33" s="66">
        <v>1.0</v>
      </c>
      <c r="E33" s="67">
        <v>2000.0</v>
      </c>
      <c r="F33" s="67"/>
      <c r="G33" s="699"/>
      <c r="H33" s="519"/>
      <c r="I33" s="67"/>
      <c r="J33" s="67">
        <v>1000.0</v>
      </c>
      <c r="K33" s="186">
        <f t="shared" si="5"/>
        <v>0</v>
      </c>
      <c r="L33" s="67"/>
      <c r="M33" s="67">
        <v>1000.0</v>
      </c>
      <c r="N33" s="703"/>
      <c r="O33" s="703">
        <v>-700.0</v>
      </c>
      <c r="P33" s="769"/>
      <c r="Q33" s="703">
        <f t="shared" ref="Q33:Q57" si="7">Q32+N33+O33+P33</f>
        <v>13279.06</v>
      </c>
      <c r="R33" s="703"/>
      <c r="U33" s="771"/>
    </row>
    <row r="34" ht="14.25" customHeight="1">
      <c r="B34" s="519"/>
      <c r="C34" s="525">
        <v>45848.0</v>
      </c>
      <c r="D34" s="87"/>
      <c r="E34" s="88"/>
      <c r="F34" s="88"/>
      <c r="G34" s="526"/>
      <c r="H34" s="524"/>
      <c r="I34" s="88"/>
      <c r="J34" s="88"/>
      <c r="K34" s="199">
        <f t="shared" si="5"/>
        <v>0</v>
      </c>
      <c r="L34" s="88"/>
      <c r="M34" s="88"/>
      <c r="N34" s="88"/>
      <c r="O34" s="88"/>
      <c r="P34" s="410"/>
      <c r="Q34" s="88">
        <f t="shared" si="7"/>
        <v>13279.06</v>
      </c>
      <c r="R34" s="88"/>
      <c r="U34" s="771"/>
    </row>
    <row r="35" ht="14.25" customHeight="1">
      <c r="B35" s="519"/>
      <c r="C35" s="518">
        <v>45941.0</v>
      </c>
      <c r="D35" s="66">
        <v>1.0</v>
      </c>
      <c r="E35" s="67">
        <v>2300.0</v>
      </c>
      <c r="F35" s="67"/>
      <c r="G35" s="699"/>
      <c r="H35" s="519"/>
      <c r="I35" s="67"/>
      <c r="J35" s="67">
        <v>500.0</v>
      </c>
      <c r="K35" s="186">
        <f t="shared" si="5"/>
        <v>0</v>
      </c>
      <c r="L35" s="67"/>
      <c r="M35" s="67"/>
      <c r="N35" s="703">
        <v>1800.0</v>
      </c>
      <c r="O35" s="703">
        <v>-700.0</v>
      </c>
      <c r="P35" s="769"/>
      <c r="Q35" s="703">
        <f t="shared" si="7"/>
        <v>14379.06</v>
      </c>
      <c r="R35" s="703"/>
      <c r="U35" s="771"/>
    </row>
    <row r="36" ht="14.25" customHeight="1">
      <c r="B36" s="519"/>
      <c r="C36" s="518">
        <v>45973.0</v>
      </c>
      <c r="D36" s="66">
        <v>1.0</v>
      </c>
      <c r="E36" s="67">
        <v>2500.0</v>
      </c>
      <c r="F36" s="67"/>
      <c r="G36" s="699"/>
      <c r="H36" s="519"/>
      <c r="I36" s="67">
        <v>1000.0</v>
      </c>
      <c r="J36" s="67"/>
      <c r="K36" s="186">
        <f t="shared" si="5"/>
        <v>0</v>
      </c>
      <c r="L36" s="67"/>
      <c r="M36" s="67"/>
      <c r="N36" s="703">
        <v>1500.0</v>
      </c>
      <c r="O36" s="703">
        <v>-700.0</v>
      </c>
      <c r="P36" s="769"/>
      <c r="Q36" s="703">
        <f t="shared" si="7"/>
        <v>15179.06</v>
      </c>
      <c r="R36" s="703"/>
      <c r="U36" s="771"/>
    </row>
    <row r="37" ht="14.25" customHeight="1">
      <c r="B37" s="519"/>
      <c r="C37" s="525">
        <v>46006.0</v>
      </c>
      <c r="D37" s="87"/>
      <c r="E37" s="88"/>
      <c r="F37" s="88"/>
      <c r="G37" s="526"/>
      <c r="H37" s="524"/>
      <c r="I37" s="88"/>
      <c r="J37" s="88"/>
      <c r="K37" s="199">
        <f t="shared" si="5"/>
        <v>0</v>
      </c>
      <c r="L37" s="88"/>
      <c r="M37" s="88"/>
      <c r="N37" s="88"/>
      <c r="O37" s="88"/>
      <c r="P37" s="410"/>
      <c r="Q37" s="88">
        <f t="shared" si="7"/>
        <v>15179.06</v>
      </c>
      <c r="R37" s="88"/>
      <c r="U37" s="771"/>
    </row>
    <row r="38" ht="14.25" customHeight="1">
      <c r="B38" s="519"/>
      <c r="C38" s="66" t="s">
        <v>30</v>
      </c>
      <c r="D38" s="66">
        <v>1.0</v>
      </c>
      <c r="E38" s="67">
        <v>2300.0</v>
      </c>
      <c r="F38" s="67">
        <v>-500.0</v>
      </c>
      <c r="G38" s="699"/>
      <c r="H38" s="519" t="s">
        <v>363</v>
      </c>
      <c r="I38" s="67"/>
      <c r="J38" s="67">
        <v>1000.0</v>
      </c>
      <c r="K38" s="186">
        <f t="shared" si="5"/>
        <v>0</v>
      </c>
      <c r="L38" s="67"/>
      <c r="M38" s="67"/>
      <c r="N38" s="703">
        <v>1300.0</v>
      </c>
      <c r="O38" s="703">
        <v>-700.0</v>
      </c>
      <c r="P38" s="769"/>
      <c r="Q38" s="703">
        <f t="shared" si="7"/>
        <v>15779.06</v>
      </c>
      <c r="R38" s="703"/>
      <c r="U38" s="771"/>
    </row>
    <row r="39" ht="14.25" customHeight="1">
      <c r="B39" s="519"/>
      <c r="C39" s="87" t="s">
        <v>31</v>
      </c>
      <c r="D39" s="87"/>
      <c r="E39" s="88"/>
      <c r="F39" s="88"/>
      <c r="G39" s="526"/>
      <c r="H39" s="524"/>
      <c r="I39" s="88"/>
      <c r="J39" s="88"/>
      <c r="K39" s="199">
        <f t="shared" si="5"/>
        <v>0</v>
      </c>
      <c r="L39" s="88"/>
      <c r="M39" s="88"/>
      <c r="N39" s="88"/>
      <c r="O39" s="88"/>
      <c r="P39" s="410"/>
      <c r="Q39" s="88">
        <f t="shared" si="7"/>
        <v>15779.06</v>
      </c>
      <c r="R39" s="88"/>
      <c r="U39" s="771"/>
    </row>
    <row r="40" ht="14.25" customHeight="1">
      <c r="B40" s="519"/>
      <c r="C40" s="66" t="s">
        <v>32</v>
      </c>
      <c r="D40" s="66">
        <v>1.0</v>
      </c>
      <c r="E40" s="67">
        <v>2500.0</v>
      </c>
      <c r="F40" s="67"/>
      <c r="G40" s="699"/>
      <c r="H40" s="519"/>
      <c r="I40" s="67"/>
      <c r="J40" s="67">
        <v>500.0</v>
      </c>
      <c r="K40" s="186">
        <f t="shared" si="5"/>
        <v>0</v>
      </c>
      <c r="L40" s="67"/>
      <c r="M40" s="67">
        <v>2000.0</v>
      </c>
      <c r="N40" s="703"/>
      <c r="O40" s="703">
        <v>-700.0</v>
      </c>
      <c r="P40" s="769"/>
      <c r="Q40" s="703">
        <f t="shared" si="7"/>
        <v>15079.06</v>
      </c>
      <c r="R40" s="703"/>
      <c r="U40" s="771"/>
    </row>
    <row r="41" ht="14.25" customHeight="1">
      <c r="B41" s="519"/>
      <c r="C41" s="66" t="s">
        <v>33</v>
      </c>
      <c r="D41" s="66">
        <v>1.0</v>
      </c>
      <c r="E41" s="67">
        <v>2500.0</v>
      </c>
      <c r="F41" s="67"/>
      <c r="G41" s="699"/>
      <c r="H41" s="519"/>
      <c r="I41" s="67"/>
      <c r="J41" s="67">
        <v>1000.0</v>
      </c>
      <c r="K41" s="186">
        <f t="shared" si="5"/>
        <v>0</v>
      </c>
      <c r="L41" s="67">
        <v>1500.0</v>
      </c>
      <c r="M41" s="67"/>
      <c r="N41" s="703"/>
      <c r="O41" s="703">
        <v>-70.0</v>
      </c>
      <c r="P41" s="769"/>
      <c r="Q41" s="703">
        <f t="shared" si="7"/>
        <v>15009.06</v>
      </c>
      <c r="R41" s="703"/>
      <c r="U41" s="771"/>
    </row>
    <row r="42" ht="14.25" customHeight="1">
      <c r="B42" s="519"/>
      <c r="C42" s="87" t="s">
        <v>34</v>
      </c>
      <c r="D42" s="87"/>
      <c r="E42" s="88"/>
      <c r="F42" s="88"/>
      <c r="G42" s="526"/>
      <c r="H42" s="524"/>
      <c r="I42" s="88"/>
      <c r="J42" s="88"/>
      <c r="K42" s="199">
        <f t="shared" si="5"/>
        <v>0</v>
      </c>
      <c r="L42" s="88"/>
      <c r="M42" s="88"/>
      <c r="N42" s="88"/>
      <c r="O42" s="88"/>
      <c r="P42" s="410"/>
      <c r="Q42" s="88">
        <f t="shared" si="7"/>
        <v>15009.06</v>
      </c>
      <c r="R42" s="88"/>
      <c r="U42" s="771"/>
    </row>
    <row r="43" ht="14.25" customHeight="1">
      <c r="B43" s="519"/>
      <c r="C43" s="66" t="s">
        <v>69</v>
      </c>
      <c r="D43" s="66">
        <v>1.0</v>
      </c>
      <c r="E43" s="67">
        <v>2500.0</v>
      </c>
      <c r="F43" s="67"/>
      <c r="G43" s="699"/>
      <c r="H43" s="519"/>
      <c r="I43" s="67"/>
      <c r="J43" s="67">
        <v>700.0</v>
      </c>
      <c r="K43" s="186">
        <f t="shared" si="5"/>
        <v>0</v>
      </c>
      <c r="L43" s="67"/>
      <c r="M43" s="67">
        <v>1800.0</v>
      </c>
      <c r="N43" s="703"/>
      <c r="O43" s="703">
        <v>-700.0</v>
      </c>
      <c r="P43" s="769">
        <v>-500.0</v>
      </c>
      <c r="Q43" s="703">
        <f t="shared" si="7"/>
        <v>13809.06</v>
      </c>
      <c r="R43" s="703" t="s">
        <v>85</v>
      </c>
      <c r="U43" s="771"/>
    </row>
    <row r="44" ht="14.25" customHeight="1">
      <c r="B44" s="519"/>
      <c r="C44" s="66" t="s">
        <v>68</v>
      </c>
      <c r="D44" s="66">
        <v>1.0</v>
      </c>
      <c r="E44" s="67">
        <v>1800.0</v>
      </c>
      <c r="F44" s="67"/>
      <c r="G44" s="699"/>
      <c r="H44" s="519"/>
      <c r="I44" s="67"/>
      <c r="J44" s="67">
        <v>500.0</v>
      </c>
      <c r="K44" s="186">
        <f t="shared" si="5"/>
        <v>0</v>
      </c>
      <c r="L44" s="67"/>
      <c r="M44" s="67"/>
      <c r="N44" s="703">
        <v>1300.0</v>
      </c>
      <c r="O44" s="703">
        <v>-700.0</v>
      </c>
      <c r="P44" s="769"/>
      <c r="Q44" s="703">
        <f t="shared" si="7"/>
        <v>14409.06</v>
      </c>
      <c r="R44" s="703"/>
      <c r="U44" s="771"/>
    </row>
    <row r="45" ht="14.25" customHeight="1">
      <c r="B45" s="519"/>
      <c r="C45" s="87" t="s">
        <v>37</v>
      </c>
      <c r="D45" s="87"/>
      <c r="E45" s="88"/>
      <c r="F45" s="88"/>
      <c r="G45" s="526"/>
      <c r="H45" s="524"/>
      <c r="I45" s="88"/>
      <c r="J45" s="88"/>
      <c r="K45" s="199">
        <f t="shared" si="5"/>
        <v>0</v>
      </c>
      <c r="L45" s="88"/>
      <c r="M45" s="88"/>
      <c r="N45" s="88"/>
      <c r="O45" s="88"/>
      <c r="P45" s="410"/>
      <c r="Q45" s="88">
        <f t="shared" si="7"/>
        <v>14409.06</v>
      </c>
      <c r="R45" s="88"/>
      <c r="U45" s="771"/>
    </row>
    <row r="46" ht="14.25" customHeight="1">
      <c r="B46" s="519"/>
      <c r="C46" s="66" t="s">
        <v>108</v>
      </c>
      <c r="D46" s="66">
        <v>2.0</v>
      </c>
      <c r="E46" s="67">
        <v>5800.0</v>
      </c>
      <c r="F46" s="67"/>
      <c r="G46" s="699"/>
      <c r="H46" s="519"/>
      <c r="I46" s="67"/>
      <c r="J46" s="67">
        <v>1500.0</v>
      </c>
      <c r="K46" s="186">
        <f t="shared" si="5"/>
        <v>0</v>
      </c>
      <c r="L46" s="67"/>
      <c r="M46" s="67"/>
      <c r="N46" s="703">
        <v>4300.0</v>
      </c>
      <c r="O46" s="703">
        <v>-700.0</v>
      </c>
      <c r="P46" s="769">
        <v>-1000.0</v>
      </c>
      <c r="Q46" s="703">
        <f t="shared" si="7"/>
        <v>17009.06</v>
      </c>
      <c r="R46" s="703" t="s">
        <v>85</v>
      </c>
      <c r="U46" s="771"/>
    </row>
    <row r="47" ht="14.25" customHeight="1">
      <c r="B47" s="519"/>
      <c r="C47" s="66" t="s">
        <v>45</v>
      </c>
      <c r="D47" s="66"/>
      <c r="E47" s="67">
        <v>1000.0</v>
      </c>
      <c r="F47" s="67"/>
      <c r="G47" s="699"/>
      <c r="H47" s="519" t="s">
        <v>94</v>
      </c>
      <c r="I47" s="67"/>
      <c r="J47" s="67">
        <v>1000.0</v>
      </c>
      <c r="K47" s="186">
        <f t="shared" si="5"/>
        <v>0</v>
      </c>
      <c r="L47" s="67"/>
      <c r="M47" s="67"/>
      <c r="N47" s="703"/>
      <c r="O47" s="703"/>
      <c r="P47" s="769"/>
      <c r="Q47" s="703">
        <f t="shared" si="7"/>
        <v>17009.06</v>
      </c>
      <c r="R47" s="703" t="s">
        <v>81</v>
      </c>
      <c r="U47" s="771"/>
    </row>
    <row r="48" ht="14.25" customHeight="1">
      <c r="B48" s="519"/>
      <c r="C48" s="66" t="s">
        <v>45</v>
      </c>
      <c r="D48" s="66">
        <v>1.0</v>
      </c>
      <c r="E48" s="67">
        <v>2200.0</v>
      </c>
      <c r="F48" s="67"/>
      <c r="G48" s="699"/>
      <c r="H48" s="519"/>
      <c r="I48" s="67"/>
      <c r="J48" s="67">
        <v>500.0</v>
      </c>
      <c r="K48" s="186">
        <f t="shared" si="5"/>
        <v>0</v>
      </c>
      <c r="L48" s="67"/>
      <c r="M48" s="67"/>
      <c r="N48" s="703">
        <v>1700.0</v>
      </c>
      <c r="O48" s="703">
        <v>-700.0</v>
      </c>
      <c r="P48" s="769"/>
      <c r="Q48" s="703">
        <f t="shared" si="7"/>
        <v>18009.06</v>
      </c>
      <c r="R48" s="703"/>
      <c r="U48" s="771"/>
    </row>
    <row r="49" ht="14.25" customHeight="1">
      <c r="B49" s="519"/>
      <c r="C49" s="66" t="s">
        <v>86</v>
      </c>
      <c r="D49" s="66">
        <v>2.0</v>
      </c>
      <c r="E49" s="67">
        <v>4000.0</v>
      </c>
      <c r="F49" s="67"/>
      <c r="G49" s="699"/>
      <c r="H49" s="519"/>
      <c r="I49" s="67"/>
      <c r="J49" s="67">
        <v>1000.0</v>
      </c>
      <c r="K49" s="186">
        <f t="shared" si="5"/>
        <v>0</v>
      </c>
      <c r="L49" s="67"/>
      <c r="M49" s="67">
        <v>3000.0</v>
      </c>
      <c r="N49" s="703"/>
      <c r="O49" s="703">
        <v>-700.0</v>
      </c>
      <c r="P49" s="769"/>
      <c r="Q49" s="703">
        <f t="shared" si="7"/>
        <v>17309.06</v>
      </c>
      <c r="R49" s="703"/>
      <c r="U49" s="771"/>
    </row>
    <row r="50" ht="14.25" customHeight="1">
      <c r="B50" s="519"/>
      <c r="C50" s="87" t="s">
        <v>73</v>
      </c>
      <c r="D50" s="87"/>
      <c r="E50" s="88"/>
      <c r="F50" s="88"/>
      <c r="G50" s="526"/>
      <c r="H50" s="524"/>
      <c r="I50" s="88"/>
      <c r="J50" s="88"/>
      <c r="K50" s="199">
        <f t="shared" si="5"/>
        <v>0</v>
      </c>
      <c r="L50" s="88"/>
      <c r="M50" s="88"/>
      <c r="N50" s="88"/>
      <c r="O50" s="88"/>
      <c r="P50" s="410"/>
      <c r="Q50" s="88">
        <f t="shared" si="7"/>
        <v>17309.06</v>
      </c>
      <c r="R50" s="88"/>
      <c r="U50" s="771"/>
    </row>
    <row r="51" ht="14.25" customHeight="1">
      <c r="B51" s="519"/>
      <c r="C51" s="66" t="s">
        <v>49</v>
      </c>
      <c r="D51" s="66">
        <v>1.0</v>
      </c>
      <c r="E51" s="67">
        <v>3000.0</v>
      </c>
      <c r="F51" s="67"/>
      <c r="G51" s="699"/>
      <c r="H51" s="519"/>
      <c r="I51" s="67"/>
      <c r="J51" s="67">
        <v>1000.0</v>
      </c>
      <c r="K51" s="186">
        <f t="shared" si="5"/>
        <v>0</v>
      </c>
      <c r="L51" s="67"/>
      <c r="M51" s="67">
        <v>2000.0</v>
      </c>
      <c r="N51" s="703"/>
      <c r="O51" s="703">
        <v>-700.0</v>
      </c>
      <c r="P51" s="769"/>
      <c r="Q51" s="703">
        <f t="shared" si="7"/>
        <v>16609.06</v>
      </c>
      <c r="R51" s="703"/>
      <c r="U51" s="771"/>
    </row>
    <row r="52" ht="14.25" customHeight="1">
      <c r="B52" s="519"/>
      <c r="C52" s="87" t="s">
        <v>50</v>
      </c>
      <c r="D52" s="87"/>
      <c r="E52" s="88"/>
      <c r="F52" s="88"/>
      <c r="G52" s="526"/>
      <c r="H52" s="524"/>
      <c r="I52" s="88"/>
      <c r="J52" s="88"/>
      <c r="K52" s="199">
        <f t="shared" si="5"/>
        <v>0</v>
      </c>
      <c r="L52" s="88"/>
      <c r="M52" s="88"/>
      <c r="N52" s="88"/>
      <c r="O52" s="88"/>
      <c r="P52" s="410"/>
      <c r="Q52" s="88">
        <f t="shared" si="7"/>
        <v>16609.06</v>
      </c>
      <c r="R52" s="88"/>
      <c r="U52" s="771"/>
    </row>
    <row r="53" ht="14.25" customHeight="1">
      <c r="B53" s="519"/>
      <c r="C53" s="66" t="s">
        <v>52</v>
      </c>
      <c r="D53" s="66">
        <v>1.0</v>
      </c>
      <c r="E53" s="67">
        <v>2000.0</v>
      </c>
      <c r="F53" s="67"/>
      <c r="G53" s="699"/>
      <c r="H53" s="519"/>
      <c r="I53" s="67"/>
      <c r="J53" s="67">
        <v>500.0</v>
      </c>
      <c r="K53" s="186">
        <f t="shared" si="5"/>
        <v>0</v>
      </c>
      <c r="L53" s="67"/>
      <c r="M53" s="67"/>
      <c r="N53" s="703">
        <v>1500.0</v>
      </c>
      <c r="O53" s="703">
        <v>-700.0</v>
      </c>
      <c r="P53" s="769"/>
      <c r="Q53" s="703">
        <f t="shared" si="7"/>
        <v>17409.06</v>
      </c>
      <c r="R53" s="703"/>
      <c r="U53" s="771"/>
    </row>
    <row r="54" ht="14.25" customHeight="1">
      <c r="B54" s="519"/>
      <c r="C54" s="66"/>
      <c r="D54" s="66"/>
      <c r="E54" s="67"/>
      <c r="F54" s="67"/>
      <c r="G54" s="699"/>
      <c r="H54" s="519"/>
      <c r="I54" s="67"/>
      <c r="J54" s="67"/>
      <c r="K54" s="186"/>
      <c r="L54" s="67"/>
      <c r="M54" s="67"/>
      <c r="N54" s="703"/>
      <c r="O54" s="703"/>
      <c r="P54" s="769">
        <v>-1300.0</v>
      </c>
      <c r="Q54" s="703">
        <f t="shared" si="7"/>
        <v>16109.06</v>
      </c>
      <c r="R54" s="703" t="s">
        <v>394</v>
      </c>
      <c r="U54" s="771"/>
    </row>
    <row r="55" ht="14.25" customHeight="1">
      <c r="B55" s="519"/>
      <c r="C55" s="66"/>
      <c r="D55" s="66"/>
      <c r="E55" s="67"/>
      <c r="F55" s="67"/>
      <c r="G55" s="699"/>
      <c r="H55" s="519"/>
      <c r="I55" s="67"/>
      <c r="J55" s="67"/>
      <c r="K55" s="186"/>
      <c r="L55" s="67"/>
      <c r="M55" s="67"/>
      <c r="N55" s="703"/>
      <c r="O55" s="703"/>
      <c r="P55" s="769">
        <v>-2275.76</v>
      </c>
      <c r="Q55" s="703">
        <f t="shared" si="7"/>
        <v>13833.3</v>
      </c>
      <c r="R55" s="703" t="s">
        <v>55</v>
      </c>
      <c r="U55" s="771"/>
    </row>
    <row r="56" ht="14.25" customHeight="1">
      <c r="B56" s="519"/>
      <c r="C56" s="66"/>
      <c r="D56" s="66"/>
      <c r="E56" s="67"/>
      <c r="F56" s="67"/>
      <c r="G56" s="699"/>
      <c r="H56" s="519"/>
      <c r="I56" s="67"/>
      <c r="J56" s="67"/>
      <c r="K56" s="186">
        <f t="shared" ref="K56:K57" si="8">E56-J56-L56-M56-N56-I56+G56</f>
        <v>0</v>
      </c>
      <c r="L56" s="67"/>
      <c r="M56" s="67"/>
      <c r="N56" s="703"/>
      <c r="O56" s="703"/>
      <c r="P56" s="769">
        <v>-372.48</v>
      </c>
      <c r="Q56" s="703">
        <f t="shared" si="7"/>
        <v>13460.82</v>
      </c>
      <c r="R56" s="703" t="s">
        <v>395</v>
      </c>
      <c r="U56" s="771"/>
    </row>
    <row r="57" ht="14.25" customHeight="1">
      <c r="B57" s="519"/>
      <c r="C57" s="66"/>
      <c r="D57" s="66"/>
      <c r="E57" s="67"/>
      <c r="F57" s="67"/>
      <c r="G57" s="699"/>
      <c r="H57" s="519"/>
      <c r="I57" s="67"/>
      <c r="J57" s="67"/>
      <c r="K57" s="186">
        <f t="shared" si="8"/>
        <v>0</v>
      </c>
      <c r="L57" s="67"/>
      <c r="M57" s="67"/>
      <c r="N57" s="703"/>
      <c r="O57" s="703"/>
      <c r="P57" s="769">
        <v>-4000.0</v>
      </c>
      <c r="Q57" s="703">
        <f t="shared" si="7"/>
        <v>9460.82</v>
      </c>
      <c r="R57" s="703" t="s">
        <v>396</v>
      </c>
      <c r="U57" s="771"/>
    </row>
    <row r="58" ht="14.25" customHeight="1">
      <c r="B58" s="772" t="s">
        <v>96</v>
      </c>
      <c r="C58" s="772" t="s">
        <v>80</v>
      </c>
      <c r="D58" s="773">
        <f t="shared" ref="D58:P58" si="9">sum(D29:D57)</f>
        <v>17</v>
      </c>
      <c r="E58" s="774">
        <f t="shared" si="9"/>
        <v>40900</v>
      </c>
      <c r="F58" s="774">
        <f t="shared" si="9"/>
        <v>-500</v>
      </c>
      <c r="G58" s="774">
        <f t="shared" si="9"/>
        <v>0</v>
      </c>
      <c r="H58" s="774">
        <f t="shared" si="9"/>
        <v>0</v>
      </c>
      <c r="I58" s="774">
        <f t="shared" si="9"/>
        <v>1000</v>
      </c>
      <c r="J58" s="774">
        <f t="shared" si="9"/>
        <v>11700</v>
      </c>
      <c r="K58" s="774">
        <f t="shared" si="9"/>
        <v>0</v>
      </c>
      <c r="L58" s="774">
        <f t="shared" si="9"/>
        <v>1500</v>
      </c>
      <c r="M58" s="774">
        <f t="shared" si="9"/>
        <v>11300</v>
      </c>
      <c r="N58" s="774">
        <f t="shared" si="9"/>
        <v>15400</v>
      </c>
      <c r="O58" s="774">
        <f t="shared" si="9"/>
        <v>-9870</v>
      </c>
      <c r="P58" s="774">
        <f t="shared" si="9"/>
        <v>-9448.24</v>
      </c>
      <c r="Q58" s="774">
        <f>Q57</f>
        <v>9460.82</v>
      </c>
      <c r="R58" s="774"/>
      <c r="T58" s="561" t="s">
        <v>398</v>
      </c>
      <c r="U58" s="771"/>
    </row>
    <row r="59" ht="14.25" customHeight="1">
      <c r="B59" s="572" t="s">
        <v>105</v>
      </c>
      <c r="C59" s="573">
        <v>45659.0</v>
      </c>
      <c r="D59" s="241">
        <v>1.0</v>
      </c>
      <c r="E59" s="237">
        <v>2500.0</v>
      </c>
      <c r="F59" s="67"/>
      <c r="G59" s="699"/>
      <c r="H59" s="519"/>
      <c r="I59" s="67"/>
      <c r="J59" s="237">
        <v>1000.0</v>
      </c>
      <c r="K59" s="186">
        <f>E59-J59-L59-M59-N59-I59+G59</f>
        <v>0</v>
      </c>
      <c r="L59" s="67"/>
      <c r="M59" s="67"/>
      <c r="N59" s="794">
        <v>1500.0</v>
      </c>
      <c r="O59" s="794">
        <v>-700.0</v>
      </c>
      <c r="P59" s="703"/>
      <c r="Q59" s="703">
        <f t="shared" ref="Q59:Q81" si="10">Q58+N59+O59+P59</f>
        <v>10260.82</v>
      </c>
      <c r="R59" s="703"/>
      <c r="T59" s="707"/>
      <c r="U59" s="709"/>
    </row>
    <row r="60" ht="14.25" customHeight="1">
      <c r="B60" s="524"/>
      <c r="C60" s="576">
        <v>45691.0</v>
      </c>
      <c r="D60" s="87"/>
      <c r="E60" s="88"/>
      <c r="F60" s="88"/>
      <c r="G60" s="526"/>
      <c r="H60" s="524"/>
      <c r="I60" s="88"/>
      <c r="J60" s="88"/>
      <c r="K60" s="199">
        <f>E60-J60-L60-M60-N60-I60+G60-P60</f>
        <v>0</v>
      </c>
      <c r="L60" s="88"/>
      <c r="M60" s="88"/>
      <c r="N60" s="88"/>
      <c r="O60" s="88"/>
      <c r="P60" s="88"/>
      <c r="Q60" s="88">
        <f t="shared" si="10"/>
        <v>10260.82</v>
      </c>
      <c r="R60" s="88"/>
      <c r="T60" s="707"/>
      <c r="U60" s="709"/>
    </row>
    <row r="61" ht="14.25" customHeight="1">
      <c r="B61" s="519"/>
      <c r="C61" s="573">
        <v>45720.0</v>
      </c>
      <c r="D61" s="241">
        <v>1.0</v>
      </c>
      <c r="E61" s="237">
        <f>400+1800</f>
        <v>2200</v>
      </c>
      <c r="F61" s="67"/>
      <c r="G61" s="699"/>
      <c r="H61" s="519"/>
      <c r="I61" s="67"/>
      <c r="J61" s="237">
        <v>500.0</v>
      </c>
      <c r="K61" s="186">
        <f t="shared" ref="K61:K65" si="11">E61-J61-L61-M61-N61-I61+G61</f>
        <v>0</v>
      </c>
      <c r="L61" s="67"/>
      <c r="M61" s="237">
        <f>400+1300</f>
        <v>1700</v>
      </c>
      <c r="N61" s="703"/>
      <c r="O61" s="794">
        <v>-700.0</v>
      </c>
      <c r="P61" s="703"/>
      <c r="Q61" s="703">
        <f t="shared" si="10"/>
        <v>9560.82</v>
      </c>
      <c r="R61" s="703"/>
      <c r="T61" s="707"/>
      <c r="U61" s="709"/>
    </row>
    <row r="62" ht="14.25" customHeight="1">
      <c r="B62" s="524"/>
      <c r="C62" s="576">
        <v>45753.0</v>
      </c>
      <c r="D62" s="87"/>
      <c r="E62" s="88"/>
      <c r="F62" s="88"/>
      <c r="G62" s="526"/>
      <c r="H62" s="524"/>
      <c r="I62" s="88"/>
      <c r="J62" s="88"/>
      <c r="K62" s="199">
        <f t="shared" si="11"/>
        <v>0</v>
      </c>
      <c r="L62" s="88"/>
      <c r="M62" s="88"/>
      <c r="N62" s="88"/>
      <c r="O62" s="88"/>
      <c r="P62" s="88"/>
      <c r="Q62" s="88">
        <f t="shared" si="10"/>
        <v>9560.82</v>
      </c>
      <c r="R62" s="88"/>
      <c r="T62" s="707"/>
      <c r="U62" s="709"/>
    </row>
    <row r="63" ht="14.25" customHeight="1">
      <c r="B63" s="519"/>
      <c r="C63" s="573">
        <v>45816.0</v>
      </c>
      <c r="D63" s="241">
        <v>2.0</v>
      </c>
      <c r="E63" s="237">
        <v>3800.0</v>
      </c>
      <c r="F63" s="67"/>
      <c r="G63" s="699"/>
      <c r="H63" s="519"/>
      <c r="I63" s="67"/>
      <c r="J63" s="237">
        <v>1500.0</v>
      </c>
      <c r="K63" s="186">
        <f t="shared" si="11"/>
        <v>0</v>
      </c>
      <c r="L63" s="67"/>
      <c r="M63" s="67"/>
      <c r="N63" s="794">
        <v>2300.0</v>
      </c>
      <c r="O63" s="794">
        <v>-700.0</v>
      </c>
      <c r="P63" s="703"/>
      <c r="Q63" s="703">
        <f t="shared" si="10"/>
        <v>11160.82</v>
      </c>
      <c r="R63" s="703"/>
      <c r="T63" s="707"/>
      <c r="U63" s="709"/>
    </row>
    <row r="64" ht="14.25" customHeight="1">
      <c r="B64" s="519"/>
      <c r="C64" s="573">
        <v>45878.0</v>
      </c>
      <c r="D64" s="241">
        <v>1.0</v>
      </c>
      <c r="E64" s="237">
        <v>2500.0</v>
      </c>
      <c r="F64" s="67"/>
      <c r="G64" s="699"/>
      <c r="H64" s="519"/>
      <c r="I64" s="67"/>
      <c r="J64" s="237">
        <v>1000.0</v>
      </c>
      <c r="K64" s="186">
        <f t="shared" si="11"/>
        <v>0</v>
      </c>
      <c r="L64" s="67"/>
      <c r="M64" s="237">
        <v>1500.0</v>
      </c>
      <c r="N64" s="703"/>
      <c r="O64" s="794">
        <v>-700.0</v>
      </c>
      <c r="P64" s="703"/>
      <c r="Q64" s="703">
        <f t="shared" si="10"/>
        <v>10460.82</v>
      </c>
      <c r="R64" s="703"/>
      <c r="T64" s="707"/>
      <c r="U64" s="709"/>
    </row>
    <row r="65" ht="14.25" customHeight="1">
      <c r="B65" s="519"/>
      <c r="C65" s="573">
        <v>45910.0</v>
      </c>
      <c r="D65" s="241">
        <v>1.0</v>
      </c>
      <c r="E65" s="237">
        <v>2500.0</v>
      </c>
      <c r="F65" s="237">
        <v>-500.0</v>
      </c>
      <c r="G65" s="699"/>
      <c r="H65" s="519"/>
      <c r="I65" s="67"/>
      <c r="J65" s="237">
        <v>1000.0</v>
      </c>
      <c r="K65" s="186">
        <f t="shared" si="11"/>
        <v>0</v>
      </c>
      <c r="L65" s="67"/>
      <c r="M65" s="237">
        <v>1500.0</v>
      </c>
      <c r="N65" s="703"/>
      <c r="O65" s="794">
        <v>-700.0</v>
      </c>
      <c r="P65" s="703"/>
      <c r="Q65" s="703">
        <f t="shared" si="10"/>
        <v>9760.82</v>
      </c>
      <c r="R65" s="703"/>
      <c r="T65" s="707"/>
      <c r="U65" s="709"/>
    </row>
    <row r="66" ht="14.25" customHeight="1">
      <c r="B66" s="524"/>
      <c r="C66" s="576">
        <v>45942.0</v>
      </c>
      <c r="D66" s="87"/>
      <c r="E66" s="88"/>
      <c r="F66" s="88"/>
      <c r="G66" s="526"/>
      <c r="H66" s="524"/>
      <c r="I66" s="88"/>
      <c r="J66" s="88"/>
      <c r="K66" s="199"/>
      <c r="L66" s="88"/>
      <c r="M66" s="88"/>
      <c r="N66" s="88"/>
      <c r="O66" s="294"/>
      <c r="P66" s="88"/>
      <c r="Q66" s="88">
        <f t="shared" si="10"/>
        <v>9760.82</v>
      </c>
      <c r="R66" s="88"/>
      <c r="T66" s="707"/>
      <c r="U66" s="709"/>
    </row>
    <row r="67" ht="14.25" customHeight="1">
      <c r="B67" s="519"/>
      <c r="C67" s="573">
        <v>46004.0</v>
      </c>
      <c r="D67" s="241">
        <v>1.0</v>
      </c>
      <c r="E67" s="237">
        <v>2000.0</v>
      </c>
      <c r="F67" s="67"/>
      <c r="G67" s="699"/>
      <c r="H67" s="519"/>
      <c r="I67" s="67"/>
      <c r="J67" s="237">
        <v>1000.0</v>
      </c>
      <c r="K67" s="186">
        <f t="shared" ref="K67:K78" si="12">E67-J67-L67-M67-N67-I67+G67</f>
        <v>0</v>
      </c>
      <c r="L67" s="67"/>
      <c r="M67" s="67"/>
      <c r="N67" s="794">
        <v>1000.0</v>
      </c>
      <c r="O67" s="794">
        <v>-700.0</v>
      </c>
      <c r="P67" s="703"/>
      <c r="Q67" s="703">
        <f t="shared" si="10"/>
        <v>10060.82</v>
      </c>
      <c r="R67" s="703"/>
      <c r="T67" s="707"/>
      <c r="U67" s="709"/>
    </row>
    <row r="68" ht="14.25" customHeight="1">
      <c r="B68" s="519"/>
      <c r="C68" s="241" t="s">
        <v>46</v>
      </c>
      <c r="D68" s="241">
        <v>1.0</v>
      </c>
      <c r="E68" s="237">
        <v>2000.0</v>
      </c>
      <c r="F68" s="67"/>
      <c r="G68" s="699"/>
      <c r="H68" s="519"/>
      <c r="I68" s="67"/>
      <c r="J68" s="237">
        <v>1000.0</v>
      </c>
      <c r="K68" s="186">
        <f t="shared" si="12"/>
        <v>0</v>
      </c>
      <c r="L68" s="67"/>
      <c r="M68" s="67"/>
      <c r="N68" s="794">
        <v>1000.0</v>
      </c>
      <c r="O68" s="794">
        <v>-700.0</v>
      </c>
      <c r="P68" s="703"/>
      <c r="Q68" s="703">
        <f t="shared" si="10"/>
        <v>10360.82</v>
      </c>
      <c r="R68" s="703"/>
      <c r="T68" s="707"/>
      <c r="U68" s="709"/>
    </row>
    <row r="69" ht="14.25" customHeight="1">
      <c r="B69" s="519"/>
      <c r="C69" s="241" t="s">
        <v>29</v>
      </c>
      <c r="D69" s="241">
        <v>1.0</v>
      </c>
      <c r="E69" s="237">
        <v>2500.0</v>
      </c>
      <c r="F69" s="237">
        <v>-500.0</v>
      </c>
      <c r="G69" s="699"/>
      <c r="H69" s="519"/>
      <c r="I69" s="67"/>
      <c r="J69" s="237">
        <v>500.0</v>
      </c>
      <c r="K69" s="186">
        <f t="shared" si="12"/>
        <v>0</v>
      </c>
      <c r="L69" s="67"/>
      <c r="M69" s="237">
        <v>2000.0</v>
      </c>
      <c r="N69" s="703"/>
      <c r="O69" s="794">
        <v>-700.0</v>
      </c>
      <c r="P69" s="703"/>
      <c r="Q69" s="703">
        <f t="shared" si="10"/>
        <v>9660.82</v>
      </c>
      <c r="R69" s="703"/>
      <c r="T69" s="707"/>
      <c r="U69" s="709"/>
    </row>
    <row r="70" ht="14.25" customHeight="1">
      <c r="B70" s="519"/>
      <c r="C70" s="241" t="s">
        <v>30</v>
      </c>
      <c r="D70" s="241">
        <v>1.0</v>
      </c>
      <c r="E70" s="237">
        <v>2500.0</v>
      </c>
      <c r="F70" s="67"/>
      <c r="G70" s="699"/>
      <c r="H70" s="519"/>
      <c r="I70" s="67"/>
      <c r="J70" s="237">
        <v>1000.0</v>
      </c>
      <c r="K70" s="186">
        <f t="shared" si="12"/>
        <v>0</v>
      </c>
      <c r="L70" s="67"/>
      <c r="M70" s="67"/>
      <c r="N70" s="794">
        <v>1500.0</v>
      </c>
      <c r="O70" s="794">
        <v>-700.0</v>
      </c>
      <c r="P70" s="769"/>
      <c r="Q70" s="703">
        <f t="shared" si="10"/>
        <v>10460.82</v>
      </c>
      <c r="R70" s="703"/>
      <c r="T70" s="707"/>
      <c r="U70" s="709"/>
    </row>
    <row r="71" ht="14.25" customHeight="1">
      <c r="B71" s="519"/>
      <c r="C71" s="241" t="s">
        <v>31</v>
      </c>
      <c r="D71" s="241">
        <v>1.0</v>
      </c>
      <c r="E71" s="237">
        <v>2000.0</v>
      </c>
      <c r="F71" s="67"/>
      <c r="G71" s="801">
        <v>300.0</v>
      </c>
      <c r="H71" s="519"/>
      <c r="I71" s="67"/>
      <c r="J71" s="237">
        <v>1000.0</v>
      </c>
      <c r="K71" s="186">
        <f t="shared" si="12"/>
        <v>0</v>
      </c>
      <c r="L71" s="67"/>
      <c r="M71" s="67"/>
      <c r="N71" s="794">
        <v>1300.0</v>
      </c>
      <c r="O71" s="794">
        <v>-700.0</v>
      </c>
      <c r="P71" s="769"/>
      <c r="Q71" s="703">
        <f t="shared" si="10"/>
        <v>11060.82</v>
      </c>
      <c r="R71" s="703"/>
      <c r="T71" s="707"/>
      <c r="U71" s="709"/>
    </row>
    <row r="72" ht="14.25" customHeight="1">
      <c r="B72" s="524"/>
      <c r="C72" s="299" t="s">
        <v>32</v>
      </c>
      <c r="D72" s="87"/>
      <c r="E72" s="88"/>
      <c r="F72" s="88"/>
      <c r="G72" s="526"/>
      <c r="H72" s="524"/>
      <c r="I72" s="88"/>
      <c r="J72" s="88"/>
      <c r="K72" s="199">
        <f t="shared" si="12"/>
        <v>0</v>
      </c>
      <c r="L72" s="88"/>
      <c r="M72" s="88"/>
      <c r="N72" s="88"/>
      <c r="O72" s="88"/>
      <c r="P72" s="410"/>
      <c r="Q72" s="88">
        <f t="shared" si="10"/>
        <v>11060.82</v>
      </c>
      <c r="R72" s="88"/>
      <c r="T72" s="707"/>
      <c r="U72" s="709"/>
    </row>
    <row r="73" ht="14.25" customHeight="1">
      <c r="B73" s="519"/>
      <c r="C73" s="241" t="s">
        <v>120</v>
      </c>
      <c r="D73" s="241">
        <v>2.0</v>
      </c>
      <c r="E73" s="237">
        <v>3500.0</v>
      </c>
      <c r="F73" s="67"/>
      <c r="G73" s="801">
        <v>600.0</v>
      </c>
      <c r="H73" s="519"/>
      <c r="I73" s="67"/>
      <c r="J73" s="237">
        <v>1800.0</v>
      </c>
      <c r="K73" s="186">
        <f t="shared" si="12"/>
        <v>0</v>
      </c>
      <c r="L73" s="67"/>
      <c r="M73" s="67"/>
      <c r="N73" s="794">
        <v>2300.0</v>
      </c>
      <c r="O73" s="794">
        <v>-700.0</v>
      </c>
      <c r="P73" s="769"/>
      <c r="Q73" s="703">
        <f t="shared" si="10"/>
        <v>12660.82</v>
      </c>
      <c r="R73" s="703"/>
      <c r="T73" s="707"/>
      <c r="U73" s="709"/>
    </row>
    <row r="74" ht="14.25" customHeight="1">
      <c r="B74" s="524"/>
      <c r="C74" s="299" t="s">
        <v>69</v>
      </c>
      <c r="D74" s="87"/>
      <c r="E74" s="88"/>
      <c r="F74" s="88"/>
      <c r="G74" s="526"/>
      <c r="H74" s="524"/>
      <c r="I74" s="88"/>
      <c r="J74" s="88"/>
      <c r="K74" s="199">
        <f t="shared" si="12"/>
        <v>0</v>
      </c>
      <c r="L74" s="88"/>
      <c r="M74" s="88"/>
      <c r="N74" s="88"/>
      <c r="O74" s="294"/>
      <c r="P74" s="410"/>
      <c r="Q74" s="88">
        <f t="shared" si="10"/>
        <v>12660.82</v>
      </c>
      <c r="R74" s="88"/>
      <c r="T74" s="707"/>
      <c r="U74" s="709"/>
    </row>
    <row r="75" ht="14.25" customHeight="1">
      <c r="B75" s="519"/>
      <c r="C75" s="241" t="s">
        <v>68</v>
      </c>
      <c r="D75" s="241">
        <v>1.0</v>
      </c>
      <c r="E75" s="237">
        <v>2000.0</v>
      </c>
      <c r="F75" s="67"/>
      <c r="G75" s="699"/>
      <c r="H75" s="519"/>
      <c r="I75" s="67"/>
      <c r="J75" s="237">
        <v>500.0</v>
      </c>
      <c r="K75" s="186">
        <f t="shared" si="12"/>
        <v>0</v>
      </c>
      <c r="L75" s="67"/>
      <c r="M75" s="237">
        <v>1500.0</v>
      </c>
      <c r="N75" s="703"/>
      <c r="O75" s="794">
        <v>-700.0</v>
      </c>
      <c r="P75" s="769"/>
      <c r="Q75" s="703">
        <f t="shared" si="10"/>
        <v>11960.82</v>
      </c>
      <c r="R75" s="703"/>
      <c r="T75" s="707"/>
      <c r="U75" s="709"/>
    </row>
    <row r="76" ht="14.25" customHeight="1">
      <c r="B76" s="519"/>
      <c r="C76" s="241" t="s">
        <v>37</v>
      </c>
      <c r="D76" s="241">
        <v>1.0</v>
      </c>
      <c r="E76" s="237">
        <v>2750.0</v>
      </c>
      <c r="F76" s="67"/>
      <c r="G76" s="699"/>
      <c r="H76" s="519"/>
      <c r="I76" s="67"/>
      <c r="J76" s="237">
        <v>1000.0</v>
      </c>
      <c r="K76" s="186">
        <f t="shared" si="12"/>
        <v>0</v>
      </c>
      <c r="L76" s="67"/>
      <c r="M76" s="67"/>
      <c r="N76" s="794">
        <v>1750.0</v>
      </c>
      <c r="O76" s="794">
        <v>-700.0</v>
      </c>
      <c r="P76" s="769"/>
      <c r="Q76" s="703">
        <f t="shared" si="10"/>
        <v>13010.82</v>
      </c>
      <c r="R76" s="703"/>
      <c r="T76" s="707"/>
      <c r="U76" s="709"/>
    </row>
    <row r="77" ht="14.25" customHeight="1">
      <c r="B77" s="519"/>
      <c r="C77" s="241" t="s">
        <v>209</v>
      </c>
      <c r="D77" s="241">
        <v>5.0</v>
      </c>
      <c r="E77" s="67">
        <f>5300+3000</f>
        <v>8300</v>
      </c>
      <c r="F77" s="67"/>
      <c r="G77" s="699">
        <f>1150+800</f>
        <v>1950</v>
      </c>
      <c r="H77" s="519"/>
      <c r="I77" s="67"/>
      <c r="J77" s="237">
        <v>1500.0</v>
      </c>
      <c r="K77" s="186">
        <f t="shared" si="12"/>
        <v>0</v>
      </c>
      <c r="L77" s="67"/>
      <c r="M77" s="67"/>
      <c r="N77" s="794">
        <f>3800+1150+3800</f>
        <v>8750</v>
      </c>
      <c r="O77" s="794">
        <v>-700.0</v>
      </c>
      <c r="P77" s="769"/>
      <c r="Q77" s="703">
        <f t="shared" si="10"/>
        <v>21060.82</v>
      </c>
      <c r="R77" s="703"/>
      <c r="T77" s="707"/>
      <c r="U77" s="709"/>
    </row>
    <row r="78" ht="14.25" customHeight="1">
      <c r="B78" s="519"/>
      <c r="C78" s="241" t="s">
        <v>74</v>
      </c>
      <c r="D78" s="241">
        <v>1.0</v>
      </c>
      <c r="E78" s="237">
        <v>1800.0</v>
      </c>
      <c r="F78" s="67"/>
      <c r="G78" s="801">
        <v>350.0</v>
      </c>
      <c r="H78" s="519"/>
      <c r="I78" s="67"/>
      <c r="J78" s="237">
        <v>500.0</v>
      </c>
      <c r="K78" s="186">
        <f t="shared" si="12"/>
        <v>0</v>
      </c>
      <c r="L78" s="67"/>
      <c r="M78" s="67"/>
      <c r="N78" s="794">
        <v>1650.0</v>
      </c>
      <c r="O78" s="794">
        <v>-700.0</v>
      </c>
      <c r="P78" s="769"/>
      <c r="Q78" s="703">
        <f t="shared" si="10"/>
        <v>22010.82</v>
      </c>
      <c r="R78" s="703"/>
      <c r="T78" s="707"/>
      <c r="U78" s="709"/>
    </row>
    <row r="79" ht="14.25" customHeight="1">
      <c r="B79" s="519"/>
      <c r="C79" s="241"/>
      <c r="D79" s="241"/>
      <c r="E79" s="237"/>
      <c r="F79" s="67"/>
      <c r="G79" s="801"/>
      <c r="H79" s="519"/>
      <c r="I79" s="67"/>
      <c r="J79" s="237"/>
      <c r="K79" s="186"/>
      <c r="L79" s="67"/>
      <c r="M79" s="67"/>
      <c r="N79" s="794"/>
      <c r="O79" s="794"/>
      <c r="P79" s="803">
        <v>-500.0</v>
      </c>
      <c r="Q79" s="703">
        <f t="shared" si="10"/>
        <v>21510.82</v>
      </c>
      <c r="R79" s="703" t="s">
        <v>93</v>
      </c>
      <c r="T79" s="707"/>
      <c r="U79" s="709"/>
    </row>
    <row r="80" ht="14.25" customHeight="1">
      <c r="B80" s="519"/>
      <c r="C80" s="66"/>
      <c r="D80" s="66"/>
      <c r="E80" s="67"/>
      <c r="F80" s="67"/>
      <c r="G80" s="699"/>
      <c r="H80" s="519"/>
      <c r="I80" s="67"/>
      <c r="J80" s="67"/>
      <c r="K80" s="186">
        <f t="shared" ref="K80:K81" si="13">E80-J80-L80-M80-N80-I80+G80</f>
        <v>0</v>
      </c>
      <c r="L80" s="67"/>
      <c r="M80" s="67"/>
      <c r="N80" s="703"/>
      <c r="O80" s="703"/>
      <c r="P80" s="803">
        <v>-2142.41</v>
      </c>
      <c r="Q80" s="703">
        <f t="shared" si="10"/>
        <v>19368.41</v>
      </c>
      <c r="R80" s="703" t="s">
        <v>55</v>
      </c>
      <c r="T80" s="707"/>
      <c r="U80" s="709"/>
    </row>
    <row r="81" ht="14.25" customHeight="1">
      <c r="B81" s="519"/>
      <c r="C81" s="66"/>
      <c r="D81" s="66"/>
      <c r="E81" s="67"/>
      <c r="F81" s="67"/>
      <c r="G81" s="699"/>
      <c r="H81" s="519"/>
      <c r="I81" s="67"/>
      <c r="J81" s="67"/>
      <c r="K81" s="186">
        <f t="shared" si="13"/>
        <v>0</v>
      </c>
      <c r="L81" s="67"/>
      <c r="M81" s="67"/>
      <c r="N81" s="703"/>
      <c r="O81" s="703"/>
      <c r="P81" s="803">
        <v>-19368.41</v>
      </c>
      <c r="Q81" s="703">
        <f t="shared" si="10"/>
        <v>0</v>
      </c>
      <c r="R81" s="703" t="s">
        <v>55</v>
      </c>
      <c r="U81" s="771"/>
    </row>
    <row r="82" ht="14.25" customHeight="1">
      <c r="B82" s="805" t="s">
        <v>105</v>
      </c>
      <c r="C82" s="772" t="s">
        <v>80</v>
      </c>
      <c r="D82" s="773">
        <f t="shared" ref="D82:P82" si="14">sum(D59:D81)</f>
        <v>21</v>
      </c>
      <c r="E82" s="774">
        <f t="shared" si="14"/>
        <v>42850</v>
      </c>
      <c r="F82" s="774">
        <f t="shared" si="14"/>
        <v>-1000</v>
      </c>
      <c r="G82" s="774">
        <f t="shared" si="14"/>
        <v>3200</v>
      </c>
      <c r="H82" s="774">
        <f t="shared" si="14"/>
        <v>0</v>
      </c>
      <c r="I82" s="774">
        <f t="shared" si="14"/>
        <v>0</v>
      </c>
      <c r="J82" s="774">
        <f t="shared" si="14"/>
        <v>14800</v>
      </c>
      <c r="K82" s="774">
        <f t="shared" si="14"/>
        <v>0</v>
      </c>
      <c r="L82" s="774">
        <f t="shared" si="14"/>
        <v>0</v>
      </c>
      <c r="M82" s="774">
        <f t="shared" si="14"/>
        <v>8200</v>
      </c>
      <c r="N82" s="774">
        <f t="shared" si="14"/>
        <v>23050</v>
      </c>
      <c r="O82" s="774">
        <f t="shared" si="14"/>
        <v>-10500</v>
      </c>
      <c r="P82" s="774">
        <f t="shared" si="14"/>
        <v>-22010.82</v>
      </c>
      <c r="Q82" s="774">
        <f>Q81</f>
        <v>0</v>
      </c>
      <c r="R82" s="774"/>
      <c r="U82" s="771"/>
    </row>
    <row r="83" ht="14.25" customHeight="1">
      <c r="B83" s="572" t="s">
        <v>121</v>
      </c>
      <c r="C83" s="573">
        <v>45660.0</v>
      </c>
      <c r="D83" s="241">
        <v>2.0</v>
      </c>
      <c r="E83" s="237">
        <v>4700.0</v>
      </c>
      <c r="F83" s="67"/>
      <c r="G83" s="699"/>
      <c r="H83" s="519"/>
      <c r="I83" s="67"/>
      <c r="J83" s="237">
        <v>1500.0</v>
      </c>
      <c r="K83" s="186">
        <f>E83-J83-L83-M83-N83-I83+G83</f>
        <v>0</v>
      </c>
      <c r="L83" s="67"/>
      <c r="M83" s="67"/>
      <c r="N83" s="794">
        <v>3200.0</v>
      </c>
      <c r="O83" s="794">
        <v>-700.0</v>
      </c>
      <c r="P83" s="703"/>
      <c r="Q83" s="703">
        <f t="shared" ref="Q83:Q102" si="15">Q82+N83+O83+P83</f>
        <v>2500</v>
      </c>
      <c r="R83" s="703"/>
      <c r="T83" s="707"/>
      <c r="U83" s="709"/>
    </row>
    <row r="84" ht="14.25" hidden="1" customHeight="1">
      <c r="B84" s="524"/>
      <c r="C84" s="576">
        <v>45722.0</v>
      </c>
      <c r="D84" s="87"/>
      <c r="E84" s="88"/>
      <c r="F84" s="88"/>
      <c r="G84" s="526"/>
      <c r="H84" s="524"/>
      <c r="I84" s="88"/>
      <c r="J84" s="88"/>
      <c r="K84" s="199">
        <f>E84-J84-L84-M84-N84-I84+G84-P84</f>
        <v>0</v>
      </c>
      <c r="L84" s="88"/>
      <c r="M84" s="88"/>
      <c r="N84" s="88"/>
      <c r="O84" s="88"/>
      <c r="P84" s="88"/>
      <c r="Q84" s="88">
        <f t="shared" si="15"/>
        <v>2500</v>
      </c>
      <c r="R84" s="88"/>
      <c r="T84" s="707"/>
      <c r="U84" s="709"/>
    </row>
    <row r="85" ht="14.25" customHeight="1">
      <c r="B85" s="519"/>
      <c r="C85" s="573">
        <v>45815.0</v>
      </c>
      <c r="D85" s="241">
        <v>1.0</v>
      </c>
      <c r="E85" s="237">
        <f>2450+500</f>
        <v>2950</v>
      </c>
      <c r="F85" s="237"/>
      <c r="G85" s="699"/>
      <c r="H85" s="519"/>
      <c r="I85" s="67"/>
      <c r="J85" s="237">
        <v>1000.0</v>
      </c>
      <c r="K85" s="186">
        <f t="shared" ref="K85:K89" si="16">E85-J85-L85-M85-N85-I85+G85</f>
        <v>0</v>
      </c>
      <c r="L85" s="67"/>
      <c r="M85" s="237"/>
      <c r="N85" s="794">
        <v>1950.0</v>
      </c>
      <c r="O85" s="794">
        <v>-700.0</v>
      </c>
      <c r="P85" s="794">
        <v>-500.0</v>
      </c>
      <c r="Q85" s="703">
        <f t="shared" si="15"/>
        <v>3250</v>
      </c>
      <c r="R85" s="794" t="s">
        <v>128</v>
      </c>
      <c r="T85" s="707"/>
      <c r="U85" s="709"/>
    </row>
    <row r="86" ht="14.25" customHeight="1">
      <c r="B86" s="519"/>
      <c r="C86" s="573">
        <v>45846.0</v>
      </c>
      <c r="D86" s="241">
        <v>1.0</v>
      </c>
      <c r="E86" s="237">
        <v>2200.0</v>
      </c>
      <c r="F86" s="67"/>
      <c r="G86" s="801">
        <v>450.0</v>
      </c>
      <c r="H86" s="519"/>
      <c r="I86" s="67"/>
      <c r="J86" s="237">
        <v>1250.0</v>
      </c>
      <c r="K86" s="186">
        <f t="shared" si="16"/>
        <v>0</v>
      </c>
      <c r="L86" s="67"/>
      <c r="M86" s="237">
        <v>1400.0</v>
      </c>
      <c r="N86" s="794"/>
      <c r="O86" s="794">
        <v>-700.0</v>
      </c>
      <c r="P86" s="703"/>
      <c r="Q86" s="703">
        <f t="shared" si="15"/>
        <v>2550</v>
      </c>
      <c r="R86" s="703"/>
      <c r="T86" s="707"/>
      <c r="U86" s="709"/>
    </row>
    <row r="87" ht="14.25" customHeight="1">
      <c r="B87" s="519"/>
      <c r="C87" s="573">
        <v>45878.0</v>
      </c>
      <c r="D87" s="241">
        <v>1.0</v>
      </c>
      <c r="E87" s="237">
        <v>2500.0</v>
      </c>
      <c r="F87" s="67"/>
      <c r="G87" s="801">
        <v>350.0</v>
      </c>
      <c r="H87" s="519"/>
      <c r="I87" s="67"/>
      <c r="J87" s="237">
        <v>1200.0</v>
      </c>
      <c r="K87" s="186">
        <f t="shared" si="16"/>
        <v>0</v>
      </c>
      <c r="L87" s="67"/>
      <c r="M87" s="67"/>
      <c r="N87" s="794">
        <v>1650.0</v>
      </c>
      <c r="O87" s="794">
        <v>-700.0</v>
      </c>
      <c r="P87" s="703"/>
      <c r="Q87" s="703">
        <f t="shared" si="15"/>
        <v>3500</v>
      </c>
      <c r="R87" s="703"/>
      <c r="T87" s="707"/>
      <c r="U87" s="709"/>
    </row>
    <row r="88" ht="14.25" hidden="1" customHeight="1">
      <c r="B88" s="524"/>
      <c r="C88" s="576">
        <v>45911.0</v>
      </c>
      <c r="D88" s="299"/>
      <c r="E88" s="294"/>
      <c r="F88" s="88"/>
      <c r="G88" s="526"/>
      <c r="H88" s="524"/>
      <c r="I88" s="88"/>
      <c r="J88" s="294"/>
      <c r="K88" s="199">
        <f t="shared" si="16"/>
        <v>0</v>
      </c>
      <c r="L88" s="88"/>
      <c r="M88" s="294"/>
      <c r="N88" s="88"/>
      <c r="O88" s="294"/>
      <c r="P88" s="88"/>
      <c r="Q88" s="88">
        <f t="shared" si="15"/>
        <v>3500</v>
      </c>
      <c r="R88" s="88"/>
      <c r="T88" s="707"/>
      <c r="U88" s="709"/>
    </row>
    <row r="89" ht="14.25" customHeight="1">
      <c r="B89" s="519"/>
      <c r="C89" s="573">
        <v>45974.0</v>
      </c>
      <c r="D89" s="241">
        <v>2.0</v>
      </c>
      <c r="E89" s="237">
        <v>2792.82</v>
      </c>
      <c r="F89" s="237"/>
      <c r="G89" s="699"/>
      <c r="H89" s="519"/>
      <c r="I89" s="67"/>
      <c r="J89" s="237"/>
      <c r="K89" s="186">
        <f t="shared" si="16"/>
        <v>0</v>
      </c>
      <c r="L89" s="237">
        <v>2792.82</v>
      </c>
      <c r="M89" s="237"/>
      <c r="N89" s="703"/>
      <c r="O89" s="794">
        <v>-700.0</v>
      </c>
      <c r="P89" s="703"/>
      <c r="Q89" s="703">
        <f t="shared" si="15"/>
        <v>2800</v>
      </c>
      <c r="R89" s="703"/>
      <c r="T89" s="707"/>
      <c r="U89" s="709"/>
    </row>
    <row r="90" ht="14.25" hidden="1" customHeight="1">
      <c r="B90" s="524"/>
      <c r="C90" s="299" t="s">
        <v>46</v>
      </c>
      <c r="D90" s="87"/>
      <c r="E90" s="88"/>
      <c r="F90" s="88"/>
      <c r="G90" s="526"/>
      <c r="H90" s="524"/>
      <c r="I90" s="88"/>
      <c r="J90" s="88"/>
      <c r="K90" s="199"/>
      <c r="L90" s="88"/>
      <c r="M90" s="88"/>
      <c r="N90" s="88"/>
      <c r="O90" s="294"/>
      <c r="P90" s="88"/>
      <c r="Q90" s="88">
        <f t="shared" si="15"/>
        <v>2800</v>
      </c>
      <c r="R90" s="88"/>
      <c r="T90" s="707"/>
      <c r="U90" s="709"/>
    </row>
    <row r="91" ht="14.25" customHeight="1">
      <c r="B91" s="519"/>
      <c r="C91" s="241" t="s">
        <v>29</v>
      </c>
      <c r="D91" s="241">
        <v>1.0</v>
      </c>
      <c r="E91" s="237">
        <v>2000.0</v>
      </c>
      <c r="F91" s="67"/>
      <c r="G91" s="699"/>
      <c r="H91" s="519"/>
      <c r="I91" s="67"/>
      <c r="J91" s="237">
        <v>500.0</v>
      </c>
      <c r="K91" s="186">
        <f t="shared" ref="K91:K102" si="17">E91-J91-L91-M91-N91-I91+G91</f>
        <v>0</v>
      </c>
      <c r="L91" s="67"/>
      <c r="M91" s="237">
        <v>1500.0</v>
      </c>
      <c r="N91" s="794"/>
      <c r="O91" s="794">
        <v>-700.0</v>
      </c>
      <c r="P91" s="703"/>
      <c r="Q91" s="703">
        <f t="shared" si="15"/>
        <v>2100</v>
      </c>
      <c r="R91" s="703"/>
      <c r="T91" s="707"/>
      <c r="U91" s="709"/>
    </row>
    <row r="92" ht="14.25" customHeight="1">
      <c r="B92" s="519"/>
      <c r="C92" s="241" t="s">
        <v>30</v>
      </c>
      <c r="D92" s="241">
        <v>1.0</v>
      </c>
      <c r="E92" s="237">
        <v>2500.0</v>
      </c>
      <c r="F92" s="67"/>
      <c r="G92" s="699"/>
      <c r="H92" s="519"/>
      <c r="I92" s="67"/>
      <c r="J92" s="237">
        <v>1000.0</v>
      </c>
      <c r="K92" s="186">
        <f t="shared" si="17"/>
        <v>0</v>
      </c>
      <c r="L92" s="67"/>
      <c r="M92" s="67"/>
      <c r="N92" s="794">
        <v>1500.0</v>
      </c>
      <c r="O92" s="794">
        <v>-700.0</v>
      </c>
      <c r="P92" s="703"/>
      <c r="Q92" s="703">
        <f t="shared" si="15"/>
        <v>2900</v>
      </c>
      <c r="R92" s="703"/>
      <c r="T92" s="707"/>
      <c r="U92" s="709"/>
    </row>
    <row r="93" ht="14.25" customHeight="1">
      <c r="B93" s="519"/>
      <c r="C93" s="241" t="s">
        <v>102</v>
      </c>
      <c r="D93" s="241">
        <v>2.0</v>
      </c>
      <c r="E93" s="237">
        <v>4700.0</v>
      </c>
      <c r="F93" s="237"/>
      <c r="G93" s="699"/>
      <c r="H93" s="519"/>
      <c r="I93" s="67"/>
      <c r="J93" s="237">
        <v>1500.0</v>
      </c>
      <c r="K93" s="186">
        <f t="shared" si="17"/>
        <v>0</v>
      </c>
      <c r="L93" s="67"/>
      <c r="M93" s="237"/>
      <c r="N93" s="794">
        <v>3200.0</v>
      </c>
      <c r="O93" s="794">
        <v>-700.0</v>
      </c>
      <c r="P93" s="703"/>
      <c r="Q93" s="703">
        <f t="shared" si="15"/>
        <v>5400</v>
      </c>
      <c r="R93" s="703"/>
      <c r="T93" s="707"/>
      <c r="U93" s="709"/>
    </row>
    <row r="94" ht="14.25" hidden="1" customHeight="1">
      <c r="B94" s="524"/>
      <c r="C94" s="299" t="s">
        <v>241</v>
      </c>
      <c r="D94" s="299"/>
      <c r="E94" s="294"/>
      <c r="F94" s="88"/>
      <c r="G94" s="526"/>
      <c r="H94" s="524"/>
      <c r="I94" s="88"/>
      <c r="J94" s="294"/>
      <c r="K94" s="199">
        <f t="shared" si="17"/>
        <v>0</v>
      </c>
      <c r="L94" s="88"/>
      <c r="M94" s="88"/>
      <c r="N94" s="294"/>
      <c r="O94" s="294">
        <v>-700.0</v>
      </c>
      <c r="P94" s="410"/>
      <c r="Q94" s="88">
        <f t="shared" si="15"/>
        <v>4700</v>
      </c>
      <c r="R94" s="294" t="s">
        <v>404</v>
      </c>
      <c r="T94" s="707"/>
      <c r="U94" s="709"/>
    </row>
    <row r="95" ht="14.25" customHeight="1">
      <c r="B95" s="519"/>
      <c r="C95" s="241" t="s">
        <v>37</v>
      </c>
      <c r="D95" s="241">
        <v>1.0</v>
      </c>
      <c r="E95" s="237">
        <v>2500.0</v>
      </c>
      <c r="F95" s="67"/>
      <c r="G95" s="801"/>
      <c r="H95" s="519"/>
      <c r="I95" s="67"/>
      <c r="J95" s="237">
        <v>1000.0</v>
      </c>
      <c r="K95" s="186">
        <f t="shared" si="17"/>
        <v>0</v>
      </c>
      <c r="L95" s="67"/>
      <c r="M95" s="237">
        <v>1500.0</v>
      </c>
      <c r="N95" s="794"/>
      <c r="O95" s="794">
        <v>-700.0</v>
      </c>
      <c r="P95" s="769"/>
      <c r="Q95" s="703">
        <f t="shared" si="15"/>
        <v>4000</v>
      </c>
      <c r="R95" s="703"/>
      <c r="T95" s="707"/>
      <c r="U95" s="709"/>
    </row>
    <row r="96" ht="14.25" hidden="1" customHeight="1">
      <c r="B96" s="524"/>
      <c r="C96" s="299" t="s">
        <v>108</v>
      </c>
      <c r="D96" s="87"/>
      <c r="E96" s="88"/>
      <c r="F96" s="88"/>
      <c r="G96" s="526"/>
      <c r="H96" s="524"/>
      <c r="I96" s="88"/>
      <c r="J96" s="88"/>
      <c r="K96" s="199">
        <f t="shared" si="17"/>
        <v>0</v>
      </c>
      <c r="L96" s="88"/>
      <c r="M96" s="88"/>
      <c r="N96" s="88"/>
      <c r="O96" s="88"/>
      <c r="P96" s="410"/>
      <c r="Q96" s="88">
        <f t="shared" si="15"/>
        <v>4000</v>
      </c>
      <c r="R96" s="88"/>
      <c r="T96" s="707"/>
      <c r="U96" s="709"/>
    </row>
    <row r="97" ht="14.25" customHeight="1">
      <c r="B97" s="519"/>
      <c r="C97" s="241" t="s">
        <v>45</v>
      </c>
      <c r="D97" s="241">
        <v>1.0</v>
      </c>
      <c r="E97" s="237">
        <f>400+2000</f>
        <v>2400</v>
      </c>
      <c r="F97" s="67"/>
      <c r="G97" s="801"/>
      <c r="H97" s="519"/>
      <c r="I97" s="67"/>
      <c r="J97" s="237">
        <v>1000.0</v>
      </c>
      <c r="K97" s="186">
        <f t="shared" si="17"/>
        <v>0</v>
      </c>
      <c r="L97" s="67"/>
      <c r="M97" s="67"/>
      <c r="N97" s="794">
        <f>400+1000</f>
        <v>1400</v>
      </c>
      <c r="O97" s="794">
        <v>-700.0</v>
      </c>
      <c r="P97" s="769"/>
      <c r="Q97" s="703">
        <f t="shared" si="15"/>
        <v>4700</v>
      </c>
      <c r="R97" s="703"/>
      <c r="T97" s="707"/>
      <c r="U97" s="709"/>
    </row>
    <row r="98" ht="14.25" hidden="1" customHeight="1">
      <c r="B98" s="524"/>
      <c r="C98" s="299" t="s">
        <v>199</v>
      </c>
      <c r="D98" s="87"/>
      <c r="E98" s="88"/>
      <c r="F98" s="88"/>
      <c r="G98" s="526"/>
      <c r="H98" s="524"/>
      <c r="I98" s="88"/>
      <c r="J98" s="88"/>
      <c r="K98" s="199">
        <f t="shared" si="17"/>
        <v>0</v>
      </c>
      <c r="L98" s="88"/>
      <c r="M98" s="88"/>
      <c r="N98" s="88"/>
      <c r="O98" s="294"/>
      <c r="P98" s="410"/>
      <c r="Q98" s="88">
        <f t="shared" si="15"/>
        <v>4700</v>
      </c>
      <c r="R98" s="88"/>
      <c r="T98" s="707"/>
      <c r="U98" s="709"/>
    </row>
    <row r="99" ht="14.25" customHeight="1">
      <c r="B99" s="519"/>
      <c r="C99" s="241" t="s">
        <v>49</v>
      </c>
      <c r="D99" s="241">
        <v>1.0</v>
      </c>
      <c r="E99" s="237">
        <v>2500.0</v>
      </c>
      <c r="F99" s="67"/>
      <c r="G99" s="699"/>
      <c r="H99" s="519"/>
      <c r="I99" s="67"/>
      <c r="J99" s="237">
        <v>1000.0</v>
      </c>
      <c r="K99" s="186">
        <f t="shared" si="17"/>
        <v>0</v>
      </c>
      <c r="L99" s="67"/>
      <c r="M99" s="237">
        <v>1500.0</v>
      </c>
      <c r="N99" s="703"/>
      <c r="O99" s="794">
        <v>-700.0</v>
      </c>
      <c r="P99" s="769"/>
      <c r="Q99" s="703">
        <f t="shared" si="15"/>
        <v>4000</v>
      </c>
      <c r="R99" s="703"/>
      <c r="T99" s="707"/>
      <c r="U99" s="709"/>
    </row>
    <row r="100" ht="14.25" hidden="1" customHeight="1">
      <c r="B100" s="524"/>
      <c r="C100" s="299" t="s">
        <v>75</v>
      </c>
      <c r="D100" s="299"/>
      <c r="E100" s="294"/>
      <c r="F100" s="88"/>
      <c r="G100" s="526"/>
      <c r="H100" s="524"/>
      <c r="I100" s="88"/>
      <c r="J100" s="294"/>
      <c r="K100" s="199">
        <f t="shared" si="17"/>
        <v>0</v>
      </c>
      <c r="L100" s="88"/>
      <c r="M100" s="88"/>
      <c r="N100" s="294"/>
      <c r="O100" s="294"/>
      <c r="P100" s="410"/>
      <c r="Q100" s="88">
        <f t="shared" si="15"/>
        <v>4000</v>
      </c>
      <c r="R100" s="88"/>
      <c r="T100" s="707"/>
      <c r="U100" s="709"/>
    </row>
    <row r="101" ht="14.25" customHeight="1">
      <c r="B101" s="519"/>
      <c r="C101" s="66"/>
      <c r="D101" s="66"/>
      <c r="E101" s="67"/>
      <c r="F101" s="67"/>
      <c r="G101" s="699"/>
      <c r="H101" s="519"/>
      <c r="I101" s="67"/>
      <c r="J101" s="67"/>
      <c r="K101" s="186">
        <f t="shared" si="17"/>
        <v>0</v>
      </c>
      <c r="L101" s="67"/>
      <c r="M101" s="67"/>
      <c r="N101" s="703"/>
      <c r="O101" s="703"/>
      <c r="P101" s="803">
        <v>-500.0</v>
      </c>
      <c r="Q101" s="703">
        <f t="shared" si="15"/>
        <v>3500</v>
      </c>
      <c r="R101" s="703" t="s">
        <v>93</v>
      </c>
      <c r="T101" s="707"/>
      <c r="U101" s="709"/>
    </row>
    <row r="102" ht="14.25" customHeight="1">
      <c r="B102" s="519"/>
      <c r="C102" s="66"/>
      <c r="D102" s="66"/>
      <c r="E102" s="67"/>
      <c r="F102" s="67"/>
      <c r="G102" s="699"/>
      <c r="H102" s="519"/>
      <c r="I102" s="67"/>
      <c r="J102" s="67"/>
      <c r="K102" s="186">
        <f t="shared" si="17"/>
        <v>0</v>
      </c>
      <c r="L102" s="67"/>
      <c r="M102" s="67"/>
      <c r="N102" s="703"/>
      <c r="O102" s="703"/>
      <c r="P102" s="803">
        <v>-2309.28</v>
      </c>
      <c r="Q102" s="703">
        <f t="shared" si="15"/>
        <v>1190.72</v>
      </c>
      <c r="R102" s="703" t="s">
        <v>55</v>
      </c>
      <c r="U102" s="771"/>
    </row>
    <row r="103" ht="14.25" customHeight="1">
      <c r="B103" s="805" t="s">
        <v>121</v>
      </c>
      <c r="C103" s="772" t="s">
        <v>80</v>
      </c>
      <c r="D103" s="773">
        <f t="shared" ref="D103:P103" si="18">sum(D83:D102)</f>
        <v>14</v>
      </c>
      <c r="E103" s="774">
        <f t="shared" si="18"/>
        <v>31742.82</v>
      </c>
      <c r="F103" s="774">
        <f t="shared" si="18"/>
        <v>0</v>
      </c>
      <c r="G103" s="774">
        <f t="shared" si="18"/>
        <v>800</v>
      </c>
      <c r="H103" s="774">
        <f t="shared" si="18"/>
        <v>0</v>
      </c>
      <c r="I103" s="774">
        <f t="shared" si="18"/>
        <v>0</v>
      </c>
      <c r="J103" s="774">
        <f t="shared" si="18"/>
        <v>10950</v>
      </c>
      <c r="K103" s="774">
        <f t="shared" si="18"/>
        <v>0</v>
      </c>
      <c r="L103" s="774">
        <f t="shared" si="18"/>
        <v>2792.82</v>
      </c>
      <c r="M103" s="774">
        <f t="shared" si="18"/>
        <v>5900</v>
      </c>
      <c r="N103" s="774">
        <f t="shared" si="18"/>
        <v>12900</v>
      </c>
      <c r="O103" s="774">
        <f t="shared" si="18"/>
        <v>-8400</v>
      </c>
      <c r="P103" s="774">
        <f t="shared" si="18"/>
        <v>-3309.28</v>
      </c>
      <c r="Q103" s="774">
        <f>Q102</f>
        <v>1190.72</v>
      </c>
      <c r="R103" s="774"/>
      <c r="U103" s="771"/>
    </row>
    <row r="104" ht="14.25" customHeight="1">
      <c r="B104" s="572" t="s">
        <v>132</v>
      </c>
      <c r="C104" s="573">
        <v>45659.0</v>
      </c>
      <c r="D104" s="241">
        <v>1.0</v>
      </c>
      <c r="E104" s="237">
        <v>2100.0</v>
      </c>
      <c r="F104" s="67"/>
      <c r="G104" s="699"/>
      <c r="H104" s="519"/>
      <c r="I104" s="67"/>
      <c r="J104" s="237">
        <v>500.0</v>
      </c>
      <c r="K104" s="186">
        <f>E104-J104-L104-M104-N104-I104+G104</f>
        <v>0</v>
      </c>
      <c r="L104" s="67"/>
      <c r="M104" s="237">
        <v>1600.0</v>
      </c>
      <c r="N104" s="794"/>
      <c r="O104" s="794">
        <v>-700.0</v>
      </c>
      <c r="P104" s="703"/>
      <c r="Q104" s="703">
        <f t="shared" ref="Q104:Q126" si="19">Q103+N104+O104+P104</f>
        <v>490.72</v>
      </c>
      <c r="R104" s="703"/>
      <c r="T104" s="707"/>
      <c r="U104" s="709"/>
    </row>
    <row r="105" ht="14.25" hidden="1" customHeight="1">
      <c r="B105" s="524"/>
      <c r="C105" s="576">
        <v>45694.0</v>
      </c>
      <c r="D105" s="87"/>
      <c r="E105" s="88"/>
      <c r="F105" s="88"/>
      <c r="G105" s="526"/>
      <c r="H105" s="524"/>
      <c r="I105" s="88"/>
      <c r="J105" s="88"/>
      <c r="K105" s="199">
        <f>E105-J105-L105-M105-N105-I105+G105-P105</f>
        <v>0</v>
      </c>
      <c r="L105" s="88"/>
      <c r="M105" s="88"/>
      <c r="N105" s="88"/>
      <c r="O105" s="88"/>
      <c r="P105" s="88"/>
      <c r="Q105" s="88">
        <f t="shared" si="19"/>
        <v>490.72</v>
      </c>
      <c r="R105" s="88"/>
      <c r="T105" s="707"/>
      <c r="U105" s="709"/>
    </row>
    <row r="106" ht="14.25" customHeight="1">
      <c r="B106" s="519"/>
      <c r="C106" s="573">
        <v>45815.0</v>
      </c>
      <c r="D106" s="241">
        <v>1.0</v>
      </c>
      <c r="E106" s="237">
        <v>2300.0</v>
      </c>
      <c r="F106" s="237"/>
      <c r="G106" s="699"/>
      <c r="H106" s="519"/>
      <c r="I106" s="67"/>
      <c r="J106" s="237">
        <v>500.0</v>
      </c>
      <c r="K106" s="186">
        <f t="shared" ref="K106:K109" si="20">E106-J106-L106-M106-N106-I106+G106</f>
        <v>0</v>
      </c>
      <c r="L106" s="67"/>
      <c r="M106" s="237"/>
      <c r="N106" s="794">
        <v>1800.0</v>
      </c>
      <c r="O106" s="794">
        <v>-700.0</v>
      </c>
      <c r="P106" s="703"/>
      <c r="Q106" s="703">
        <f t="shared" si="19"/>
        <v>1590.72</v>
      </c>
      <c r="R106" s="794"/>
      <c r="T106" s="707"/>
      <c r="U106" s="709"/>
    </row>
    <row r="107" ht="14.25" hidden="1" customHeight="1">
      <c r="B107" s="524"/>
      <c r="C107" s="576">
        <v>45848.0</v>
      </c>
      <c r="D107" s="299"/>
      <c r="E107" s="294"/>
      <c r="F107" s="88"/>
      <c r="G107" s="638"/>
      <c r="H107" s="524"/>
      <c r="I107" s="88"/>
      <c r="J107" s="294"/>
      <c r="K107" s="199">
        <f t="shared" si="20"/>
        <v>0</v>
      </c>
      <c r="L107" s="88"/>
      <c r="M107" s="294"/>
      <c r="N107" s="294"/>
      <c r="O107" s="294"/>
      <c r="P107" s="88"/>
      <c r="Q107" s="88">
        <f t="shared" si="19"/>
        <v>1590.72</v>
      </c>
      <c r="R107" s="88"/>
      <c r="T107" s="707"/>
      <c r="U107" s="709"/>
    </row>
    <row r="108" ht="14.25" customHeight="1">
      <c r="B108" s="519"/>
      <c r="C108" s="573">
        <v>45942.0</v>
      </c>
      <c r="D108" s="241">
        <v>2.0</v>
      </c>
      <c r="E108" s="237">
        <v>3500.0</v>
      </c>
      <c r="F108" s="67"/>
      <c r="G108" s="801"/>
      <c r="H108" s="519"/>
      <c r="I108" s="67"/>
      <c r="J108" s="237">
        <v>1000.0</v>
      </c>
      <c r="K108" s="186">
        <f t="shared" si="20"/>
        <v>0</v>
      </c>
      <c r="L108" s="67"/>
      <c r="M108" s="67"/>
      <c r="N108" s="794">
        <v>2500.0</v>
      </c>
      <c r="O108" s="794">
        <v>-700.0</v>
      </c>
      <c r="P108" s="703"/>
      <c r="Q108" s="703">
        <f t="shared" si="19"/>
        <v>3390.72</v>
      </c>
      <c r="R108" s="703"/>
      <c r="T108" s="707"/>
      <c r="U108" s="709"/>
    </row>
    <row r="109" ht="14.25" customHeight="1">
      <c r="B109" s="519"/>
      <c r="C109" s="573">
        <v>46004.0</v>
      </c>
      <c r="D109" s="241">
        <v>1.0</v>
      </c>
      <c r="E109" s="237">
        <v>2500.0</v>
      </c>
      <c r="F109" s="237"/>
      <c r="G109" s="801">
        <v>350.0</v>
      </c>
      <c r="H109" s="519"/>
      <c r="I109" s="67"/>
      <c r="J109" s="237">
        <v>1200.0</v>
      </c>
      <c r="K109" s="186">
        <f t="shared" si="20"/>
        <v>0</v>
      </c>
      <c r="L109" s="237"/>
      <c r="M109" s="237"/>
      <c r="N109" s="794">
        <v>1650.0</v>
      </c>
      <c r="O109" s="794">
        <v>-700.0</v>
      </c>
      <c r="P109" s="703"/>
      <c r="Q109" s="703">
        <f t="shared" si="19"/>
        <v>4340.72</v>
      </c>
      <c r="R109" s="703"/>
      <c r="T109" s="707"/>
      <c r="U109" s="709"/>
    </row>
    <row r="110" ht="14.25" hidden="1" customHeight="1">
      <c r="B110" s="524"/>
      <c r="C110" s="299" t="s">
        <v>46</v>
      </c>
      <c r="D110" s="87"/>
      <c r="E110" s="88"/>
      <c r="F110" s="88"/>
      <c r="G110" s="526"/>
      <c r="H110" s="524"/>
      <c r="I110" s="88"/>
      <c r="J110" s="88"/>
      <c r="K110" s="199"/>
      <c r="L110" s="88"/>
      <c r="M110" s="88"/>
      <c r="N110" s="88"/>
      <c r="O110" s="294"/>
      <c r="P110" s="88"/>
      <c r="Q110" s="88">
        <f t="shared" si="19"/>
        <v>4340.72</v>
      </c>
      <c r="R110" s="88"/>
      <c r="T110" s="707"/>
      <c r="U110" s="709"/>
    </row>
    <row r="111" ht="14.25" customHeight="1">
      <c r="B111" s="519"/>
      <c r="C111" s="241" t="s">
        <v>101</v>
      </c>
      <c r="D111" s="241">
        <v>2.0</v>
      </c>
      <c r="E111" s="237">
        <v>3500.0</v>
      </c>
      <c r="F111" s="67"/>
      <c r="G111" s="699"/>
      <c r="H111" s="519"/>
      <c r="I111" s="67"/>
      <c r="J111" s="237">
        <v>1500.0</v>
      </c>
      <c r="K111" s="186">
        <f t="shared" ref="K111:K122" si="21">E111-J111-L111-M111-N111-I111+G111</f>
        <v>0</v>
      </c>
      <c r="L111" s="67"/>
      <c r="M111" s="67"/>
      <c r="N111" s="794">
        <v>2000.0</v>
      </c>
      <c r="O111" s="794">
        <v>-700.0</v>
      </c>
      <c r="P111" s="703"/>
      <c r="Q111" s="703">
        <f t="shared" si="19"/>
        <v>5640.72</v>
      </c>
      <c r="R111" s="703"/>
      <c r="T111" s="707"/>
      <c r="U111" s="709"/>
    </row>
    <row r="112" ht="14.25" customHeight="1">
      <c r="B112" s="519"/>
      <c r="C112" s="241" t="s">
        <v>102</v>
      </c>
      <c r="D112" s="241">
        <v>2.0</v>
      </c>
      <c r="E112" s="237">
        <v>4800.0</v>
      </c>
      <c r="F112" s="67"/>
      <c r="G112" s="699"/>
      <c r="H112" s="519"/>
      <c r="I112" s="67"/>
      <c r="J112" s="237">
        <v>1500.0</v>
      </c>
      <c r="K112" s="186">
        <f t="shared" si="21"/>
        <v>0</v>
      </c>
      <c r="L112" s="67"/>
      <c r="M112" s="67"/>
      <c r="N112" s="794">
        <v>3300.0</v>
      </c>
      <c r="O112" s="794">
        <v>-700.0</v>
      </c>
      <c r="P112" s="703"/>
      <c r="Q112" s="703">
        <f t="shared" si="19"/>
        <v>8240.72</v>
      </c>
      <c r="R112" s="703"/>
      <c r="T112" s="707"/>
      <c r="U112" s="709"/>
    </row>
    <row r="113" ht="14.25" customHeight="1">
      <c r="B113" s="519"/>
      <c r="C113" s="241" t="s">
        <v>33</v>
      </c>
      <c r="D113" s="241">
        <v>1.0</v>
      </c>
      <c r="E113" s="237">
        <v>2700.0</v>
      </c>
      <c r="F113" s="67"/>
      <c r="G113" s="699"/>
      <c r="H113" s="519"/>
      <c r="I113" s="67"/>
      <c r="J113" s="237">
        <v>700.0</v>
      </c>
      <c r="K113" s="186">
        <f t="shared" si="21"/>
        <v>0</v>
      </c>
      <c r="L113" s="67"/>
      <c r="M113" s="67"/>
      <c r="N113" s="794">
        <v>2000.0</v>
      </c>
      <c r="O113" s="794">
        <v>-700.0</v>
      </c>
      <c r="P113" s="703"/>
      <c r="Q113" s="703">
        <f t="shared" si="19"/>
        <v>9540.72</v>
      </c>
      <c r="R113" s="703"/>
      <c r="T113" s="707"/>
      <c r="U113" s="709"/>
    </row>
    <row r="114" ht="14.25" customHeight="1">
      <c r="B114" s="519"/>
      <c r="C114" s="241" t="s">
        <v>34</v>
      </c>
      <c r="D114" s="241">
        <v>1.0</v>
      </c>
      <c r="E114" s="237">
        <v>3000.0</v>
      </c>
      <c r="F114" s="237"/>
      <c r="G114" s="699"/>
      <c r="H114" s="519"/>
      <c r="I114" s="67"/>
      <c r="J114" s="237">
        <v>500.0</v>
      </c>
      <c r="K114" s="186">
        <f t="shared" si="21"/>
        <v>0</v>
      </c>
      <c r="L114" s="67"/>
      <c r="M114" s="237">
        <v>2500.0</v>
      </c>
      <c r="N114" s="794"/>
      <c r="O114" s="794">
        <v>-700.0</v>
      </c>
      <c r="P114" s="703"/>
      <c r="Q114" s="703">
        <f t="shared" si="19"/>
        <v>8840.72</v>
      </c>
      <c r="R114" s="703"/>
      <c r="T114" s="707"/>
      <c r="U114" s="709"/>
    </row>
    <row r="115" ht="14.25" hidden="1" customHeight="1">
      <c r="B115" s="524"/>
      <c r="C115" s="299" t="s">
        <v>35</v>
      </c>
      <c r="D115" s="299"/>
      <c r="E115" s="294"/>
      <c r="F115" s="88"/>
      <c r="G115" s="526"/>
      <c r="H115" s="524"/>
      <c r="I115" s="88"/>
      <c r="J115" s="294"/>
      <c r="K115" s="199">
        <f t="shared" si="21"/>
        <v>0</v>
      </c>
      <c r="L115" s="88"/>
      <c r="M115" s="88"/>
      <c r="N115" s="294"/>
      <c r="O115" s="294"/>
      <c r="P115" s="410"/>
      <c r="Q115" s="88">
        <f t="shared" si="19"/>
        <v>8840.72</v>
      </c>
      <c r="R115" s="294"/>
      <c r="T115" s="707"/>
      <c r="U115" s="709"/>
    </row>
    <row r="116" ht="14.25" customHeight="1">
      <c r="B116" s="519"/>
      <c r="C116" s="241" t="s">
        <v>37</v>
      </c>
      <c r="D116" s="241">
        <v>1.0</v>
      </c>
      <c r="E116" s="237">
        <v>1800.0</v>
      </c>
      <c r="F116" s="67"/>
      <c r="G116" s="801"/>
      <c r="H116" s="519"/>
      <c r="I116" s="67"/>
      <c r="J116" s="237">
        <v>701.0</v>
      </c>
      <c r="K116" s="186">
        <f t="shared" si="21"/>
        <v>-1</v>
      </c>
      <c r="L116" s="67"/>
      <c r="M116" s="237"/>
      <c r="N116" s="794">
        <v>1100.0</v>
      </c>
      <c r="O116" s="794">
        <v>-700.0</v>
      </c>
      <c r="P116" s="769"/>
      <c r="Q116" s="703">
        <f t="shared" si="19"/>
        <v>9240.72</v>
      </c>
      <c r="R116" s="703"/>
      <c r="T116" s="707"/>
      <c r="U116" s="709"/>
    </row>
    <row r="117" ht="14.25" customHeight="1">
      <c r="B117" s="519"/>
      <c r="C117" s="241" t="s">
        <v>41</v>
      </c>
      <c r="D117" s="241">
        <v>1.0</v>
      </c>
      <c r="E117" s="237">
        <v>2250.0</v>
      </c>
      <c r="F117" s="67"/>
      <c r="G117" s="801"/>
      <c r="H117" s="519"/>
      <c r="I117" s="67"/>
      <c r="J117" s="237">
        <v>1000.0</v>
      </c>
      <c r="K117" s="186">
        <f t="shared" si="21"/>
        <v>0</v>
      </c>
      <c r="L117" s="67"/>
      <c r="M117" s="67"/>
      <c r="N117" s="794">
        <v>1250.0</v>
      </c>
      <c r="O117" s="794">
        <v>-700.0</v>
      </c>
      <c r="P117" s="803">
        <v>200.0</v>
      </c>
      <c r="Q117" s="703">
        <f t="shared" si="19"/>
        <v>9990.72</v>
      </c>
      <c r="R117" s="794" t="s">
        <v>413</v>
      </c>
      <c r="T117" s="707"/>
      <c r="U117" s="709"/>
    </row>
    <row r="118" ht="14.25" hidden="1" customHeight="1">
      <c r="B118" s="524"/>
      <c r="C118" s="299" t="s">
        <v>44</v>
      </c>
      <c r="D118" s="87"/>
      <c r="E118" s="88"/>
      <c r="F118" s="88"/>
      <c r="G118" s="526"/>
      <c r="H118" s="524"/>
      <c r="I118" s="88"/>
      <c r="J118" s="88"/>
      <c r="K118" s="199">
        <f t="shared" si="21"/>
        <v>0</v>
      </c>
      <c r="L118" s="88"/>
      <c r="M118" s="88"/>
      <c r="N118" s="88"/>
      <c r="O118" s="294"/>
      <c r="P118" s="410"/>
      <c r="Q118" s="88">
        <f t="shared" si="19"/>
        <v>9990.72</v>
      </c>
      <c r="R118" s="88"/>
      <c r="T118" s="707"/>
      <c r="U118" s="709"/>
    </row>
    <row r="119" ht="14.25" customHeight="1">
      <c r="B119" s="519"/>
      <c r="C119" s="241" t="s">
        <v>45</v>
      </c>
      <c r="D119" s="241">
        <v>1.0</v>
      </c>
      <c r="E119" s="237">
        <v>2800.0</v>
      </c>
      <c r="F119" s="67"/>
      <c r="G119" s="699"/>
      <c r="H119" s="519"/>
      <c r="I119" s="67"/>
      <c r="J119" s="237">
        <v>1000.0</v>
      </c>
      <c r="K119" s="186">
        <f t="shared" si="21"/>
        <v>0</v>
      </c>
      <c r="L119" s="67"/>
      <c r="M119" s="237">
        <v>1800.0</v>
      </c>
      <c r="N119" s="703"/>
      <c r="O119" s="794">
        <v>-700.0</v>
      </c>
      <c r="P119" s="769"/>
      <c r="Q119" s="703">
        <f t="shared" si="19"/>
        <v>9290.72</v>
      </c>
      <c r="R119" s="703"/>
      <c r="T119" s="707"/>
      <c r="U119" s="709"/>
    </row>
    <row r="120" ht="14.25" customHeight="1">
      <c r="B120" s="519"/>
      <c r="C120" s="241" t="s">
        <v>47</v>
      </c>
      <c r="D120" s="241">
        <v>1.0</v>
      </c>
      <c r="E120" s="237">
        <v>3000.0</v>
      </c>
      <c r="F120" s="67"/>
      <c r="G120" s="699"/>
      <c r="H120" s="519"/>
      <c r="I120" s="67"/>
      <c r="J120" s="237">
        <v>1000.0</v>
      </c>
      <c r="K120" s="186">
        <f t="shared" si="21"/>
        <v>0</v>
      </c>
      <c r="L120" s="67"/>
      <c r="M120" s="237"/>
      <c r="N120" s="794">
        <v>2000.0</v>
      </c>
      <c r="O120" s="794">
        <v>-700.0</v>
      </c>
      <c r="P120" s="769"/>
      <c r="Q120" s="703">
        <f t="shared" si="19"/>
        <v>10590.72</v>
      </c>
      <c r="R120" s="703"/>
      <c r="T120" s="707"/>
      <c r="U120" s="709"/>
    </row>
    <row r="121" ht="14.25" customHeight="1">
      <c r="B121" s="519"/>
      <c r="C121" s="241" t="s">
        <v>72</v>
      </c>
      <c r="D121" s="241">
        <v>1.0</v>
      </c>
      <c r="E121" s="237">
        <v>1800.0</v>
      </c>
      <c r="F121" s="67"/>
      <c r="G121" s="699"/>
      <c r="H121" s="519"/>
      <c r="I121" s="67"/>
      <c r="J121" s="237"/>
      <c r="K121" s="186">
        <f t="shared" si="21"/>
        <v>0</v>
      </c>
      <c r="L121" s="67"/>
      <c r="M121" s="237">
        <v>1800.0</v>
      </c>
      <c r="N121" s="816"/>
      <c r="O121" s="794">
        <v>-700.0</v>
      </c>
      <c r="P121" s="769"/>
      <c r="Q121" s="703">
        <f t="shared" si="19"/>
        <v>9890.72</v>
      </c>
      <c r="R121" s="703"/>
      <c r="T121" s="707"/>
      <c r="U121" s="709"/>
    </row>
    <row r="122" ht="14.25" customHeight="1">
      <c r="B122" s="519"/>
      <c r="C122" s="241" t="s">
        <v>73</v>
      </c>
      <c r="D122" s="241">
        <v>1.0</v>
      </c>
      <c r="E122" s="237">
        <v>2000.0</v>
      </c>
      <c r="F122" s="67"/>
      <c r="G122" s="699"/>
      <c r="H122" s="519"/>
      <c r="I122" s="67"/>
      <c r="J122" s="237">
        <v>1000.0</v>
      </c>
      <c r="K122" s="186">
        <f t="shared" si="21"/>
        <v>0</v>
      </c>
      <c r="L122" s="67"/>
      <c r="M122" s="67"/>
      <c r="N122" s="794">
        <v>1000.0</v>
      </c>
      <c r="O122" s="794">
        <v>-700.0</v>
      </c>
      <c r="P122" s="769"/>
      <c r="Q122" s="703">
        <f t="shared" si="19"/>
        <v>10190.72</v>
      </c>
      <c r="R122" s="703"/>
      <c r="T122" s="707"/>
      <c r="U122" s="709"/>
    </row>
    <row r="123" ht="14.25" hidden="1" customHeight="1">
      <c r="B123" s="524"/>
      <c r="C123" s="299" t="s">
        <v>49</v>
      </c>
      <c r="D123" s="299"/>
      <c r="E123" s="294"/>
      <c r="F123" s="88"/>
      <c r="G123" s="638"/>
      <c r="H123" s="524"/>
      <c r="I123" s="88"/>
      <c r="J123" s="294"/>
      <c r="K123" s="199"/>
      <c r="L123" s="88"/>
      <c r="M123" s="88"/>
      <c r="N123" s="294"/>
      <c r="O123" s="294"/>
      <c r="P123" s="410"/>
      <c r="Q123" s="88">
        <f t="shared" si="19"/>
        <v>10190.72</v>
      </c>
      <c r="R123" s="88"/>
      <c r="T123" s="707"/>
      <c r="U123" s="709"/>
    </row>
    <row r="124" ht="14.25" customHeight="1">
      <c r="B124" s="519"/>
      <c r="C124" s="241" t="s">
        <v>75</v>
      </c>
      <c r="D124" s="241">
        <v>1.0</v>
      </c>
      <c r="E124" s="237">
        <v>2000.0</v>
      </c>
      <c r="F124" s="67"/>
      <c r="G124" s="801"/>
      <c r="H124" s="519"/>
      <c r="I124" s="67"/>
      <c r="J124" s="237">
        <v>1000.0</v>
      </c>
      <c r="K124" s="186"/>
      <c r="L124" s="67"/>
      <c r="M124" s="67"/>
      <c r="N124" s="794">
        <v>1000.0</v>
      </c>
      <c r="O124" s="794">
        <v>-700.0</v>
      </c>
      <c r="P124" s="769"/>
      <c r="Q124" s="703">
        <f t="shared" si="19"/>
        <v>10490.72</v>
      </c>
      <c r="R124" s="703"/>
      <c r="T124" s="707"/>
      <c r="U124" s="709"/>
    </row>
    <row r="125" ht="14.25" customHeight="1">
      <c r="B125" s="519"/>
      <c r="C125" s="241"/>
      <c r="D125" s="241"/>
      <c r="E125" s="237"/>
      <c r="F125" s="67"/>
      <c r="G125" s="801"/>
      <c r="H125" s="519"/>
      <c r="I125" s="67"/>
      <c r="J125" s="237"/>
      <c r="K125" s="186">
        <f t="shared" ref="K125:K126" si="22">E125-J125-L125-M125-N125-I125+G125</f>
        <v>0</v>
      </c>
      <c r="L125" s="67"/>
      <c r="M125" s="67"/>
      <c r="N125" s="794"/>
      <c r="O125" s="794"/>
      <c r="P125" s="803">
        <v>-1520.2</v>
      </c>
      <c r="Q125" s="703">
        <f t="shared" si="19"/>
        <v>8970.52</v>
      </c>
      <c r="R125" s="794" t="s">
        <v>304</v>
      </c>
      <c r="T125" s="707"/>
      <c r="U125" s="709"/>
    </row>
    <row r="126" ht="14.25" customHeight="1">
      <c r="B126" s="519"/>
      <c r="C126" s="66"/>
      <c r="D126" s="66"/>
      <c r="E126" s="67"/>
      <c r="F126" s="67"/>
      <c r="G126" s="699"/>
      <c r="H126" s="519"/>
      <c r="I126" s="67"/>
      <c r="J126" s="67"/>
      <c r="K126" s="186">
        <f t="shared" si="22"/>
        <v>0</v>
      </c>
      <c r="L126" s="67"/>
      <c r="M126" s="67"/>
      <c r="N126" s="703"/>
      <c r="O126" s="703"/>
      <c r="P126" s="803">
        <v>-2000.388</v>
      </c>
      <c r="Q126" s="703">
        <f t="shared" si="19"/>
        <v>6970.132</v>
      </c>
      <c r="R126" s="703" t="s">
        <v>55</v>
      </c>
      <c r="U126" s="771"/>
    </row>
    <row r="127" ht="14.25" customHeight="1">
      <c r="B127" s="805" t="s">
        <v>132</v>
      </c>
      <c r="C127" s="772" t="s">
        <v>80</v>
      </c>
      <c r="D127" s="773">
        <f t="shared" ref="D127:P127" si="23">sum(D104:D126)</f>
        <v>18</v>
      </c>
      <c r="E127" s="774">
        <f t="shared" si="23"/>
        <v>40050</v>
      </c>
      <c r="F127" s="774">
        <f t="shared" si="23"/>
        <v>0</v>
      </c>
      <c r="G127" s="774">
        <f t="shared" si="23"/>
        <v>350</v>
      </c>
      <c r="H127" s="774">
        <f t="shared" si="23"/>
        <v>0</v>
      </c>
      <c r="I127" s="774">
        <f t="shared" si="23"/>
        <v>0</v>
      </c>
      <c r="J127" s="774">
        <f t="shared" si="23"/>
        <v>13101</v>
      </c>
      <c r="K127" s="774">
        <f t="shared" si="23"/>
        <v>-1</v>
      </c>
      <c r="L127" s="774">
        <f t="shared" si="23"/>
        <v>0</v>
      </c>
      <c r="M127" s="774">
        <f t="shared" si="23"/>
        <v>7700</v>
      </c>
      <c r="N127" s="774">
        <f t="shared" si="23"/>
        <v>19600</v>
      </c>
      <c r="O127" s="774">
        <f t="shared" si="23"/>
        <v>-10500</v>
      </c>
      <c r="P127" s="774">
        <f t="shared" si="23"/>
        <v>-3320.588</v>
      </c>
      <c r="Q127" s="774">
        <f>Q126</f>
        <v>6970.132</v>
      </c>
      <c r="R127" s="774"/>
      <c r="U127" s="771"/>
    </row>
    <row r="128" ht="14.25" customHeight="1">
      <c r="B128" s="645" t="s">
        <v>141</v>
      </c>
      <c r="C128" s="576">
        <v>45659.0</v>
      </c>
      <c r="D128" s="87"/>
      <c r="E128" s="88"/>
      <c r="F128" s="88"/>
      <c r="G128" s="526"/>
      <c r="H128" s="524"/>
      <c r="I128" s="88"/>
      <c r="J128" s="88"/>
      <c r="K128" s="199">
        <f>E128-J128-L128-M128-N128-I128+G128-P128</f>
        <v>0</v>
      </c>
      <c r="L128" s="88"/>
      <c r="M128" s="88"/>
      <c r="N128" s="88"/>
      <c r="O128" s="88"/>
      <c r="P128" s="88"/>
      <c r="Q128" s="88">
        <f t="shared" ref="Q128:Q151" si="24">Q127+N128+O128+P128</f>
        <v>6970.132</v>
      </c>
      <c r="R128" s="88"/>
      <c r="T128" s="707"/>
      <c r="U128" s="709"/>
    </row>
    <row r="129" ht="14.25" customHeight="1">
      <c r="B129" s="519"/>
      <c r="C129" s="573">
        <v>45692.0</v>
      </c>
      <c r="D129" s="241">
        <v>2.0</v>
      </c>
      <c r="E129" s="237">
        <v>4200.0</v>
      </c>
      <c r="F129" s="237"/>
      <c r="G129" s="699"/>
      <c r="H129" s="519"/>
      <c r="I129" s="67"/>
      <c r="J129" s="237">
        <v>500.0</v>
      </c>
      <c r="K129" s="186">
        <f t="shared" ref="K129:K145" si="25">E129-J129-L129-M129-N129-I129+G129</f>
        <v>0</v>
      </c>
      <c r="L129" s="67"/>
      <c r="M129" s="237">
        <v>3700.0</v>
      </c>
      <c r="N129" s="794"/>
      <c r="O129" s="794">
        <v>-700.0</v>
      </c>
      <c r="P129" s="703"/>
      <c r="Q129" s="703">
        <f t="shared" si="24"/>
        <v>6270.132</v>
      </c>
      <c r="R129" s="794"/>
      <c r="T129" s="707"/>
      <c r="U129" s="709"/>
    </row>
    <row r="130" ht="14.25" hidden="1" customHeight="1">
      <c r="B130" s="524"/>
      <c r="C130" s="576">
        <v>45755.0</v>
      </c>
      <c r="D130" s="299"/>
      <c r="E130" s="294"/>
      <c r="F130" s="88"/>
      <c r="G130" s="638"/>
      <c r="H130" s="524"/>
      <c r="I130" s="88"/>
      <c r="J130" s="294"/>
      <c r="K130" s="199">
        <f t="shared" si="25"/>
        <v>0</v>
      </c>
      <c r="L130" s="88"/>
      <c r="M130" s="294"/>
      <c r="N130" s="294"/>
      <c r="O130" s="294"/>
      <c r="P130" s="88"/>
      <c r="Q130" s="88">
        <f t="shared" si="24"/>
        <v>6270.132</v>
      </c>
      <c r="R130" s="88"/>
      <c r="T130" s="707"/>
      <c r="U130" s="709"/>
    </row>
    <row r="131" ht="14.25" customHeight="1">
      <c r="B131" s="519"/>
      <c r="C131" s="573">
        <v>45879.0</v>
      </c>
      <c r="D131" s="241">
        <v>2.0</v>
      </c>
      <c r="E131" s="237">
        <v>3600.0</v>
      </c>
      <c r="F131" s="67"/>
      <c r="G131" s="801"/>
      <c r="H131" s="519"/>
      <c r="I131" s="67"/>
      <c r="J131" s="237">
        <v>1500.0</v>
      </c>
      <c r="K131" s="186">
        <f t="shared" si="25"/>
        <v>0</v>
      </c>
      <c r="L131" s="67"/>
      <c r="M131" s="237">
        <v>2100.0</v>
      </c>
      <c r="N131" s="794"/>
      <c r="O131" s="794">
        <v>-700.0</v>
      </c>
      <c r="P131" s="703"/>
      <c r="Q131" s="703">
        <f t="shared" si="24"/>
        <v>5570.132</v>
      </c>
      <c r="R131" s="703"/>
      <c r="T131" s="707"/>
      <c r="U131" s="709"/>
    </row>
    <row r="132" ht="14.25" hidden="1" customHeight="1">
      <c r="B132" s="524"/>
      <c r="C132" s="576">
        <v>45942.0</v>
      </c>
      <c r="D132" s="299"/>
      <c r="E132" s="294"/>
      <c r="F132" s="88"/>
      <c r="G132" s="638"/>
      <c r="H132" s="524"/>
      <c r="I132" s="88"/>
      <c r="J132" s="294"/>
      <c r="K132" s="199">
        <f t="shared" si="25"/>
        <v>0</v>
      </c>
      <c r="L132" s="88"/>
      <c r="M132" s="88"/>
      <c r="N132" s="294"/>
      <c r="O132" s="294"/>
      <c r="P132" s="88"/>
      <c r="Q132" s="88">
        <f t="shared" si="24"/>
        <v>5570.132</v>
      </c>
      <c r="R132" s="88"/>
      <c r="T132" s="707"/>
      <c r="U132" s="709"/>
    </row>
    <row r="133" ht="14.25" customHeight="1">
      <c r="B133" s="519"/>
      <c r="C133" s="573">
        <v>46004.0</v>
      </c>
      <c r="D133" s="241">
        <v>1.0</v>
      </c>
      <c r="E133" s="237">
        <v>1800.0</v>
      </c>
      <c r="F133" s="67"/>
      <c r="G133" s="699"/>
      <c r="H133" s="519"/>
      <c r="I133" s="67"/>
      <c r="J133" s="237">
        <v>500.0</v>
      </c>
      <c r="K133" s="186">
        <f t="shared" si="25"/>
        <v>0</v>
      </c>
      <c r="L133" s="67"/>
      <c r="M133" s="67"/>
      <c r="N133" s="794">
        <v>1300.0</v>
      </c>
      <c r="O133" s="794">
        <v>-700.0</v>
      </c>
      <c r="P133" s="703"/>
      <c r="Q133" s="703">
        <f t="shared" si="24"/>
        <v>6170.132</v>
      </c>
      <c r="R133" s="703"/>
      <c r="T133" s="707"/>
      <c r="U133" s="709"/>
    </row>
    <row r="134" ht="14.25" customHeight="1">
      <c r="B134" s="519"/>
      <c r="C134" s="241" t="s">
        <v>29</v>
      </c>
      <c r="D134" s="241">
        <v>1.0</v>
      </c>
      <c r="E134" s="237">
        <v>2000.0</v>
      </c>
      <c r="F134" s="67"/>
      <c r="G134" s="801">
        <v>450.0</v>
      </c>
      <c r="H134" s="519"/>
      <c r="I134" s="67"/>
      <c r="J134" s="237">
        <v>1000.0</v>
      </c>
      <c r="K134" s="186">
        <f t="shared" si="25"/>
        <v>0</v>
      </c>
      <c r="L134" s="67"/>
      <c r="M134" s="67"/>
      <c r="N134" s="794">
        <v>1450.0</v>
      </c>
      <c r="O134" s="794">
        <v>-700.0</v>
      </c>
      <c r="P134" s="703"/>
      <c r="Q134" s="703">
        <f t="shared" si="24"/>
        <v>6920.132</v>
      </c>
      <c r="R134" s="794" t="s">
        <v>418</v>
      </c>
      <c r="T134" s="707"/>
      <c r="U134" s="709"/>
    </row>
    <row r="135" ht="14.25" hidden="1" customHeight="1">
      <c r="B135" s="524"/>
      <c r="C135" s="299" t="s">
        <v>30</v>
      </c>
      <c r="D135" s="299"/>
      <c r="E135" s="294"/>
      <c r="F135" s="88"/>
      <c r="G135" s="526"/>
      <c r="H135" s="524"/>
      <c r="I135" s="88"/>
      <c r="J135" s="294"/>
      <c r="K135" s="199">
        <f t="shared" si="25"/>
        <v>0</v>
      </c>
      <c r="L135" s="88"/>
      <c r="M135" s="88"/>
      <c r="N135" s="294"/>
      <c r="O135" s="294"/>
      <c r="P135" s="88"/>
      <c r="Q135" s="88">
        <f t="shared" si="24"/>
        <v>6920.132</v>
      </c>
      <c r="R135" s="88"/>
      <c r="T135" s="707"/>
      <c r="U135" s="709"/>
    </row>
    <row r="136" ht="14.25" customHeight="1">
      <c r="B136" s="519"/>
      <c r="C136" s="241" t="s">
        <v>31</v>
      </c>
      <c r="D136" s="241">
        <v>1.0</v>
      </c>
      <c r="E136" s="237">
        <v>1800.0</v>
      </c>
      <c r="F136" s="67"/>
      <c r="G136" s="699"/>
      <c r="H136" s="519"/>
      <c r="I136" s="67"/>
      <c r="J136" s="237"/>
      <c r="K136" s="186">
        <f t="shared" si="25"/>
        <v>0</v>
      </c>
      <c r="L136" s="237">
        <v>1800.0</v>
      </c>
      <c r="M136" s="67"/>
      <c r="N136" s="794"/>
      <c r="O136" s="794">
        <v>-700.0</v>
      </c>
      <c r="P136" s="703"/>
      <c r="Q136" s="703">
        <f t="shared" si="24"/>
        <v>6220.132</v>
      </c>
      <c r="R136" s="703"/>
      <c r="T136" s="707"/>
      <c r="U136" s="709"/>
    </row>
    <row r="137" ht="14.25" customHeight="1">
      <c r="B137" s="519"/>
      <c r="C137" s="241" t="s">
        <v>32</v>
      </c>
      <c r="D137" s="241">
        <v>1.0</v>
      </c>
      <c r="E137" s="237">
        <v>2500.0</v>
      </c>
      <c r="F137" s="237"/>
      <c r="G137" s="699"/>
      <c r="H137" s="519"/>
      <c r="I137" s="67"/>
      <c r="J137" s="237">
        <v>1000.0</v>
      </c>
      <c r="K137" s="186">
        <f t="shared" si="25"/>
        <v>0</v>
      </c>
      <c r="L137" s="67"/>
      <c r="M137" s="237"/>
      <c r="N137" s="794">
        <v>1500.0</v>
      </c>
      <c r="O137" s="794">
        <v>-700.0</v>
      </c>
      <c r="P137" s="703"/>
      <c r="Q137" s="703">
        <f t="shared" si="24"/>
        <v>7020.132</v>
      </c>
      <c r="R137" s="703"/>
      <c r="T137" s="707"/>
      <c r="U137" s="709"/>
    </row>
    <row r="138" ht="14.25" hidden="1" customHeight="1">
      <c r="B138" s="524"/>
      <c r="C138" s="299" t="s">
        <v>120</v>
      </c>
      <c r="D138" s="299"/>
      <c r="E138" s="294"/>
      <c r="F138" s="88"/>
      <c r="G138" s="526"/>
      <c r="H138" s="524"/>
      <c r="I138" s="88"/>
      <c r="J138" s="294"/>
      <c r="K138" s="199">
        <f t="shared" si="25"/>
        <v>0</v>
      </c>
      <c r="L138" s="88"/>
      <c r="M138" s="88"/>
      <c r="N138" s="294"/>
      <c r="O138" s="294"/>
      <c r="P138" s="410"/>
      <c r="Q138" s="88">
        <f t="shared" si="24"/>
        <v>7020.132</v>
      </c>
      <c r="R138" s="294"/>
      <c r="T138" s="707"/>
      <c r="U138" s="709"/>
    </row>
    <row r="139" ht="14.25" customHeight="1">
      <c r="B139" s="519"/>
      <c r="C139" s="241" t="s">
        <v>69</v>
      </c>
      <c r="D139" s="241">
        <v>1.0</v>
      </c>
      <c r="E139" s="237">
        <v>1800.0</v>
      </c>
      <c r="F139" s="67"/>
      <c r="G139" s="801"/>
      <c r="H139" s="519"/>
      <c r="I139" s="67"/>
      <c r="J139" s="237">
        <v>500.0</v>
      </c>
      <c r="K139" s="186">
        <f t="shared" si="25"/>
        <v>0</v>
      </c>
      <c r="L139" s="67"/>
      <c r="M139" s="237"/>
      <c r="N139" s="794">
        <v>1300.0</v>
      </c>
      <c r="O139" s="794">
        <v>-700.0</v>
      </c>
      <c r="P139" s="769"/>
      <c r="Q139" s="703">
        <f t="shared" si="24"/>
        <v>7620.132</v>
      </c>
      <c r="R139" s="703"/>
      <c r="T139" s="707"/>
      <c r="U139" s="709"/>
    </row>
    <row r="140" ht="14.25" customHeight="1">
      <c r="B140" s="519"/>
      <c r="C140" s="241" t="s">
        <v>68</v>
      </c>
      <c r="D140" s="241">
        <v>1.0</v>
      </c>
      <c r="E140" s="237">
        <v>1800.0</v>
      </c>
      <c r="F140" s="67"/>
      <c r="G140" s="801"/>
      <c r="H140" s="519"/>
      <c r="I140" s="67"/>
      <c r="J140" s="237">
        <v>600.0</v>
      </c>
      <c r="K140" s="186">
        <f t="shared" si="25"/>
        <v>0</v>
      </c>
      <c r="L140" s="67"/>
      <c r="M140" s="237">
        <v>1200.0</v>
      </c>
      <c r="N140" s="794"/>
      <c r="O140" s="794">
        <v>-700.0</v>
      </c>
      <c r="P140" s="769"/>
      <c r="Q140" s="703">
        <f t="shared" si="24"/>
        <v>6920.132</v>
      </c>
      <c r="R140" s="703"/>
      <c r="T140" s="707"/>
      <c r="U140" s="709"/>
    </row>
    <row r="141" ht="14.25" customHeight="1">
      <c r="B141" s="519"/>
      <c r="C141" s="241" t="s">
        <v>70</v>
      </c>
      <c r="D141" s="241"/>
      <c r="E141" s="237">
        <v>1950.0</v>
      </c>
      <c r="F141" s="67"/>
      <c r="G141" s="699"/>
      <c r="H141" s="612" t="s">
        <v>81</v>
      </c>
      <c r="I141" s="67"/>
      <c r="J141" s="237">
        <v>1950.0</v>
      </c>
      <c r="K141" s="186">
        <f t="shared" si="25"/>
        <v>0</v>
      </c>
      <c r="L141" s="67"/>
      <c r="M141" s="237"/>
      <c r="N141" s="703"/>
      <c r="O141" s="794"/>
      <c r="P141" s="769"/>
      <c r="Q141" s="703">
        <f t="shared" si="24"/>
        <v>6920.132</v>
      </c>
      <c r="R141" s="794" t="s">
        <v>81</v>
      </c>
      <c r="T141" s="707"/>
      <c r="U141" s="709"/>
    </row>
    <row r="142" ht="14.25" customHeight="1">
      <c r="B142" s="519"/>
      <c r="C142" s="241" t="s">
        <v>41</v>
      </c>
      <c r="D142" s="241">
        <v>1.0</v>
      </c>
      <c r="E142" s="237">
        <v>1800.0</v>
      </c>
      <c r="F142" s="67"/>
      <c r="G142" s="801">
        <v>400.0</v>
      </c>
      <c r="H142" s="519"/>
      <c r="I142" s="67"/>
      <c r="J142" s="237">
        <v>1000.0</v>
      </c>
      <c r="K142" s="186">
        <f t="shared" si="25"/>
        <v>0</v>
      </c>
      <c r="L142" s="67"/>
      <c r="M142" s="237"/>
      <c r="N142" s="794">
        <v>1200.0</v>
      </c>
      <c r="O142" s="794">
        <v>-700.0</v>
      </c>
      <c r="P142" s="769"/>
      <c r="Q142" s="703">
        <f t="shared" si="24"/>
        <v>7420.132</v>
      </c>
      <c r="R142" s="703"/>
      <c r="T142" s="707"/>
      <c r="U142" s="709"/>
    </row>
    <row r="143" ht="14.25" customHeight="1">
      <c r="B143" s="519"/>
      <c r="C143" s="241" t="s">
        <v>71</v>
      </c>
      <c r="D143" s="241">
        <v>2.0</v>
      </c>
      <c r="E143" s="237">
        <f>800+2500</f>
        <v>3300</v>
      </c>
      <c r="F143" s="67"/>
      <c r="G143" s="699"/>
      <c r="H143" s="519"/>
      <c r="I143" s="67"/>
      <c r="J143" s="237">
        <v>1000.0</v>
      </c>
      <c r="K143" s="186">
        <f t="shared" si="25"/>
        <v>0</v>
      </c>
      <c r="L143" s="67"/>
      <c r="M143" s="237">
        <f>1500+800</f>
        <v>2300</v>
      </c>
      <c r="N143" s="794"/>
      <c r="O143" s="794">
        <v>-700.0</v>
      </c>
      <c r="P143" s="769"/>
      <c r="Q143" s="703">
        <f t="shared" si="24"/>
        <v>6720.132</v>
      </c>
      <c r="R143" s="703"/>
      <c r="T143" s="707"/>
      <c r="U143" s="709"/>
    </row>
    <row r="144" ht="14.25" customHeight="1">
      <c r="B144" s="519"/>
      <c r="C144" s="241" t="s">
        <v>47</v>
      </c>
      <c r="D144" s="241">
        <v>1.0</v>
      </c>
      <c r="E144" s="237">
        <v>2000.0</v>
      </c>
      <c r="F144" s="237"/>
      <c r="G144" s="801">
        <v>350.0</v>
      </c>
      <c r="H144" s="519"/>
      <c r="I144" s="67"/>
      <c r="J144" s="237">
        <v>1000.0</v>
      </c>
      <c r="K144" s="186">
        <f t="shared" si="25"/>
        <v>0</v>
      </c>
      <c r="L144" s="67"/>
      <c r="M144" s="237">
        <v>1350.0</v>
      </c>
      <c r="N144" s="794"/>
      <c r="O144" s="794">
        <v>-700.0</v>
      </c>
      <c r="P144" s="769"/>
      <c r="Q144" s="703">
        <f t="shared" si="24"/>
        <v>6020.132</v>
      </c>
      <c r="R144" s="703"/>
      <c r="T144" s="707"/>
      <c r="U144" s="709"/>
    </row>
    <row r="145" ht="14.25" customHeight="1">
      <c r="B145" s="519"/>
      <c r="C145" s="241" t="s">
        <v>48</v>
      </c>
      <c r="D145" s="241">
        <v>2.0</v>
      </c>
      <c r="E145" s="237">
        <v>3500.0</v>
      </c>
      <c r="F145" s="67"/>
      <c r="G145" s="699"/>
      <c r="H145" s="519"/>
      <c r="I145" s="67"/>
      <c r="J145" s="237">
        <v>1500.0</v>
      </c>
      <c r="K145" s="186">
        <f t="shared" si="25"/>
        <v>0</v>
      </c>
      <c r="L145" s="67"/>
      <c r="M145" s="237">
        <v>2000.0</v>
      </c>
      <c r="N145" s="794"/>
      <c r="O145" s="794">
        <v>-700.0</v>
      </c>
      <c r="P145" s="769"/>
      <c r="Q145" s="703">
        <f t="shared" si="24"/>
        <v>5320.132</v>
      </c>
      <c r="R145" s="703"/>
      <c r="T145" s="707"/>
      <c r="U145" s="709"/>
    </row>
    <row r="146" ht="14.25" hidden="1" customHeight="1">
      <c r="B146" s="524"/>
      <c r="C146" s="299" t="s">
        <v>137</v>
      </c>
      <c r="D146" s="299"/>
      <c r="E146" s="294"/>
      <c r="F146" s="88"/>
      <c r="G146" s="638"/>
      <c r="H146" s="524"/>
      <c r="I146" s="88"/>
      <c r="J146" s="294"/>
      <c r="K146" s="199"/>
      <c r="L146" s="88"/>
      <c r="M146" s="88"/>
      <c r="N146" s="294"/>
      <c r="O146" s="294"/>
      <c r="P146" s="410"/>
      <c r="Q146" s="88">
        <f t="shared" si="24"/>
        <v>5320.132</v>
      </c>
      <c r="R146" s="88"/>
      <c r="T146" s="707"/>
      <c r="U146" s="709"/>
    </row>
    <row r="147" ht="14.25" customHeight="1">
      <c r="B147" s="519"/>
      <c r="C147" s="241" t="s">
        <v>89</v>
      </c>
      <c r="D147" s="241">
        <v>2.0</v>
      </c>
      <c r="E147" s="237">
        <v>5500.0</v>
      </c>
      <c r="F147" s="67"/>
      <c r="G147" s="801"/>
      <c r="H147" s="519"/>
      <c r="I147" s="67"/>
      <c r="J147" s="237">
        <v>1500.0</v>
      </c>
      <c r="K147" s="186">
        <f>E147-J147-L147-M147-N147-I147+G147</f>
        <v>0</v>
      </c>
      <c r="L147" s="67"/>
      <c r="M147" s="67"/>
      <c r="N147" s="794">
        <v>4000.0</v>
      </c>
      <c r="O147" s="794">
        <v>-700.0</v>
      </c>
      <c r="P147" s="769"/>
      <c r="Q147" s="703">
        <f t="shared" si="24"/>
        <v>8620.132</v>
      </c>
      <c r="R147" s="703"/>
      <c r="T147" s="707"/>
      <c r="U147" s="709"/>
    </row>
    <row r="148" ht="14.25" customHeight="1">
      <c r="B148" s="519"/>
      <c r="C148" s="66"/>
      <c r="D148" s="66"/>
      <c r="E148" s="67"/>
      <c r="F148" s="67"/>
      <c r="G148" s="699"/>
      <c r="H148" s="519"/>
      <c r="I148" s="67"/>
      <c r="J148" s="67"/>
      <c r="K148" s="186"/>
      <c r="L148" s="67"/>
      <c r="M148" s="67"/>
      <c r="N148" s="703"/>
      <c r="O148" s="703"/>
      <c r="P148" s="803">
        <v>-1636.12</v>
      </c>
      <c r="Q148" s="703">
        <f t="shared" si="24"/>
        <v>6984.012</v>
      </c>
      <c r="R148" s="794" t="s">
        <v>435</v>
      </c>
      <c r="T148" s="707"/>
      <c r="U148" s="709"/>
    </row>
    <row r="149" ht="14.25" customHeight="1">
      <c r="B149" s="519"/>
      <c r="C149" s="66"/>
      <c r="D149" s="66"/>
      <c r="E149" s="67"/>
      <c r="F149" s="67"/>
      <c r="G149" s="699"/>
      <c r="H149" s="519"/>
      <c r="I149" s="67"/>
      <c r="J149" s="67"/>
      <c r="K149" s="186">
        <f t="shared" ref="K149:K150" si="26">E149-J149-L149-M149-N149-I149+G149</f>
        <v>0</v>
      </c>
      <c r="L149" s="67"/>
      <c r="M149" s="67"/>
      <c r="N149" s="703"/>
      <c r="O149" s="703"/>
      <c r="P149" s="803">
        <v>-500.0</v>
      </c>
      <c r="Q149" s="703">
        <f t="shared" si="24"/>
        <v>6484.012</v>
      </c>
      <c r="R149" s="703" t="s">
        <v>93</v>
      </c>
      <c r="T149" s="707"/>
      <c r="U149" s="709"/>
    </row>
    <row r="150" ht="14.25" customHeight="1">
      <c r="B150" s="519"/>
      <c r="C150" s="66"/>
      <c r="D150" s="66"/>
      <c r="E150" s="67"/>
      <c r="F150" s="67"/>
      <c r="G150" s="699"/>
      <c r="H150" s="519"/>
      <c r="I150" s="67"/>
      <c r="J150" s="67"/>
      <c r="K150" s="186">
        <f t="shared" si="26"/>
        <v>0</v>
      </c>
      <c r="L150" s="67"/>
      <c r="M150" s="67"/>
      <c r="N150" s="703"/>
      <c r="O150" s="703"/>
      <c r="P150" s="803">
        <v>-2474.74</v>
      </c>
      <c r="Q150" s="703">
        <f t="shared" si="24"/>
        <v>4009.272</v>
      </c>
      <c r="R150" s="703" t="s">
        <v>55</v>
      </c>
      <c r="U150" s="771"/>
    </row>
    <row r="151" ht="14.25" customHeight="1">
      <c r="B151" s="519"/>
      <c r="C151" s="66"/>
      <c r="D151" s="66"/>
      <c r="E151" s="67"/>
      <c r="F151" s="67"/>
      <c r="G151" s="699"/>
      <c r="H151" s="519"/>
      <c r="I151" s="67"/>
      <c r="J151" s="67"/>
      <c r="K151" s="186"/>
      <c r="L151" s="67"/>
      <c r="M151" s="67"/>
      <c r="N151" s="703"/>
      <c r="O151" s="703"/>
      <c r="P151" s="803">
        <v>-4009.27</v>
      </c>
      <c r="Q151" s="703">
        <f t="shared" si="24"/>
        <v>0.001999999998</v>
      </c>
      <c r="R151" s="703"/>
      <c r="U151" s="771"/>
    </row>
    <row r="152" ht="14.25" customHeight="1">
      <c r="B152" s="805" t="s">
        <v>141</v>
      </c>
      <c r="C152" s="772" t="s">
        <v>80</v>
      </c>
      <c r="D152" s="773">
        <f t="shared" ref="D152:O152" si="27">sum(D128:D150)</f>
        <v>18</v>
      </c>
      <c r="E152" s="774">
        <f t="shared" si="27"/>
        <v>37550</v>
      </c>
      <c r="F152" s="774">
        <f t="shared" si="27"/>
        <v>0</v>
      </c>
      <c r="G152" s="774">
        <f t="shared" si="27"/>
        <v>1200</v>
      </c>
      <c r="H152" s="774">
        <f t="shared" si="27"/>
        <v>0</v>
      </c>
      <c r="I152" s="774">
        <f t="shared" si="27"/>
        <v>0</v>
      </c>
      <c r="J152" s="774">
        <f t="shared" si="27"/>
        <v>13550</v>
      </c>
      <c r="K152" s="774">
        <f t="shared" si="27"/>
        <v>0</v>
      </c>
      <c r="L152" s="774">
        <f t="shared" si="27"/>
        <v>1800</v>
      </c>
      <c r="M152" s="774">
        <f t="shared" si="27"/>
        <v>12650</v>
      </c>
      <c r="N152" s="774">
        <f t="shared" si="27"/>
        <v>10750</v>
      </c>
      <c r="O152" s="774">
        <f t="shared" si="27"/>
        <v>-9100</v>
      </c>
      <c r="P152" s="774">
        <f>sum(P128:P151)</f>
        <v>-8620.13</v>
      </c>
      <c r="Q152" s="774">
        <f>Q151</f>
        <v>0.001999999998</v>
      </c>
      <c r="R152" s="774"/>
      <c r="U152" s="771"/>
    </row>
    <row r="153" ht="14.25" customHeight="1">
      <c r="B153" s="645" t="s">
        <v>154</v>
      </c>
      <c r="C153" s="576">
        <v>45693.0</v>
      </c>
      <c r="D153" s="87"/>
      <c r="E153" s="88"/>
      <c r="F153" s="88"/>
      <c r="G153" s="526"/>
      <c r="H153" s="524"/>
      <c r="I153" s="88"/>
      <c r="J153" s="88"/>
      <c r="K153" s="199">
        <f>E153-J153-L153-M153-N153-I153+G153-P153</f>
        <v>0</v>
      </c>
      <c r="L153" s="88"/>
      <c r="M153" s="88"/>
      <c r="N153" s="88"/>
      <c r="O153" s="88"/>
      <c r="P153" s="88"/>
      <c r="Q153" s="88">
        <f t="shared" ref="Q153:Q177" si="28">Q152+N153+O153+P153</f>
        <v>0.001999999998</v>
      </c>
      <c r="R153" s="88"/>
      <c r="T153" s="707"/>
      <c r="U153" s="709"/>
    </row>
    <row r="154" ht="14.25" customHeight="1">
      <c r="B154" s="519"/>
      <c r="C154" s="573">
        <v>45783.0</v>
      </c>
      <c r="D154" s="241">
        <v>1.0</v>
      </c>
      <c r="E154" s="237">
        <v>1800.0</v>
      </c>
      <c r="F154" s="237"/>
      <c r="G154" s="699"/>
      <c r="H154" s="519"/>
      <c r="I154" s="67"/>
      <c r="J154" s="237">
        <v>800.0</v>
      </c>
      <c r="K154" s="186">
        <f t="shared" ref="K154:K175" si="29">E154-J154-L154-M154-N154-I154+G154</f>
        <v>0</v>
      </c>
      <c r="L154" s="67"/>
      <c r="M154" s="237">
        <v>1000.0</v>
      </c>
      <c r="N154" s="794"/>
      <c r="O154" s="794">
        <v>-700.0</v>
      </c>
      <c r="P154" s="703"/>
      <c r="Q154" s="703">
        <f t="shared" si="28"/>
        <v>-699.998</v>
      </c>
      <c r="R154" s="794" t="s">
        <v>157</v>
      </c>
      <c r="T154" s="707"/>
      <c r="U154" s="709"/>
    </row>
    <row r="155" ht="14.25" hidden="1" customHeight="1">
      <c r="B155" s="524"/>
      <c r="C155" s="576"/>
      <c r="D155" s="299"/>
      <c r="E155" s="294"/>
      <c r="F155" s="88"/>
      <c r="G155" s="638"/>
      <c r="H155" s="524"/>
      <c r="I155" s="88"/>
      <c r="J155" s="294"/>
      <c r="K155" s="199">
        <f t="shared" si="29"/>
        <v>0</v>
      </c>
      <c r="L155" s="88"/>
      <c r="M155" s="294"/>
      <c r="N155" s="294"/>
      <c r="O155" s="294"/>
      <c r="P155" s="88"/>
      <c r="Q155" s="88">
        <f t="shared" si="28"/>
        <v>-699.998</v>
      </c>
      <c r="R155" s="88"/>
      <c r="T155" s="707"/>
      <c r="U155" s="709"/>
    </row>
    <row r="156" ht="14.25" customHeight="1">
      <c r="B156" s="519"/>
      <c r="C156" s="573">
        <v>45815.0</v>
      </c>
      <c r="D156" s="241">
        <v>1.0</v>
      </c>
      <c r="E156" s="237">
        <v>2300.0</v>
      </c>
      <c r="F156" s="67"/>
      <c r="G156" s="801"/>
      <c r="H156" s="519"/>
      <c r="I156" s="67"/>
      <c r="J156" s="237">
        <v>1000.0</v>
      </c>
      <c r="K156" s="186">
        <f t="shared" si="29"/>
        <v>0</v>
      </c>
      <c r="L156" s="67"/>
      <c r="M156" s="237">
        <v>1300.0</v>
      </c>
      <c r="N156" s="794"/>
      <c r="O156" s="794">
        <v>-700.0</v>
      </c>
      <c r="P156" s="703"/>
      <c r="Q156" s="703">
        <f t="shared" si="28"/>
        <v>-1399.998</v>
      </c>
      <c r="R156" s="794" t="s">
        <v>157</v>
      </c>
      <c r="T156" s="707"/>
      <c r="U156" s="709"/>
    </row>
    <row r="157" ht="14.25" hidden="1" customHeight="1">
      <c r="B157" s="524"/>
      <c r="C157" s="576"/>
      <c r="D157" s="299"/>
      <c r="E157" s="294"/>
      <c r="F157" s="88"/>
      <c r="G157" s="638"/>
      <c r="H157" s="524"/>
      <c r="I157" s="88"/>
      <c r="J157" s="294"/>
      <c r="K157" s="199">
        <f t="shared" si="29"/>
        <v>0</v>
      </c>
      <c r="L157" s="88"/>
      <c r="M157" s="88"/>
      <c r="N157" s="294"/>
      <c r="O157" s="294"/>
      <c r="P157" s="88"/>
      <c r="Q157" s="88">
        <f t="shared" si="28"/>
        <v>-1399.998</v>
      </c>
      <c r="R157" s="88"/>
      <c r="T157" s="707"/>
      <c r="U157" s="709"/>
    </row>
    <row r="158" ht="14.25" customHeight="1">
      <c r="B158" s="519"/>
      <c r="C158" s="573">
        <v>45846.0</v>
      </c>
      <c r="D158" s="241">
        <v>1.0</v>
      </c>
      <c r="E158" s="237">
        <v>2500.0</v>
      </c>
      <c r="F158" s="67"/>
      <c r="G158" s="699"/>
      <c r="H158" s="519"/>
      <c r="I158" s="67"/>
      <c r="J158" s="237">
        <v>2500.0</v>
      </c>
      <c r="K158" s="186">
        <f t="shared" si="29"/>
        <v>0</v>
      </c>
      <c r="L158" s="67"/>
      <c r="M158" s="67"/>
      <c r="N158" s="794"/>
      <c r="O158" s="794">
        <v>-700.0</v>
      </c>
      <c r="P158" s="703"/>
      <c r="Q158" s="703">
        <f t="shared" si="28"/>
        <v>-2099.998</v>
      </c>
      <c r="R158" s="703"/>
      <c r="T158" s="707"/>
      <c r="U158" s="709"/>
    </row>
    <row r="159" ht="14.25" hidden="1" customHeight="1">
      <c r="B159" s="524"/>
      <c r="C159" s="576">
        <v>45881.0</v>
      </c>
      <c r="D159" s="299"/>
      <c r="E159" s="294"/>
      <c r="F159" s="88"/>
      <c r="G159" s="638"/>
      <c r="H159" s="524"/>
      <c r="I159" s="88"/>
      <c r="J159" s="294"/>
      <c r="K159" s="199">
        <f t="shared" si="29"/>
        <v>0</v>
      </c>
      <c r="L159" s="88"/>
      <c r="M159" s="88"/>
      <c r="N159" s="294"/>
      <c r="O159" s="294"/>
      <c r="P159" s="88"/>
      <c r="Q159" s="88">
        <f t="shared" si="28"/>
        <v>-2099.998</v>
      </c>
      <c r="R159" s="294"/>
      <c r="T159" s="707"/>
      <c r="U159" s="709"/>
    </row>
    <row r="160" ht="14.25" hidden="1" customHeight="1">
      <c r="B160" s="524"/>
      <c r="C160" s="299"/>
      <c r="D160" s="299"/>
      <c r="E160" s="294"/>
      <c r="F160" s="88"/>
      <c r="G160" s="526"/>
      <c r="H160" s="524"/>
      <c r="I160" s="88"/>
      <c r="J160" s="294"/>
      <c r="K160" s="199">
        <f t="shared" si="29"/>
        <v>0</v>
      </c>
      <c r="L160" s="88"/>
      <c r="M160" s="88"/>
      <c r="N160" s="294"/>
      <c r="O160" s="294"/>
      <c r="P160" s="88"/>
      <c r="Q160" s="88">
        <f t="shared" si="28"/>
        <v>-2099.998</v>
      </c>
      <c r="R160" s="88"/>
      <c r="T160" s="707"/>
      <c r="U160" s="709"/>
    </row>
    <row r="161" ht="14.25" customHeight="1">
      <c r="B161" s="519"/>
      <c r="C161" s="573">
        <v>46006.0</v>
      </c>
      <c r="D161" s="241">
        <v>3.0</v>
      </c>
      <c r="E161" s="237">
        <v>6000.0</v>
      </c>
      <c r="F161" s="67"/>
      <c r="G161" s="699">
        <f>350*3</f>
        <v>1050</v>
      </c>
      <c r="H161" s="519"/>
      <c r="I161" s="67"/>
      <c r="J161" s="237">
        <f>2000+525</f>
        <v>2525</v>
      </c>
      <c r="K161" s="186">
        <f t="shared" si="29"/>
        <v>0</v>
      </c>
      <c r="L161" s="237"/>
      <c r="M161" s="67"/>
      <c r="N161" s="794">
        <v>4525.0</v>
      </c>
      <c r="O161" s="794">
        <v>-700.0</v>
      </c>
      <c r="P161" s="703"/>
      <c r="Q161" s="703">
        <f t="shared" si="28"/>
        <v>1725.002</v>
      </c>
      <c r="R161" s="703"/>
      <c r="T161" s="707"/>
      <c r="U161" s="709"/>
    </row>
    <row r="162" ht="14.25" hidden="1" customHeight="1">
      <c r="B162" s="524"/>
      <c r="C162" s="299" t="s">
        <v>30</v>
      </c>
      <c r="D162" s="299"/>
      <c r="E162" s="294"/>
      <c r="F162" s="294"/>
      <c r="G162" s="526"/>
      <c r="H162" s="524"/>
      <c r="I162" s="88"/>
      <c r="J162" s="294"/>
      <c r="K162" s="199">
        <f t="shared" si="29"/>
        <v>0</v>
      </c>
      <c r="L162" s="88"/>
      <c r="M162" s="294"/>
      <c r="N162" s="294"/>
      <c r="O162" s="294"/>
      <c r="P162" s="88"/>
      <c r="Q162" s="88">
        <f t="shared" si="28"/>
        <v>1725.002</v>
      </c>
      <c r="R162" s="88"/>
      <c r="T162" s="707"/>
      <c r="U162" s="709"/>
    </row>
    <row r="163" ht="14.25" hidden="1" customHeight="1">
      <c r="B163" s="524"/>
      <c r="C163" s="299"/>
      <c r="D163" s="299"/>
      <c r="E163" s="294"/>
      <c r="F163" s="88"/>
      <c r="G163" s="526"/>
      <c r="H163" s="524"/>
      <c r="I163" s="88"/>
      <c r="J163" s="294"/>
      <c r="K163" s="199">
        <f t="shared" si="29"/>
        <v>0</v>
      </c>
      <c r="L163" s="88"/>
      <c r="M163" s="88"/>
      <c r="N163" s="294"/>
      <c r="O163" s="294"/>
      <c r="P163" s="410"/>
      <c r="Q163" s="88">
        <f t="shared" si="28"/>
        <v>1725.002</v>
      </c>
      <c r="R163" s="294"/>
      <c r="T163" s="707"/>
      <c r="U163" s="709"/>
    </row>
    <row r="164" ht="14.25" customHeight="1">
      <c r="B164" s="519"/>
      <c r="C164" s="241" t="s">
        <v>31</v>
      </c>
      <c r="D164" s="241">
        <v>1.0</v>
      </c>
      <c r="E164" s="237">
        <v>1700.0</v>
      </c>
      <c r="F164" s="67"/>
      <c r="G164" s="801"/>
      <c r="H164" s="519"/>
      <c r="I164" s="237"/>
      <c r="J164" s="237">
        <v>700.0</v>
      </c>
      <c r="K164" s="186">
        <f t="shared" si="29"/>
        <v>0</v>
      </c>
      <c r="L164" s="67"/>
      <c r="M164" s="237"/>
      <c r="N164" s="794">
        <v>1000.0</v>
      </c>
      <c r="O164" s="794">
        <v>-700.0</v>
      </c>
      <c r="P164" s="769"/>
      <c r="Q164" s="703">
        <f t="shared" si="28"/>
        <v>2025.002</v>
      </c>
      <c r="R164" s="703"/>
      <c r="T164" s="707"/>
      <c r="U164" s="709"/>
    </row>
    <row r="165" ht="14.25" hidden="1" customHeight="1">
      <c r="B165" s="524"/>
      <c r="C165" s="299" t="s">
        <v>171</v>
      </c>
      <c r="D165" s="299"/>
      <c r="E165" s="294"/>
      <c r="F165" s="88"/>
      <c r="G165" s="638"/>
      <c r="H165" s="524"/>
      <c r="I165" s="88"/>
      <c r="J165" s="294"/>
      <c r="K165" s="199">
        <f t="shared" si="29"/>
        <v>0</v>
      </c>
      <c r="L165" s="88"/>
      <c r="M165" s="294"/>
      <c r="N165" s="294"/>
      <c r="O165" s="294"/>
      <c r="P165" s="410"/>
      <c r="Q165" s="88">
        <f t="shared" si="28"/>
        <v>2025.002</v>
      </c>
      <c r="R165" s="88"/>
      <c r="T165" s="707"/>
      <c r="U165" s="709"/>
    </row>
    <row r="166" ht="14.25" customHeight="1">
      <c r="B166" s="519"/>
      <c r="C166" s="241" t="s">
        <v>35</v>
      </c>
      <c r="D166" s="241">
        <v>2.0</v>
      </c>
      <c r="E166" s="237">
        <v>4500.0</v>
      </c>
      <c r="F166" s="67"/>
      <c r="G166" s="699"/>
      <c r="H166" s="612"/>
      <c r="I166" s="67"/>
      <c r="J166" s="237">
        <v>1500.0</v>
      </c>
      <c r="K166" s="186">
        <f t="shared" si="29"/>
        <v>0</v>
      </c>
      <c r="L166" s="67"/>
      <c r="M166" s="237"/>
      <c r="N166" s="794">
        <v>3000.0</v>
      </c>
      <c r="O166" s="794">
        <v>-700.0</v>
      </c>
      <c r="P166" s="769"/>
      <c r="Q166" s="703">
        <f t="shared" si="28"/>
        <v>4325.002</v>
      </c>
      <c r="R166" s="794"/>
      <c r="T166" s="707"/>
      <c r="U166" s="709"/>
    </row>
    <row r="167" ht="14.25" customHeight="1">
      <c r="B167" s="519"/>
      <c r="C167" s="241" t="s">
        <v>37</v>
      </c>
      <c r="D167" s="241">
        <v>1.0</v>
      </c>
      <c r="E167" s="237">
        <v>2100.0</v>
      </c>
      <c r="F167" s="67"/>
      <c r="G167" s="801"/>
      <c r="H167" s="519"/>
      <c r="I167" s="67"/>
      <c r="J167" s="237">
        <v>1000.0</v>
      </c>
      <c r="K167" s="186">
        <f t="shared" si="29"/>
        <v>0</v>
      </c>
      <c r="L167" s="67"/>
      <c r="M167" s="237">
        <v>1100.0</v>
      </c>
      <c r="N167" s="794"/>
      <c r="O167" s="794">
        <v>-700.0</v>
      </c>
      <c r="P167" s="769"/>
      <c r="Q167" s="703">
        <f t="shared" si="28"/>
        <v>3625.002</v>
      </c>
      <c r="R167" s="794" t="s">
        <v>157</v>
      </c>
      <c r="T167" s="707"/>
      <c r="U167" s="709"/>
    </row>
    <row r="168" ht="14.25" hidden="1" customHeight="1">
      <c r="B168" s="524"/>
      <c r="C168" s="299" t="s">
        <v>108</v>
      </c>
      <c r="D168" s="299"/>
      <c r="E168" s="294"/>
      <c r="F168" s="88"/>
      <c r="G168" s="526"/>
      <c r="H168" s="524"/>
      <c r="I168" s="88"/>
      <c r="J168" s="294"/>
      <c r="K168" s="199">
        <f t="shared" si="29"/>
        <v>0</v>
      </c>
      <c r="L168" s="88"/>
      <c r="M168" s="294"/>
      <c r="N168" s="294"/>
      <c r="O168" s="294"/>
      <c r="P168" s="410"/>
      <c r="Q168" s="88">
        <f t="shared" si="28"/>
        <v>3625.002</v>
      </c>
      <c r="R168" s="88"/>
      <c r="T168" s="707"/>
      <c r="U168" s="709"/>
    </row>
    <row r="169" ht="14.25" customHeight="1">
      <c r="B169" s="519"/>
      <c r="C169" s="241">
        <v>2527.0</v>
      </c>
      <c r="D169" s="241">
        <v>2.0</v>
      </c>
      <c r="E169" s="237">
        <v>3500.0</v>
      </c>
      <c r="F169" s="237"/>
      <c r="G169" s="801"/>
      <c r="H169" s="519"/>
      <c r="I169" s="67"/>
      <c r="J169" s="237">
        <v>1500.0</v>
      </c>
      <c r="K169" s="186">
        <f t="shared" si="29"/>
        <v>0</v>
      </c>
      <c r="L169" s="67"/>
      <c r="M169" s="237"/>
      <c r="N169" s="794">
        <v>2000.0</v>
      </c>
      <c r="O169" s="794">
        <v>-700.0</v>
      </c>
      <c r="P169" s="769"/>
      <c r="Q169" s="703">
        <f t="shared" si="28"/>
        <v>4925.002</v>
      </c>
      <c r="R169" s="703"/>
      <c r="T169" s="707"/>
      <c r="U169" s="709"/>
    </row>
    <row r="170" ht="14.25" customHeight="1">
      <c r="B170" s="519"/>
      <c r="C170" s="241" t="s">
        <v>72</v>
      </c>
      <c r="D170" s="241">
        <v>1.0</v>
      </c>
      <c r="E170" s="237">
        <v>2000.0</v>
      </c>
      <c r="F170" s="67"/>
      <c r="G170" s="699"/>
      <c r="H170" s="519"/>
      <c r="I170" s="67"/>
      <c r="J170" s="237">
        <v>1000.0</v>
      </c>
      <c r="K170" s="186">
        <f t="shared" si="29"/>
        <v>0</v>
      </c>
      <c r="L170" s="67"/>
      <c r="M170" s="237"/>
      <c r="N170" s="794">
        <v>1000.0</v>
      </c>
      <c r="O170" s="794">
        <v>-700.0</v>
      </c>
      <c r="P170" s="769"/>
      <c r="Q170" s="703">
        <f t="shared" si="28"/>
        <v>5225.002</v>
      </c>
      <c r="R170" s="703"/>
      <c r="T170" s="707"/>
      <c r="U170" s="709"/>
    </row>
    <row r="171" ht="14.25" hidden="1" customHeight="1">
      <c r="B171" s="524"/>
      <c r="C171" s="299"/>
      <c r="D171" s="299"/>
      <c r="E171" s="294"/>
      <c r="F171" s="88"/>
      <c r="G171" s="638"/>
      <c r="H171" s="524"/>
      <c r="I171" s="88"/>
      <c r="J171" s="294"/>
      <c r="K171" s="186">
        <f t="shared" si="29"/>
        <v>0</v>
      </c>
      <c r="L171" s="88"/>
      <c r="M171" s="88"/>
      <c r="N171" s="294"/>
      <c r="O171" s="294"/>
      <c r="P171" s="410"/>
      <c r="Q171" s="88">
        <f t="shared" si="28"/>
        <v>5225.002</v>
      </c>
      <c r="R171" s="88"/>
      <c r="T171" s="707"/>
      <c r="U171" s="709"/>
    </row>
    <row r="172" ht="14.25" customHeight="1">
      <c r="B172" s="519"/>
      <c r="C172" s="241" t="s">
        <v>73</v>
      </c>
      <c r="D172" s="241">
        <v>1.0</v>
      </c>
      <c r="E172" s="237">
        <v>2500.0</v>
      </c>
      <c r="F172" s="67"/>
      <c r="G172" s="801"/>
      <c r="H172" s="519"/>
      <c r="I172" s="67"/>
      <c r="J172" s="237">
        <v>1000.0</v>
      </c>
      <c r="K172" s="186">
        <f t="shared" si="29"/>
        <v>0</v>
      </c>
      <c r="L172" s="67"/>
      <c r="M172" s="67"/>
      <c r="N172" s="794">
        <v>1500.0</v>
      </c>
      <c r="O172" s="794">
        <v>-700.0</v>
      </c>
      <c r="P172" s="769"/>
      <c r="Q172" s="703">
        <f t="shared" si="28"/>
        <v>6025.002</v>
      </c>
      <c r="R172" s="703"/>
      <c r="T172" s="707"/>
      <c r="U172" s="709"/>
    </row>
    <row r="173" ht="14.25" customHeight="1">
      <c r="B173" s="519"/>
      <c r="C173" s="241" t="s">
        <v>49</v>
      </c>
      <c r="D173" s="241">
        <v>1.0</v>
      </c>
      <c r="E173" s="237">
        <v>1879.65</v>
      </c>
      <c r="F173" s="67"/>
      <c r="G173" s="699"/>
      <c r="H173" s="612" t="s">
        <v>42</v>
      </c>
      <c r="I173" s="67"/>
      <c r="J173" s="67"/>
      <c r="K173" s="186">
        <f t="shared" si="29"/>
        <v>0</v>
      </c>
      <c r="L173" s="237">
        <v>1879.65</v>
      </c>
      <c r="M173" s="67"/>
      <c r="N173" s="703"/>
      <c r="O173" s="794">
        <v>-700.0</v>
      </c>
      <c r="P173" s="803"/>
      <c r="Q173" s="703">
        <f t="shared" si="28"/>
        <v>5325.002</v>
      </c>
      <c r="R173" s="794"/>
      <c r="T173" s="707"/>
      <c r="U173" s="709"/>
    </row>
    <row r="174" ht="14.25" customHeight="1">
      <c r="B174" s="519"/>
      <c r="C174" s="241" t="s">
        <v>130</v>
      </c>
      <c r="D174" s="241">
        <v>2.0</v>
      </c>
      <c r="E174" s="237">
        <v>3900.0</v>
      </c>
      <c r="F174" s="237">
        <v>400.0</v>
      </c>
      <c r="G174" s="699"/>
      <c r="H174" s="519"/>
      <c r="I174" s="67"/>
      <c r="J174" s="237">
        <v>1000.0</v>
      </c>
      <c r="K174" s="186">
        <f t="shared" si="29"/>
        <v>0</v>
      </c>
      <c r="L174" s="67"/>
      <c r="M174" s="67"/>
      <c r="N174" s="794">
        <v>2900.0</v>
      </c>
      <c r="O174" s="794">
        <v>-700.0</v>
      </c>
      <c r="P174" s="803"/>
      <c r="Q174" s="703">
        <f t="shared" si="28"/>
        <v>7525.002</v>
      </c>
      <c r="R174" s="703"/>
      <c r="T174" s="707"/>
      <c r="U174" s="709"/>
    </row>
    <row r="175" ht="14.25" customHeight="1">
      <c r="B175" s="519"/>
      <c r="C175" s="66"/>
      <c r="D175" s="66"/>
      <c r="E175" s="67"/>
      <c r="F175" s="67"/>
      <c r="G175" s="699"/>
      <c r="H175" s="519"/>
      <c r="I175" s="67"/>
      <c r="J175" s="67"/>
      <c r="K175" s="186">
        <f t="shared" si="29"/>
        <v>0</v>
      </c>
      <c r="L175" s="67"/>
      <c r="M175" s="67"/>
      <c r="N175" s="703"/>
      <c r="O175" s="703"/>
      <c r="P175" s="803">
        <v>-500.0</v>
      </c>
      <c r="Q175" s="703">
        <f t="shared" si="28"/>
        <v>7025.002</v>
      </c>
      <c r="R175" s="703" t="s">
        <v>93</v>
      </c>
      <c r="T175" s="707"/>
      <c r="U175" s="709"/>
    </row>
    <row r="176" ht="14.25" customHeight="1">
      <c r="B176" s="519"/>
      <c r="C176" s="66"/>
      <c r="D176" s="66"/>
      <c r="E176" s="67"/>
      <c r="F176" s="67"/>
      <c r="G176" s="699"/>
      <c r="H176" s="519"/>
      <c r="I176" s="67"/>
      <c r="J176" s="67"/>
      <c r="K176" s="186"/>
      <c r="L176" s="67"/>
      <c r="M176" s="67"/>
      <c r="N176" s="703"/>
      <c r="O176" s="703"/>
      <c r="P176" s="803">
        <v>-1244.84</v>
      </c>
      <c r="Q176" s="703">
        <f t="shared" si="28"/>
        <v>5780.162</v>
      </c>
      <c r="R176" s="794" t="s">
        <v>114</v>
      </c>
      <c r="T176" s="707"/>
      <c r="U176" s="709"/>
    </row>
    <row r="177" ht="14.25" customHeight="1">
      <c r="B177" s="519"/>
      <c r="C177" s="66"/>
      <c r="D177" s="66"/>
      <c r="E177" s="67"/>
      <c r="F177" s="67"/>
      <c r="G177" s="699"/>
      <c r="H177" s="519"/>
      <c r="I177" s="67"/>
      <c r="J177" s="67"/>
      <c r="K177" s="186">
        <f>E177-J177-L177-M177-N177-I177+G177</f>
        <v>0</v>
      </c>
      <c r="L177" s="67"/>
      <c r="M177" s="67"/>
      <c r="N177" s="703"/>
      <c r="O177" s="703"/>
      <c r="P177" s="803">
        <v>-2309.07</v>
      </c>
      <c r="Q177" s="703">
        <f t="shared" si="28"/>
        <v>3471.092</v>
      </c>
      <c r="R177" s="703" t="s">
        <v>55</v>
      </c>
      <c r="U177" s="771"/>
    </row>
    <row r="178" ht="14.25" customHeight="1">
      <c r="B178" s="805" t="s">
        <v>154</v>
      </c>
      <c r="C178" s="772" t="s">
        <v>80</v>
      </c>
      <c r="D178" s="773">
        <f t="shared" ref="D178:P178" si="30">sum(D153:D177)</f>
        <v>17</v>
      </c>
      <c r="E178" s="774">
        <f t="shared" si="30"/>
        <v>34679.65</v>
      </c>
      <c r="F178" s="774">
        <f t="shared" si="30"/>
        <v>400</v>
      </c>
      <c r="G178" s="774">
        <f t="shared" si="30"/>
        <v>1050</v>
      </c>
      <c r="H178" s="774">
        <f t="shared" si="30"/>
        <v>0</v>
      </c>
      <c r="I178" s="774">
        <f t="shared" si="30"/>
        <v>0</v>
      </c>
      <c r="J178" s="774">
        <f t="shared" si="30"/>
        <v>14525</v>
      </c>
      <c r="K178" s="774">
        <f t="shared" si="30"/>
        <v>0</v>
      </c>
      <c r="L178" s="774">
        <f t="shared" si="30"/>
        <v>1879.65</v>
      </c>
      <c r="M178" s="774">
        <f t="shared" si="30"/>
        <v>3400</v>
      </c>
      <c r="N178" s="774">
        <f t="shared" si="30"/>
        <v>15925</v>
      </c>
      <c r="O178" s="774">
        <f t="shared" si="30"/>
        <v>-8400</v>
      </c>
      <c r="P178" s="774">
        <f t="shared" si="30"/>
        <v>-4053.91</v>
      </c>
      <c r="Q178" s="774">
        <f>Q177</f>
        <v>3471.092</v>
      </c>
      <c r="R178" s="774"/>
      <c r="U178" s="771"/>
    </row>
    <row r="179" ht="14.25" customHeight="1">
      <c r="A179" s="423"/>
      <c r="B179" s="627" t="s">
        <v>172</v>
      </c>
      <c r="C179" s="585">
        <v>45693.0</v>
      </c>
      <c r="D179" s="566">
        <v>3.0</v>
      </c>
      <c r="E179" s="886">
        <v>4500.0</v>
      </c>
      <c r="F179" s="619"/>
      <c r="G179" s="587"/>
      <c r="H179" s="584"/>
      <c r="I179" s="619"/>
      <c r="J179" s="886">
        <v>2000.0</v>
      </c>
      <c r="K179" s="431">
        <f t="shared" ref="K179:K191" si="31">E179-J179-L179-M179-N179-I179+G179</f>
        <v>0</v>
      </c>
      <c r="L179" s="619"/>
      <c r="M179" s="887"/>
      <c r="N179" s="888">
        <v>2500.0</v>
      </c>
      <c r="O179" s="889">
        <v>-700.0</v>
      </c>
      <c r="P179" s="890"/>
      <c r="Q179" s="889">
        <f t="shared" ref="Q179:Q183" si="32">Q178+N179+O179+P179</f>
        <v>5271.092</v>
      </c>
      <c r="R179" s="890"/>
      <c r="S179" s="423"/>
      <c r="T179" s="423"/>
      <c r="U179" s="891"/>
      <c r="V179" s="423"/>
      <c r="W179" s="423"/>
      <c r="X179" s="423"/>
      <c r="Y179" s="423"/>
      <c r="Z179" s="423"/>
      <c r="AA179" s="423"/>
    </row>
    <row r="180" ht="14.25" customHeight="1">
      <c r="A180" s="423"/>
      <c r="B180" s="584"/>
      <c r="C180" s="585">
        <v>45783.0</v>
      </c>
      <c r="D180" s="566">
        <v>1.0</v>
      </c>
      <c r="E180" s="886">
        <v>2500.0</v>
      </c>
      <c r="F180" s="619"/>
      <c r="G180" s="587"/>
      <c r="H180" s="584"/>
      <c r="I180" s="619"/>
      <c r="J180" s="886">
        <v>1000.0</v>
      </c>
      <c r="K180" s="431">
        <f t="shared" si="31"/>
        <v>0</v>
      </c>
      <c r="L180" s="619"/>
      <c r="M180" s="887"/>
      <c r="N180" s="888">
        <v>1500.0</v>
      </c>
      <c r="O180" s="889">
        <v>-700.0</v>
      </c>
      <c r="P180" s="890"/>
      <c r="Q180" s="889">
        <f t="shared" si="32"/>
        <v>6071.092</v>
      </c>
      <c r="R180" s="888"/>
      <c r="S180" s="423"/>
      <c r="T180" s="423"/>
      <c r="U180" s="891"/>
      <c r="V180" s="423"/>
      <c r="W180" s="423"/>
      <c r="X180" s="423"/>
      <c r="Y180" s="423"/>
      <c r="Z180" s="423"/>
      <c r="AA180" s="423"/>
    </row>
    <row r="181" ht="14.25" hidden="1" customHeight="1">
      <c r="A181" s="423"/>
      <c r="B181" s="597"/>
      <c r="C181" s="598">
        <v>45817.0</v>
      </c>
      <c r="D181" s="599"/>
      <c r="E181" s="892"/>
      <c r="F181" s="892"/>
      <c r="G181" s="600"/>
      <c r="H181" s="597"/>
      <c r="I181" s="892"/>
      <c r="J181" s="892"/>
      <c r="K181" s="447">
        <f t="shared" si="31"/>
        <v>0</v>
      </c>
      <c r="L181" s="892"/>
      <c r="M181" s="892"/>
      <c r="N181" s="892"/>
      <c r="O181" s="892"/>
      <c r="P181" s="892"/>
      <c r="Q181" s="449">
        <f t="shared" si="32"/>
        <v>6071.092</v>
      </c>
      <c r="R181" s="892"/>
      <c r="S181" s="423"/>
      <c r="T181" s="423"/>
      <c r="U181" s="891"/>
      <c r="V181" s="423"/>
      <c r="W181" s="423"/>
      <c r="X181" s="423"/>
      <c r="Y181" s="423"/>
      <c r="Z181" s="423"/>
      <c r="AA181" s="423"/>
    </row>
    <row r="182" ht="14.25" customHeight="1">
      <c r="A182" s="423"/>
      <c r="B182" s="584"/>
      <c r="C182" s="585">
        <v>45910.0</v>
      </c>
      <c r="D182" s="594">
        <v>1.0</v>
      </c>
      <c r="E182" s="887">
        <v>1800.0</v>
      </c>
      <c r="F182" s="619"/>
      <c r="G182" s="587"/>
      <c r="H182" s="584"/>
      <c r="I182" s="619"/>
      <c r="J182" s="886">
        <v>800.0</v>
      </c>
      <c r="K182" s="431">
        <f t="shared" si="31"/>
        <v>0</v>
      </c>
      <c r="L182" s="619"/>
      <c r="M182" s="893">
        <v>1000.0</v>
      </c>
      <c r="N182" s="889"/>
      <c r="O182" s="889">
        <v>-700.0</v>
      </c>
      <c r="P182" s="890"/>
      <c r="Q182" s="889">
        <f t="shared" si="32"/>
        <v>5371.092</v>
      </c>
      <c r="R182" s="890"/>
      <c r="S182" s="423"/>
      <c r="T182" s="423"/>
      <c r="U182" s="891"/>
      <c r="V182" s="423"/>
      <c r="W182" s="423"/>
      <c r="X182" s="423"/>
      <c r="Y182" s="423"/>
      <c r="Z182" s="423"/>
      <c r="AA182" s="423"/>
    </row>
    <row r="183" ht="14.25" hidden="1" customHeight="1">
      <c r="A183" s="423"/>
      <c r="B183" s="597"/>
      <c r="C183" s="598">
        <v>45942.0</v>
      </c>
      <c r="D183" s="599"/>
      <c r="E183" s="892"/>
      <c r="F183" s="892"/>
      <c r="G183" s="600"/>
      <c r="H183" s="597"/>
      <c r="I183" s="892"/>
      <c r="J183" s="892"/>
      <c r="K183" s="447">
        <f t="shared" si="31"/>
        <v>0</v>
      </c>
      <c r="L183" s="892"/>
      <c r="M183" s="892"/>
      <c r="N183" s="892"/>
      <c r="O183" s="892"/>
      <c r="P183" s="892"/>
      <c r="Q183" s="449">
        <f t="shared" si="32"/>
        <v>5371.092</v>
      </c>
      <c r="R183" s="892"/>
      <c r="S183" s="423"/>
      <c r="T183" s="423"/>
      <c r="U183" s="891"/>
      <c r="V183" s="423"/>
      <c r="W183" s="423"/>
      <c r="X183" s="423"/>
      <c r="Y183" s="423"/>
      <c r="Z183" s="423"/>
      <c r="AA183" s="423"/>
    </row>
    <row r="184" ht="14.25" customHeight="1">
      <c r="A184" s="423"/>
      <c r="B184" s="584"/>
      <c r="C184" s="585">
        <v>46004.0</v>
      </c>
      <c r="D184" s="566">
        <v>1.0</v>
      </c>
      <c r="E184" s="886">
        <v>2500.0</v>
      </c>
      <c r="F184" s="619"/>
      <c r="G184" s="587"/>
      <c r="H184" s="584"/>
      <c r="I184" s="619"/>
      <c r="J184" s="893">
        <v>1000.0</v>
      </c>
      <c r="K184" s="431">
        <f t="shared" si="31"/>
        <v>0</v>
      </c>
      <c r="L184" s="887"/>
      <c r="M184" s="893">
        <v>1500.0</v>
      </c>
      <c r="N184" s="888"/>
      <c r="O184" s="894">
        <v>-700.0</v>
      </c>
      <c r="P184" s="890"/>
      <c r="Q184" s="889">
        <f>Q185+N184+O184+P184</f>
        <v>4671.092</v>
      </c>
      <c r="R184" s="890"/>
      <c r="S184" s="423"/>
      <c r="T184" s="423"/>
      <c r="U184" s="891"/>
      <c r="V184" s="423"/>
      <c r="W184" s="423"/>
      <c r="X184" s="423"/>
      <c r="Y184" s="423"/>
      <c r="Z184" s="423"/>
      <c r="AA184" s="423"/>
    </row>
    <row r="185" ht="14.25" hidden="1" customHeight="1">
      <c r="A185" s="423"/>
      <c r="B185" s="597"/>
      <c r="C185" s="613" t="s">
        <v>246</v>
      </c>
      <c r="D185" s="599"/>
      <c r="E185" s="892"/>
      <c r="F185" s="892"/>
      <c r="G185" s="600"/>
      <c r="H185" s="597"/>
      <c r="I185" s="892"/>
      <c r="J185" s="892"/>
      <c r="K185" s="447">
        <f t="shared" si="31"/>
        <v>0</v>
      </c>
      <c r="L185" s="892"/>
      <c r="M185" s="892"/>
      <c r="N185" s="892"/>
      <c r="O185" s="892"/>
      <c r="P185" s="892"/>
      <c r="Q185" s="449">
        <f>Q182+N183+O183+P183</f>
        <v>5371.092</v>
      </c>
      <c r="R185" s="892"/>
      <c r="S185" s="423"/>
      <c r="T185" s="423"/>
      <c r="U185" s="891"/>
      <c r="V185" s="423"/>
      <c r="W185" s="423"/>
      <c r="X185" s="423"/>
      <c r="Y185" s="423"/>
      <c r="Z185" s="423"/>
      <c r="AA185" s="423"/>
    </row>
    <row r="186" ht="14.25" customHeight="1">
      <c r="A186" s="423"/>
      <c r="B186" s="584"/>
      <c r="C186" s="566" t="s">
        <v>31</v>
      </c>
      <c r="D186" s="566">
        <v>1.0</v>
      </c>
      <c r="E186" s="886">
        <v>1950.0</v>
      </c>
      <c r="F186" s="619"/>
      <c r="G186" s="587"/>
      <c r="H186" s="584"/>
      <c r="I186" s="619"/>
      <c r="J186" s="886">
        <v>500.0</v>
      </c>
      <c r="K186" s="431">
        <f t="shared" si="31"/>
        <v>0</v>
      </c>
      <c r="L186" s="619"/>
      <c r="M186" s="893">
        <v>1450.0</v>
      </c>
      <c r="N186" s="889"/>
      <c r="O186" s="894">
        <v>-700.0</v>
      </c>
      <c r="P186" s="890"/>
      <c r="Q186" s="889">
        <f t="shared" ref="Q186:Q198" si="33">Q185+N186+O186+P186</f>
        <v>4671.092</v>
      </c>
      <c r="R186" s="890"/>
      <c r="S186" s="423"/>
      <c r="T186" s="423"/>
      <c r="U186" s="891"/>
      <c r="V186" s="423"/>
      <c r="W186" s="423"/>
      <c r="X186" s="423"/>
      <c r="Y186" s="423"/>
      <c r="Z186" s="423"/>
      <c r="AA186" s="423"/>
    </row>
    <row r="187" ht="14.25" hidden="1" customHeight="1">
      <c r="A187" s="423"/>
      <c r="B187" s="597"/>
      <c r="C187" s="613" t="s">
        <v>32</v>
      </c>
      <c r="D187" s="895"/>
      <c r="E187" s="449"/>
      <c r="F187" s="892"/>
      <c r="G187" s="600"/>
      <c r="H187" s="597"/>
      <c r="I187" s="892"/>
      <c r="J187" s="449"/>
      <c r="K187" s="447">
        <f t="shared" si="31"/>
        <v>0</v>
      </c>
      <c r="L187" s="892"/>
      <c r="M187" s="449"/>
      <c r="N187" s="892"/>
      <c r="O187" s="449"/>
      <c r="P187" s="892"/>
      <c r="Q187" s="449">
        <f t="shared" si="33"/>
        <v>4671.092</v>
      </c>
      <c r="R187" s="892"/>
      <c r="S187" s="423"/>
      <c r="T187" s="423"/>
      <c r="U187" s="891"/>
      <c r="V187" s="423"/>
      <c r="W187" s="423"/>
      <c r="X187" s="423"/>
      <c r="Y187" s="423"/>
      <c r="Z187" s="423"/>
      <c r="AA187" s="423"/>
    </row>
    <row r="188" ht="14.25" customHeight="1">
      <c r="A188" s="423"/>
      <c r="B188" s="584"/>
      <c r="C188" s="566" t="s">
        <v>33</v>
      </c>
      <c r="D188" s="566">
        <v>1.0</v>
      </c>
      <c r="E188" s="886">
        <v>2000.0</v>
      </c>
      <c r="F188" s="619"/>
      <c r="G188" s="587"/>
      <c r="H188" s="584"/>
      <c r="I188" s="619"/>
      <c r="J188" s="886">
        <v>1000.0</v>
      </c>
      <c r="K188" s="431">
        <f t="shared" si="31"/>
        <v>0</v>
      </c>
      <c r="L188" s="619"/>
      <c r="M188" s="619"/>
      <c r="N188" s="888">
        <v>1000.0</v>
      </c>
      <c r="O188" s="888">
        <v>-700.0</v>
      </c>
      <c r="P188" s="890"/>
      <c r="Q188" s="889">
        <f t="shared" si="33"/>
        <v>4971.092</v>
      </c>
      <c r="R188" s="890"/>
      <c r="S188" s="423"/>
      <c r="T188" s="423"/>
      <c r="U188" s="891"/>
      <c r="V188" s="423"/>
      <c r="W188" s="423"/>
      <c r="X188" s="423"/>
      <c r="Y188" s="423"/>
      <c r="Z188" s="423"/>
      <c r="AA188" s="423"/>
    </row>
    <row r="189" ht="14.25" customHeight="1">
      <c r="A189" s="423"/>
      <c r="B189" s="584"/>
      <c r="C189" s="566" t="s">
        <v>144</v>
      </c>
      <c r="D189" s="566">
        <v>4.0</v>
      </c>
      <c r="E189" s="886">
        <v>6000.0</v>
      </c>
      <c r="F189" s="619"/>
      <c r="G189" s="614"/>
      <c r="H189" s="584"/>
      <c r="I189" s="619"/>
      <c r="J189" s="886">
        <v>2000.0</v>
      </c>
      <c r="K189" s="431">
        <f t="shared" si="31"/>
        <v>0</v>
      </c>
      <c r="L189" s="619"/>
      <c r="M189" s="893">
        <v>4000.0</v>
      </c>
      <c r="N189" s="894"/>
      <c r="O189" s="894">
        <v>-700.0</v>
      </c>
      <c r="P189" s="890"/>
      <c r="Q189" s="889">
        <f t="shared" si="33"/>
        <v>4271.092</v>
      </c>
      <c r="R189" s="890"/>
      <c r="S189" s="423"/>
      <c r="T189" s="423"/>
      <c r="U189" s="891"/>
      <c r="V189" s="423"/>
      <c r="W189" s="423"/>
      <c r="X189" s="423"/>
      <c r="Y189" s="423"/>
      <c r="Z189" s="423"/>
      <c r="AA189" s="423"/>
    </row>
    <row r="190" ht="14.25" hidden="1" customHeight="1">
      <c r="A190" s="423"/>
      <c r="B190" s="597"/>
      <c r="C190" s="613" t="s">
        <v>494</v>
      </c>
      <c r="D190" s="895"/>
      <c r="E190" s="449"/>
      <c r="F190" s="892"/>
      <c r="G190" s="600"/>
      <c r="H190" s="597"/>
      <c r="I190" s="892"/>
      <c r="J190" s="449"/>
      <c r="K190" s="447">
        <f t="shared" si="31"/>
        <v>0</v>
      </c>
      <c r="L190" s="892"/>
      <c r="M190" s="449"/>
      <c r="N190" s="892"/>
      <c r="O190" s="449"/>
      <c r="P190" s="892"/>
      <c r="Q190" s="449">
        <f t="shared" si="33"/>
        <v>4271.092</v>
      </c>
      <c r="R190" s="892"/>
      <c r="S190" s="423"/>
      <c r="T190" s="423"/>
      <c r="U190" s="891"/>
      <c r="V190" s="423"/>
      <c r="W190" s="423"/>
      <c r="X190" s="423"/>
      <c r="Y190" s="423"/>
      <c r="Z190" s="423"/>
      <c r="AA190" s="423"/>
    </row>
    <row r="191" ht="14.25" customHeight="1">
      <c r="A191" s="423"/>
      <c r="B191" s="584"/>
      <c r="C191" s="566" t="s">
        <v>47</v>
      </c>
      <c r="D191" s="566">
        <v>1.0</v>
      </c>
      <c r="E191" s="886">
        <v>2500.0</v>
      </c>
      <c r="F191" s="893"/>
      <c r="G191" s="586">
        <v>350.0</v>
      </c>
      <c r="H191" s="584"/>
      <c r="I191" s="619"/>
      <c r="J191" s="886">
        <v>1175.0</v>
      </c>
      <c r="K191" s="431">
        <f t="shared" si="31"/>
        <v>0</v>
      </c>
      <c r="L191" s="619"/>
      <c r="M191" s="887"/>
      <c r="N191" s="888">
        <v>1675.0</v>
      </c>
      <c r="O191" s="894">
        <v>-700.0</v>
      </c>
      <c r="P191" s="890"/>
      <c r="Q191" s="889">
        <f t="shared" si="33"/>
        <v>5246.092</v>
      </c>
      <c r="R191" s="890"/>
      <c r="S191" s="423"/>
      <c r="T191" s="423"/>
      <c r="U191" s="891"/>
      <c r="V191" s="423"/>
      <c r="W191" s="423"/>
      <c r="X191" s="423"/>
      <c r="Y191" s="423"/>
      <c r="Z191" s="423"/>
      <c r="AA191" s="423"/>
    </row>
    <row r="192" ht="14.25" hidden="1" customHeight="1">
      <c r="A192" s="423"/>
      <c r="B192" s="597"/>
      <c r="C192" s="613" t="s">
        <v>48</v>
      </c>
      <c r="D192" s="609"/>
      <c r="E192" s="892"/>
      <c r="F192" s="892"/>
      <c r="G192" s="600"/>
      <c r="H192" s="597"/>
      <c r="I192" s="892"/>
      <c r="J192" s="892"/>
      <c r="K192" s="896"/>
      <c r="L192" s="892"/>
      <c r="M192" s="892"/>
      <c r="N192" s="892"/>
      <c r="O192" s="892"/>
      <c r="P192" s="892"/>
      <c r="Q192" s="449">
        <f t="shared" si="33"/>
        <v>5246.092</v>
      </c>
      <c r="R192" s="892"/>
      <c r="S192" s="423"/>
      <c r="T192" s="423"/>
      <c r="U192" s="891"/>
      <c r="V192" s="423"/>
      <c r="W192" s="423"/>
      <c r="X192" s="423"/>
      <c r="Y192" s="423"/>
      <c r="Z192" s="423"/>
      <c r="AA192" s="423"/>
    </row>
    <row r="193" ht="14.25" customHeight="1">
      <c r="A193" s="423"/>
      <c r="B193" s="584"/>
      <c r="C193" s="566" t="s">
        <v>137</v>
      </c>
      <c r="D193" s="566">
        <v>2.0</v>
      </c>
      <c r="E193" s="886">
        <v>3000.0</v>
      </c>
      <c r="F193" s="619"/>
      <c r="G193" s="587"/>
      <c r="H193" s="584"/>
      <c r="I193" s="619"/>
      <c r="J193" s="886">
        <v>1000.0</v>
      </c>
      <c r="K193" s="431">
        <f t="shared" ref="K193:K194" si="34">E193-J193-L193-M193-N193-I193+G193</f>
        <v>0</v>
      </c>
      <c r="L193" s="619"/>
      <c r="M193" s="619"/>
      <c r="N193" s="894">
        <v>2000.0</v>
      </c>
      <c r="O193" s="894">
        <v>-700.0</v>
      </c>
      <c r="P193" s="890"/>
      <c r="Q193" s="889">
        <f t="shared" si="33"/>
        <v>6546.092</v>
      </c>
      <c r="R193" s="888" t="s">
        <v>125</v>
      </c>
      <c r="S193" s="423"/>
      <c r="T193" s="423"/>
      <c r="U193" s="891"/>
      <c r="V193" s="423"/>
      <c r="W193" s="423"/>
      <c r="X193" s="423"/>
      <c r="Y193" s="423"/>
      <c r="Z193" s="423"/>
      <c r="AA193" s="423"/>
    </row>
    <row r="194" ht="14.25" hidden="1" customHeight="1">
      <c r="A194" s="423"/>
      <c r="B194" s="597"/>
      <c r="C194" s="613" t="s">
        <v>52</v>
      </c>
      <c r="D194" s="895"/>
      <c r="E194" s="449"/>
      <c r="F194" s="892"/>
      <c r="G194" s="600"/>
      <c r="H194" s="597"/>
      <c r="I194" s="892"/>
      <c r="J194" s="449"/>
      <c r="K194" s="447">
        <f t="shared" si="34"/>
        <v>0</v>
      </c>
      <c r="L194" s="892"/>
      <c r="M194" s="892"/>
      <c r="N194" s="449"/>
      <c r="O194" s="449"/>
      <c r="P194" s="892"/>
      <c r="Q194" s="449">
        <f t="shared" si="33"/>
        <v>6546.092</v>
      </c>
      <c r="R194" s="892"/>
      <c r="S194" s="423"/>
      <c r="T194" s="423"/>
      <c r="U194" s="891"/>
      <c r="V194" s="423"/>
      <c r="W194" s="423"/>
      <c r="X194" s="423"/>
      <c r="Y194" s="423"/>
      <c r="Z194" s="423"/>
      <c r="AA194" s="423"/>
    </row>
    <row r="195" ht="14.25" customHeight="1">
      <c r="A195" s="423"/>
      <c r="B195" s="584"/>
      <c r="C195" s="584"/>
      <c r="D195" s="616"/>
      <c r="E195" s="619"/>
      <c r="F195" s="619"/>
      <c r="G195" s="587"/>
      <c r="H195" s="584"/>
      <c r="I195" s="619"/>
      <c r="J195" s="619"/>
      <c r="K195" s="898"/>
      <c r="L195" s="619"/>
      <c r="M195" s="619"/>
      <c r="N195" s="890"/>
      <c r="O195" s="890"/>
      <c r="P195" s="894">
        <v>-1716.07</v>
      </c>
      <c r="Q195" s="889">
        <f t="shared" si="33"/>
        <v>4830.022</v>
      </c>
      <c r="R195" s="890" t="s">
        <v>435</v>
      </c>
      <c r="S195" s="423"/>
      <c r="T195" s="423"/>
      <c r="U195" s="891"/>
      <c r="V195" s="423"/>
      <c r="W195" s="423"/>
      <c r="X195" s="423"/>
      <c r="Y195" s="423"/>
      <c r="Z195" s="423"/>
      <c r="AA195" s="423"/>
    </row>
    <row r="196" ht="14.25" customHeight="1">
      <c r="A196" s="423"/>
      <c r="B196" s="584"/>
      <c r="C196" s="584"/>
      <c r="D196" s="616"/>
      <c r="E196" s="619"/>
      <c r="F196" s="619"/>
      <c r="G196" s="587"/>
      <c r="H196" s="584"/>
      <c r="I196" s="619"/>
      <c r="J196" s="619"/>
      <c r="K196" s="431">
        <f>E196-J196-L196-M196-N196-I196+G196</f>
        <v>0</v>
      </c>
      <c r="L196" s="619"/>
      <c r="M196" s="619"/>
      <c r="N196" s="890"/>
      <c r="O196" s="890"/>
      <c r="P196" s="894">
        <v>-2260.12</v>
      </c>
      <c r="Q196" s="889">
        <f t="shared" si="33"/>
        <v>2569.902</v>
      </c>
      <c r="R196" s="890" t="s">
        <v>93</v>
      </c>
      <c r="S196" s="423"/>
      <c r="T196" s="423"/>
      <c r="U196" s="891"/>
      <c r="V196" s="423"/>
      <c r="W196" s="423"/>
      <c r="X196" s="423"/>
      <c r="Y196" s="423"/>
      <c r="Z196" s="423"/>
      <c r="AA196" s="423"/>
    </row>
    <row r="197" ht="14.25" customHeight="1">
      <c r="A197" s="423"/>
      <c r="B197" s="584"/>
      <c r="C197" s="584"/>
      <c r="D197" s="616"/>
      <c r="E197" s="619"/>
      <c r="F197" s="619"/>
      <c r="G197" s="587"/>
      <c r="H197" s="584"/>
      <c r="I197" s="619"/>
      <c r="J197" s="619"/>
      <c r="K197" s="431"/>
      <c r="L197" s="619"/>
      <c r="M197" s="619"/>
      <c r="N197" s="890"/>
      <c r="O197" s="890"/>
      <c r="P197" s="894">
        <v>-1500.0</v>
      </c>
      <c r="Q197" s="889">
        <f t="shared" si="33"/>
        <v>1069.902</v>
      </c>
      <c r="R197" s="888" t="s">
        <v>240</v>
      </c>
      <c r="S197" s="423"/>
      <c r="T197" s="423"/>
      <c r="U197" s="903"/>
      <c r="V197" s="423"/>
      <c r="W197" s="423"/>
      <c r="X197" s="423"/>
      <c r="Y197" s="423"/>
      <c r="Z197" s="423"/>
      <c r="AA197" s="423"/>
    </row>
    <row r="198" ht="14.25" customHeight="1">
      <c r="A198" s="423"/>
      <c r="B198" s="584"/>
      <c r="C198" s="584"/>
      <c r="D198" s="616"/>
      <c r="E198" s="619"/>
      <c r="F198" s="619"/>
      <c r="G198" s="587"/>
      <c r="H198" s="584"/>
      <c r="I198" s="619"/>
      <c r="J198" s="619"/>
      <c r="K198" s="431">
        <f>E198-J198-L198-M198-N198-I198+G198</f>
        <v>0</v>
      </c>
      <c r="L198" s="619"/>
      <c r="M198" s="619"/>
      <c r="N198" s="890"/>
      <c r="O198" s="890"/>
      <c r="P198" s="889"/>
      <c r="Q198" s="889">
        <f t="shared" si="33"/>
        <v>1069.902</v>
      </c>
      <c r="R198" s="890" t="s">
        <v>55</v>
      </c>
      <c r="S198" s="423"/>
      <c r="T198" s="423"/>
      <c r="U198" s="903"/>
      <c r="V198" s="423"/>
      <c r="W198" s="423"/>
      <c r="X198" s="423"/>
      <c r="Y198" s="423"/>
      <c r="Z198" s="423"/>
      <c r="AA198" s="423"/>
    </row>
    <row r="199" ht="14.25" customHeight="1">
      <c r="A199" s="423"/>
      <c r="B199" s="904" t="s">
        <v>172</v>
      </c>
      <c r="C199" s="905" t="s">
        <v>80</v>
      </c>
      <c r="D199" s="906">
        <f t="shared" ref="D199:P199" si="35">sum(D179:D198)</f>
        <v>15</v>
      </c>
      <c r="E199" s="907">
        <f t="shared" si="35"/>
        <v>26750</v>
      </c>
      <c r="F199" s="907">
        <f t="shared" si="35"/>
        <v>0</v>
      </c>
      <c r="G199" s="907">
        <f t="shared" si="35"/>
        <v>350</v>
      </c>
      <c r="H199" s="907">
        <f t="shared" si="35"/>
        <v>0</v>
      </c>
      <c r="I199" s="907">
        <f t="shared" si="35"/>
        <v>0</v>
      </c>
      <c r="J199" s="907">
        <f t="shared" si="35"/>
        <v>10475</v>
      </c>
      <c r="K199" s="907">
        <f t="shared" si="35"/>
        <v>0</v>
      </c>
      <c r="L199" s="907">
        <f t="shared" si="35"/>
        <v>0</v>
      </c>
      <c r="M199" s="907">
        <f t="shared" si="35"/>
        <v>7950</v>
      </c>
      <c r="N199" s="907">
        <f t="shared" si="35"/>
        <v>8675</v>
      </c>
      <c r="O199" s="907">
        <f t="shared" si="35"/>
        <v>-6300</v>
      </c>
      <c r="P199" s="907">
        <f t="shared" si="35"/>
        <v>-5476.19</v>
      </c>
      <c r="Q199" s="907">
        <f>Q198</f>
        <v>1069.902</v>
      </c>
      <c r="R199" s="908"/>
      <c r="S199" s="423"/>
      <c r="T199" s="423"/>
      <c r="U199" s="903"/>
      <c r="V199" s="423"/>
      <c r="W199" s="423"/>
      <c r="X199" s="423"/>
      <c r="Y199" s="423"/>
      <c r="Z199" s="423"/>
      <c r="AA199" s="423"/>
    </row>
    <row r="200" ht="14.25" customHeight="1">
      <c r="A200" s="423"/>
      <c r="B200" s="609" t="s">
        <v>166</v>
      </c>
      <c r="C200" s="598">
        <v>45659.0</v>
      </c>
      <c r="D200" s="613"/>
      <c r="E200" s="909"/>
      <c r="F200" s="892"/>
      <c r="G200" s="600"/>
      <c r="H200" s="597"/>
      <c r="I200" s="892"/>
      <c r="J200" s="909"/>
      <c r="K200" s="447">
        <f t="shared" ref="K200:K208" si="36">E200-J200-L200-M200-N200-I200+G200</f>
        <v>0</v>
      </c>
      <c r="L200" s="892"/>
      <c r="M200" s="449"/>
      <c r="N200" s="910"/>
      <c r="O200" s="449"/>
      <c r="P200" s="892"/>
      <c r="Q200" s="449">
        <f t="shared" ref="Q200:Q217" si="37">Q199+N200+O200+P200</f>
        <v>1069.902</v>
      </c>
      <c r="R200" s="892"/>
      <c r="S200" s="423"/>
      <c r="T200" s="423"/>
      <c r="U200" s="891"/>
      <c r="V200" s="423"/>
      <c r="W200" s="423"/>
      <c r="X200" s="423"/>
      <c r="Y200" s="423"/>
      <c r="Z200" s="423"/>
      <c r="AA200" s="423"/>
    </row>
    <row r="201" ht="14.25" customHeight="1">
      <c r="A201" s="423"/>
      <c r="B201" s="584"/>
      <c r="C201" s="585">
        <v>45691.0</v>
      </c>
      <c r="D201" s="566">
        <v>1.0</v>
      </c>
      <c r="E201" s="886">
        <v>2500.0</v>
      </c>
      <c r="F201" s="619"/>
      <c r="G201" s="595">
        <v>350.0</v>
      </c>
      <c r="H201" s="584"/>
      <c r="I201" s="619"/>
      <c r="J201" s="886">
        <v>1000.0</v>
      </c>
      <c r="K201" s="431">
        <f t="shared" si="36"/>
        <v>0</v>
      </c>
      <c r="L201" s="619"/>
      <c r="M201" s="886">
        <v>1500.0</v>
      </c>
      <c r="N201" s="888">
        <v>350.0</v>
      </c>
      <c r="O201" s="894">
        <v>-700.0</v>
      </c>
      <c r="P201" s="888"/>
      <c r="Q201" s="889">
        <f t="shared" si="37"/>
        <v>719.902</v>
      </c>
      <c r="R201" s="888" t="s">
        <v>43</v>
      </c>
      <c r="S201" s="423"/>
      <c r="T201" s="423"/>
      <c r="U201" s="891"/>
      <c r="V201" s="423"/>
      <c r="W201" s="423"/>
      <c r="X201" s="423"/>
      <c r="Y201" s="423"/>
      <c r="Z201" s="423"/>
      <c r="AA201" s="423"/>
    </row>
    <row r="202" ht="14.25" customHeight="1">
      <c r="A202" s="423"/>
      <c r="B202" s="597"/>
      <c r="C202" s="598">
        <v>45725.0</v>
      </c>
      <c r="D202" s="613"/>
      <c r="E202" s="909"/>
      <c r="F202" s="892"/>
      <c r="G202" s="600"/>
      <c r="H202" s="597"/>
      <c r="I202" s="892"/>
      <c r="J202" s="909"/>
      <c r="K202" s="447">
        <f t="shared" si="36"/>
        <v>0</v>
      </c>
      <c r="L202" s="892"/>
      <c r="M202" s="449"/>
      <c r="N202" s="910"/>
      <c r="O202" s="449"/>
      <c r="P202" s="892"/>
      <c r="Q202" s="449">
        <f t="shared" si="37"/>
        <v>719.902</v>
      </c>
      <c r="R202" s="910"/>
      <c r="S202" s="423"/>
      <c r="T202" s="423"/>
      <c r="U202" s="891"/>
      <c r="V202" s="423"/>
      <c r="W202" s="423"/>
      <c r="X202" s="423"/>
      <c r="Y202" s="423"/>
      <c r="Z202" s="423"/>
      <c r="AA202" s="423"/>
    </row>
    <row r="203" ht="14.25" customHeight="1">
      <c r="A203" s="423"/>
      <c r="B203" s="584"/>
      <c r="C203" s="585">
        <v>45910.0</v>
      </c>
      <c r="D203" s="566">
        <v>1.0</v>
      </c>
      <c r="E203" s="886">
        <v>2500.0</v>
      </c>
      <c r="F203" s="619"/>
      <c r="G203" s="587"/>
      <c r="H203" s="584"/>
      <c r="I203" s="619"/>
      <c r="J203" s="886">
        <v>1000.0</v>
      </c>
      <c r="K203" s="431">
        <f t="shared" si="36"/>
        <v>-550</v>
      </c>
      <c r="L203" s="619"/>
      <c r="M203" s="887"/>
      <c r="N203" s="888">
        <v>2050.0</v>
      </c>
      <c r="O203" s="894">
        <v>-700.0</v>
      </c>
      <c r="P203" s="890"/>
      <c r="Q203" s="889">
        <f t="shared" si="37"/>
        <v>2069.902</v>
      </c>
      <c r="R203" s="888"/>
      <c r="S203" s="423"/>
      <c r="T203" s="423"/>
      <c r="U203" s="891"/>
      <c r="V203" s="423"/>
      <c r="W203" s="423"/>
      <c r="X203" s="423"/>
      <c r="Y203" s="423"/>
      <c r="Z203" s="423"/>
      <c r="AA203" s="423"/>
    </row>
    <row r="204" ht="14.25" customHeight="1">
      <c r="A204" s="423"/>
      <c r="B204" s="597"/>
      <c r="C204" s="598">
        <v>45943.0</v>
      </c>
      <c r="D204" s="613"/>
      <c r="E204" s="909"/>
      <c r="F204" s="892"/>
      <c r="G204" s="600"/>
      <c r="H204" s="597"/>
      <c r="I204" s="892"/>
      <c r="J204" s="909"/>
      <c r="K204" s="447">
        <f t="shared" si="36"/>
        <v>0</v>
      </c>
      <c r="L204" s="892"/>
      <c r="M204" s="449"/>
      <c r="N204" s="910"/>
      <c r="O204" s="449"/>
      <c r="P204" s="892"/>
      <c r="Q204" s="449">
        <f t="shared" si="37"/>
        <v>2069.902</v>
      </c>
      <c r="R204" s="910"/>
      <c r="S204" s="423"/>
      <c r="T204" s="423"/>
      <c r="U204" s="891"/>
      <c r="V204" s="423"/>
      <c r="W204" s="423"/>
      <c r="X204" s="423"/>
      <c r="Y204" s="423"/>
      <c r="Z204" s="423"/>
      <c r="AA204" s="423"/>
    </row>
    <row r="205" ht="14.25" customHeight="1">
      <c r="A205" s="423"/>
      <c r="B205" s="584"/>
      <c r="C205" s="566" t="s">
        <v>46</v>
      </c>
      <c r="D205" s="566">
        <v>1.0</v>
      </c>
      <c r="E205" s="886">
        <v>1800.0</v>
      </c>
      <c r="F205" s="619"/>
      <c r="G205" s="587"/>
      <c r="H205" s="584"/>
      <c r="I205" s="619"/>
      <c r="J205" s="886">
        <v>500.0</v>
      </c>
      <c r="K205" s="431">
        <f t="shared" si="36"/>
        <v>0</v>
      </c>
      <c r="L205" s="619"/>
      <c r="M205" s="887"/>
      <c r="N205" s="888">
        <v>1300.0</v>
      </c>
      <c r="O205" s="894">
        <v>-700.0</v>
      </c>
      <c r="P205" s="890"/>
      <c r="Q205" s="889">
        <f t="shared" si="37"/>
        <v>2669.902</v>
      </c>
      <c r="R205" s="888"/>
      <c r="S205" s="423"/>
      <c r="T205" s="423"/>
      <c r="U205" s="891"/>
      <c r="V205" s="423"/>
      <c r="W205" s="423"/>
      <c r="X205" s="423"/>
      <c r="Y205" s="423"/>
      <c r="Z205" s="423"/>
      <c r="AA205" s="423"/>
    </row>
    <row r="206" ht="14.25" customHeight="1">
      <c r="A206" s="423"/>
      <c r="B206" s="597"/>
      <c r="C206" s="613" t="s">
        <v>29</v>
      </c>
      <c r="D206" s="613"/>
      <c r="E206" s="909"/>
      <c r="F206" s="892"/>
      <c r="G206" s="600"/>
      <c r="H206" s="597"/>
      <c r="I206" s="892"/>
      <c r="J206" s="909"/>
      <c r="K206" s="447">
        <f t="shared" si="36"/>
        <v>0</v>
      </c>
      <c r="L206" s="892"/>
      <c r="M206" s="449"/>
      <c r="N206" s="910"/>
      <c r="O206" s="449"/>
      <c r="P206" s="892"/>
      <c r="Q206" s="449">
        <f t="shared" si="37"/>
        <v>2669.902</v>
      </c>
      <c r="R206" s="910"/>
      <c r="S206" s="423"/>
      <c r="T206" s="423"/>
      <c r="U206" s="891"/>
      <c r="V206" s="423"/>
      <c r="W206" s="423"/>
      <c r="X206" s="423"/>
      <c r="Y206" s="423"/>
      <c r="Z206" s="423"/>
      <c r="AA206" s="423"/>
    </row>
    <row r="207" ht="14.25" customHeight="1">
      <c r="A207" s="423"/>
      <c r="B207" s="584"/>
      <c r="C207" s="566" t="s">
        <v>30</v>
      </c>
      <c r="D207" s="566">
        <v>1.0</v>
      </c>
      <c r="E207" s="886">
        <v>2000.0</v>
      </c>
      <c r="F207" s="619"/>
      <c r="G207" s="587"/>
      <c r="H207" s="584"/>
      <c r="I207" s="619"/>
      <c r="J207" s="886">
        <v>1000.0</v>
      </c>
      <c r="K207" s="431">
        <f t="shared" si="36"/>
        <v>0</v>
      </c>
      <c r="L207" s="619"/>
      <c r="M207" s="886">
        <v>1000.0</v>
      </c>
      <c r="N207" s="888"/>
      <c r="O207" s="894">
        <v>-700.0</v>
      </c>
      <c r="P207" s="890"/>
      <c r="Q207" s="889">
        <f t="shared" si="37"/>
        <v>1969.902</v>
      </c>
      <c r="R207" s="888"/>
      <c r="S207" s="423"/>
      <c r="T207" s="423"/>
      <c r="U207" s="891"/>
      <c r="V207" s="423"/>
      <c r="W207" s="423"/>
      <c r="X207" s="423"/>
      <c r="Y207" s="423"/>
      <c r="Z207" s="423"/>
      <c r="AA207" s="423"/>
    </row>
    <row r="208" ht="14.25" customHeight="1">
      <c r="A208" s="423"/>
      <c r="B208" s="584"/>
      <c r="C208" s="566" t="s">
        <v>31</v>
      </c>
      <c r="D208" s="566">
        <v>1.0</v>
      </c>
      <c r="E208" s="886">
        <v>2500.0</v>
      </c>
      <c r="F208" s="619"/>
      <c r="G208" s="587"/>
      <c r="H208" s="584"/>
      <c r="I208" s="619"/>
      <c r="J208" s="886">
        <v>1000.0</v>
      </c>
      <c r="K208" s="431">
        <f t="shared" si="36"/>
        <v>0</v>
      </c>
      <c r="L208" s="619"/>
      <c r="M208" s="887"/>
      <c r="N208" s="888">
        <v>1500.0</v>
      </c>
      <c r="O208" s="894">
        <v>-700.0</v>
      </c>
      <c r="P208" s="890"/>
      <c r="Q208" s="889">
        <f t="shared" si="37"/>
        <v>2769.902</v>
      </c>
      <c r="R208" s="888"/>
      <c r="S208" s="423"/>
      <c r="T208" s="423"/>
      <c r="U208" s="891"/>
      <c r="V208" s="423"/>
      <c r="W208" s="423"/>
      <c r="X208" s="423"/>
      <c r="Y208" s="423"/>
      <c r="Z208" s="423"/>
      <c r="AA208" s="423"/>
    </row>
    <row r="209" ht="14.25" customHeight="1">
      <c r="A209" s="423"/>
      <c r="B209" s="584"/>
      <c r="C209" s="566" t="s">
        <v>32</v>
      </c>
      <c r="D209" s="566">
        <v>1.0</v>
      </c>
      <c r="E209" s="886">
        <v>2000.0</v>
      </c>
      <c r="F209" s="619"/>
      <c r="G209" s="595">
        <v>350.0</v>
      </c>
      <c r="H209" s="584"/>
      <c r="I209" s="619"/>
      <c r="J209" s="886">
        <v>1000.0</v>
      </c>
      <c r="K209" s="928">
        <f>E209-J209-L209-M209-N209-I209+G209-P209</f>
        <v>0</v>
      </c>
      <c r="L209" s="619"/>
      <c r="M209" s="887"/>
      <c r="N209" s="888">
        <v>1000.0</v>
      </c>
      <c r="O209" s="894">
        <v>-700.0</v>
      </c>
      <c r="P209" s="888">
        <v>350.0</v>
      </c>
      <c r="Q209" s="889">
        <f t="shared" si="37"/>
        <v>3419.902</v>
      </c>
      <c r="R209" s="888" t="s">
        <v>43</v>
      </c>
      <c r="S209" s="423"/>
      <c r="T209" s="423"/>
      <c r="U209" s="891"/>
      <c r="V209" s="423"/>
      <c r="W209" s="423"/>
      <c r="X209" s="423"/>
      <c r="Y209" s="423"/>
      <c r="Z209" s="423"/>
      <c r="AA209" s="423"/>
    </row>
    <row r="210" ht="14.25" customHeight="1">
      <c r="A210" s="423"/>
      <c r="B210" s="597"/>
      <c r="C210" s="613" t="s">
        <v>200</v>
      </c>
      <c r="D210" s="613"/>
      <c r="E210" s="909"/>
      <c r="F210" s="892"/>
      <c r="G210" s="600"/>
      <c r="H210" s="597"/>
      <c r="I210" s="892"/>
      <c r="J210" s="909"/>
      <c r="K210" s="447">
        <f t="shared" ref="K210:K214" si="38">E210-J210-L210-M210-N210-I210+G210</f>
        <v>0</v>
      </c>
      <c r="L210" s="892"/>
      <c r="M210" s="449"/>
      <c r="N210" s="910"/>
      <c r="O210" s="449"/>
      <c r="P210" s="892"/>
      <c r="Q210" s="449">
        <f t="shared" si="37"/>
        <v>3419.902</v>
      </c>
      <c r="R210" s="910"/>
      <c r="S210" s="423"/>
      <c r="T210" s="423"/>
      <c r="U210" s="891"/>
      <c r="V210" s="423"/>
      <c r="W210" s="423"/>
      <c r="X210" s="423"/>
      <c r="Y210" s="423"/>
      <c r="Z210" s="423"/>
      <c r="AA210" s="423"/>
    </row>
    <row r="211" ht="14.25" customHeight="1">
      <c r="A211" s="423"/>
      <c r="B211" s="584"/>
      <c r="C211" s="566" t="s">
        <v>78</v>
      </c>
      <c r="D211" s="566">
        <v>2.0</v>
      </c>
      <c r="E211" s="886">
        <v>3700.0</v>
      </c>
      <c r="F211" s="619"/>
      <c r="G211" s="587"/>
      <c r="H211" s="584"/>
      <c r="I211" s="619"/>
      <c r="J211" s="886">
        <v>1500.0</v>
      </c>
      <c r="K211" s="431">
        <f t="shared" si="38"/>
        <v>0</v>
      </c>
      <c r="L211" s="619"/>
      <c r="M211" s="887"/>
      <c r="N211" s="888">
        <v>2200.0</v>
      </c>
      <c r="O211" s="894">
        <v>-700.0</v>
      </c>
      <c r="P211" s="890"/>
      <c r="Q211" s="889">
        <f t="shared" si="37"/>
        <v>4919.902</v>
      </c>
      <c r="R211" s="888"/>
      <c r="S211" s="423"/>
      <c r="T211" s="423"/>
      <c r="U211" s="891"/>
      <c r="V211" s="423"/>
      <c r="W211" s="423"/>
      <c r="X211" s="423"/>
      <c r="Y211" s="423"/>
      <c r="Z211" s="423"/>
      <c r="AA211" s="423"/>
    </row>
    <row r="212" ht="14.25" customHeight="1">
      <c r="A212" s="423"/>
      <c r="B212" s="584"/>
      <c r="C212" s="566" t="s">
        <v>41</v>
      </c>
      <c r="D212" s="566">
        <v>1.0</v>
      </c>
      <c r="E212" s="886">
        <v>2500.0</v>
      </c>
      <c r="F212" s="619"/>
      <c r="G212" s="587"/>
      <c r="H212" s="584"/>
      <c r="I212" s="619"/>
      <c r="J212" s="886">
        <v>1000.0</v>
      </c>
      <c r="K212" s="431">
        <f t="shared" si="38"/>
        <v>0</v>
      </c>
      <c r="L212" s="619"/>
      <c r="M212" s="886">
        <v>1500.0</v>
      </c>
      <c r="N212" s="888"/>
      <c r="O212" s="894">
        <v>-700.0</v>
      </c>
      <c r="P212" s="890"/>
      <c r="Q212" s="889">
        <f t="shared" si="37"/>
        <v>4219.902</v>
      </c>
      <c r="R212" s="888"/>
      <c r="S212" s="423"/>
      <c r="T212" s="423"/>
      <c r="U212" s="891"/>
      <c r="V212" s="423"/>
      <c r="W212" s="423"/>
      <c r="X212" s="423"/>
      <c r="Y212" s="423"/>
      <c r="Z212" s="423"/>
      <c r="AA212" s="423"/>
    </row>
    <row r="213" ht="14.25" customHeight="1">
      <c r="A213" s="423"/>
      <c r="B213" s="584"/>
      <c r="C213" s="566" t="s">
        <v>44</v>
      </c>
      <c r="D213" s="566">
        <v>1.0</v>
      </c>
      <c r="E213" s="886">
        <v>2850.0</v>
      </c>
      <c r="F213" s="619"/>
      <c r="G213" s="587"/>
      <c r="H213" s="584"/>
      <c r="I213" s="619"/>
      <c r="J213" s="886">
        <v>1000.0</v>
      </c>
      <c r="K213" s="431">
        <f t="shared" si="38"/>
        <v>0</v>
      </c>
      <c r="L213" s="619"/>
      <c r="M213" s="887"/>
      <c r="N213" s="888">
        <v>1850.0</v>
      </c>
      <c r="O213" s="894">
        <v>-700.0</v>
      </c>
      <c r="P213" s="890"/>
      <c r="Q213" s="889">
        <f t="shared" si="37"/>
        <v>5369.902</v>
      </c>
      <c r="R213" s="888"/>
      <c r="S213" s="423"/>
      <c r="T213" s="423"/>
      <c r="U213" s="891"/>
      <c r="V213" s="423"/>
      <c r="W213" s="423"/>
      <c r="X213" s="423"/>
      <c r="Y213" s="423"/>
      <c r="Z213" s="423"/>
      <c r="AA213" s="423"/>
    </row>
    <row r="214" ht="14.25" customHeight="1">
      <c r="A214" s="423"/>
      <c r="B214" s="584"/>
      <c r="C214" s="566" t="s">
        <v>45</v>
      </c>
      <c r="D214" s="566">
        <v>1.0</v>
      </c>
      <c r="E214" s="886">
        <v>1800.0</v>
      </c>
      <c r="F214" s="619"/>
      <c r="G214" s="587"/>
      <c r="H214" s="584"/>
      <c r="I214" s="619"/>
      <c r="J214" s="886">
        <v>1000.0</v>
      </c>
      <c r="K214" s="431">
        <f t="shared" si="38"/>
        <v>0</v>
      </c>
      <c r="L214" s="619"/>
      <c r="M214" s="887"/>
      <c r="N214" s="888">
        <v>800.0</v>
      </c>
      <c r="O214" s="894">
        <v>-700.0</v>
      </c>
      <c r="P214" s="890"/>
      <c r="Q214" s="889">
        <f t="shared" si="37"/>
        <v>5469.902</v>
      </c>
      <c r="R214" s="888"/>
      <c r="S214" s="423"/>
      <c r="T214" s="423"/>
      <c r="U214" s="891"/>
      <c r="V214" s="423"/>
      <c r="W214" s="423"/>
      <c r="X214" s="423"/>
      <c r="Y214" s="423"/>
      <c r="Z214" s="423"/>
      <c r="AA214" s="423"/>
    </row>
    <row r="215" ht="14.25" customHeight="1">
      <c r="A215" s="423"/>
      <c r="B215" s="597"/>
      <c r="C215" s="613" t="s">
        <v>199</v>
      </c>
      <c r="D215" s="613"/>
      <c r="E215" s="909"/>
      <c r="F215" s="892"/>
      <c r="G215" s="600"/>
      <c r="H215" s="597"/>
      <c r="I215" s="892"/>
      <c r="J215" s="909"/>
      <c r="K215" s="447"/>
      <c r="L215" s="892"/>
      <c r="M215" s="449"/>
      <c r="N215" s="910"/>
      <c r="O215" s="449"/>
      <c r="P215" s="892"/>
      <c r="Q215" s="449">
        <f t="shared" si="37"/>
        <v>5469.902</v>
      </c>
      <c r="R215" s="910"/>
      <c r="S215" s="423"/>
      <c r="T215" s="423"/>
      <c r="U215" s="891"/>
      <c r="V215" s="423"/>
      <c r="W215" s="423"/>
      <c r="X215" s="423"/>
      <c r="Y215" s="423"/>
      <c r="Z215" s="423"/>
      <c r="AA215" s="423"/>
    </row>
    <row r="216" ht="14.25" customHeight="1">
      <c r="A216" s="423"/>
      <c r="B216" s="584"/>
      <c r="C216" s="566" t="s">
        <v>137</v>
      </c>
      <c r="D216" s="566">
        <v>2.0</v>
      </c>
      <c r="E216" s="886">
        <v>4500.0</v>
      </c>
      <c r="F216" s="619"/>
      <c r="G216" s="587"/>
      <c r="H216" s="584"/>
      <c r="I216" s="619"/>
      <c r="J216" s="886">
        <v>1500.0</v>
      </c>
      <c r="K216" s="431"/>
      <c r="L216" s="619"/>
      <c r="M216" s="886">
        <v>3000.0</v>
      </c>
      <c r="N216" s="888"/>
      <c r="O216" s="894">
        <v>-700.0</v>
      </c>
      <c r="P216" s="890"/>
      <c r="Q216" s="889">
        <f t="shared" si="37"/>
        <v>4769.902</v>
      </c>
      <c r="R216" s="888"/>
      <c r="S216" s="423"/>
      <c r="T216" s="423"/>
      <c r="U216" s="891"/>
      <c r="V216" s="423"/>
      <c r="W216" s="423"/>
      <c r="X216" s="423"/>
      <c r="Y216" s="423"/>
      <c r="Z216" s="423"/>
      <c r="AA216" s="423"/>
    </row>
    <row r="217" ht="14.25" customHeight="1">
      <c r="A217" s="423"/>
      <c r="B217" s="584"/>
      <c r="C217" s="584"/>
      <c r="D217" s="616"/>
      <c r="E217" s="619"/>
      <c r="F217" s="619"/>
      <c r="G217" s="587"/>
      <c r="H217" s="584"/>
      <c r="I217" s="619"/>
      <c r="J217" s="619"/>
      <c r="K217" s="898"/>
      <c r="L217" s="619"/>
      <c r="M217" s="619"/>
      <c r="N217" s="890"/>
      <c r="O217" s="890"/>
      <c r="P217" s="894">
        <v>-1172.28</v>
      </c>
      <c r="Q217" s="889">
        <f t="shared" si="37"/>
        <v>3597.622</v>
      </c>
      <c r="R217" s="888" t="s">
        <v>114</v>
      </c>
      <c r="S217" s="423"/>
      <c r="T217" s="423"/>
      <c r="U217" s="891"/>
      <c r="V217" s="423"/>
      <c r="W217" s="423"/>
      <c r="X217" s="423"/>
      <c r="Y217" s="423"/>
      <c r="Z217" s="423"/>
      <c r="AA217" s="423"/>
    </row>
    <row r="218" ht="14.25" customHeight="1">
      <c r="A218" s="423"/>
      <c r="B218" s="584"/>
      <c r="C218" s="584"/>
      <c r="D218" s="616"/>
      <c r="E218" s="619"/>
      <c r="F218" s="619"/>
      <c r="G218" s="587"/>
      <c r="H218" s="584"/>
      <c r="I218" s="619"/>
      <c r="J218" s="619"/>
      <c r="K218" s="431"/>
      <c r="L218" s="619"/>
      <c r="M218" s="619"/>
      <c r="N218" s="890"/>
      <c r="O218" s="890"/>
      <c r="P218" s="894">
        <v>-1458.21</v>
      </c>
      <c r="Q218" s="889">
        <f t="shared" ref="Q218:Q219" si="39">Q216+N218+O218+P218</f>
        <v>3311.692</v>
      </c>
      <c r="R218" s="890" t="s">
        <v>55</v>
      </c>
      <c r="S218" s="423"/>
      <c r="T218" s="423"/>
      <c r="U218" s="903"/>
      <c r="V218" s="423"/>
      <c r="W218" s="423"/>
      <c r="X218" s="423"/>
      <c r="Y218" s="423"/>
      <c r="Z218" s="423"/>
      <c r="AA218" s="423"/>
    </row>
    <row r="219" ht="14.25" customHeight="1">
      <c r="A219" s="423"/>
      <c r="B219" s="584"/>
      <c r="C219" s="584"/>
      <c r="D219" s="616"/>
      <c r="E219" s="619"/>
      <c r="F219" s="619"/>
      <c r="G219" s="587"/>
      <c r="H219" s="584"/>
      <c r="I219" s="619"/>
      <c r="J219" s="619"/>
      <c r="K219" s="431">
        <f>E219-J219-L219-M219-N219-I219+G219</f>
        <v>0</v>
      </c>
      <c r="L219" s="619"/>
      <c r="M219" s="619"/>
      <c r="N219" s="890"/>
      <c r="O219" s="890"/>
      <c r="P219" s="894">
        <v>-3597.62</v>
      </c>
      <c r="Q219" s="889">
        <f t="shared" si="39"/>
        <v>0.001999999999</v>
      </c>
      <c r="R219" s="888" t="s">
        <v>63</v>
      </c>
      <c r="S219" s="423"/>
      <c r="T219" s="423"/>
      <c r="U219" s="903"/>
      <c r="V219" s="423"/>
      <c r="W219" s="423"/>
      <c r="X219" s="423"/>
      <c r="Y219" s="423"/>
      <c r="Z219" s="423"/>
      <c r="AA219" s="423"/>
    </row>
    <row r="220" ht="14.25" customHeight="1">
      <c r="A220" s="423"/>
      <c r="B220" s="904" t="s">
        <v>166</v>
      </c>
      <c r="C220" s="905" t="s">
        <v>80</v>
      </c>
      <c r="D220" s="906">
        <f t="shared" ref="D220:P220" si="40">sum(D200:D219)</f>
        <v>13</v>
      </c>
      <c r="E220" s="907">
        <f t="shared" si="40"/>
        <v>28650</v>
      </c>
      <c r="F220" s="907">
        <f t="shared" si="40"/>
        <v>0</v>
      </c>
      <c r="G220" s="907">
        <f t="shared" si="40"/>
        <v>700</v>
      </c>
      <c r="H220" s="907">
        <f t="shared" si="40"/>
        <v>0</v>
      </c>
      <c r="I220" s="907">
        <f t="shared" si="40"/>
        <v>0</v>
      </c>
      <c r="J220" s="907">
        <f t="shared" si="40"/>
        <v>11500</v>
      </c>
      <c r="K220" s="907">
        <f t="shared" si="40"/>
        <v>-550</v>
      </c>
      <c r="L220" s="907">
        <f t="shared" si="40"/>
        <v>0</v>
      </c>
      <c r="M220" s="907">
        <f t="shared" si="40"/>
        <v>7000</v>
      </c>
      <c r="N220" s="907">
        <f t="shared" si="40"/>
        <v>11050</v>
      </c>
      <c r="O220" s="907">
        <f t="shared" si="40"/>
        <v>-7700</v>
      </c>
      <c r="P220" s="907">
        <f t="shared" si="40"/>
        <v>-5878.11</v>
      </c>
      <c r="Q220" s="907">
        <f>Q219</f>
        <v>0.001999999999</v>
      </c>
      <c r="R220" s="908"/>
      <c r="S220" s="423"/>
      <c r="T220" s="423"/>
      <c r="U220" s="903"/>
      <c r="V220" s="423"/>
      <c r="W220" s="423"/>
      <c r="X220" s="423"/>
      <c r="Y220" s="423"/>
      <c r="Z220" s="423"/>
      <c r="AA220" s="423"/>
    </row>
    <row r="221" ht="14.25" customHeight="1">
      <c r="A221" s="423"/>
      <c r="B221" s="584" t="s">
        <v>179</v>
      </c>
      <c r="C221" s="585">
        <v>45660.0</v>
      </c>
      <c r="D221" s="566">
        <v>2.0</v>
      </c>
      <c r="E221" s="886">
        <v>3800.0</v>
      </c>
      <c r="F221" s="619"/>
      <c r="G221" s="595"/>
      <c r="H221" s="584"/>
      <c r="I221" s="619"/>
      <c r="J221" s="886">
        <v>1500.0</v>
      </c>
      <c r="K221" s="431">
        <f>E221-J221-L221-M221-N221-I221+G221</f>
        <v>0</v>
      </c>
      <c r="L221" s="619"/>
      <c r="M221" s="886">
        <v>2300.0</v>
      </c>
      <c r="N221" s="888"/>
      <c r="O221" s="894">
        <v>-700.0</v>
      </c>
      <c r="P221" s="888"/>
      <c r="Q221" s="889">
        <f t="shared" ref="Q221:Q231" si="41">Q220+N221+O221+P221</f>
        <v>-699.998</v>
      </c>
      <c r="R221" s="888"/>
      <c r="S221" s="423"/>
      <c r="T221" s="423"/>
      <c r="U221" s="891"/>
      <c r="V221" s="423"/>
      <c r="W221" s="423"/>
      <c r="X221" s="423"/>
      <c r="Y221" s="423"/>
      <c r="Z221" s="423"/>
      <c r="AA221" s="423"/>
    </row>
    <row r="222" ht="14.25" customHeight="1">
      <c r="A222" s="423"/>
      <c r="B222" s="597"/>
      <c r="C222" s="598">
        <v>45722.0</v>
      </c>
      <c r="D222" s="613"/>
      <c r="E222" s="909"/>
      <c r="F222" s="892"/>
      <c r="G222" s="600"/>
      <c r="H222" s="597"/>
      <c r="I222" s="892"/>
      <c r="J222" s="909"/>
      <c r="K222" s="447"/>
      <c r="L222" s="892"/>
      <c r="M222" s="449"/>
      <c r="N222" s="910"/>
      <c r="O222" s="449"/>
      <c r="P222" s="892"/>
      <c r="Q222" s="449">
        <f t="shared" si="41"/>
        <v>-699.998</v>
      </c>
      <c r="R222" s="910"/>
      <c r="S222" s="423"/>
      <c r="T222" s="423"/>
      <c r="U222" s="891"/>
      <c r="V222" s="423"/>
      <c r="W222" s="423"/>
      <c r="X222" s="423"/>
      <c r="Y222" s="423"/>
      <c r="Z222" s="423"/>
      <c r="AA222" s="423"/>
    </row>
    <row r="223" ht="14.25" customHeight="1">
      <c r="A223" s="423"/>
      <c r="B223" s="584"/>
      <c r="C223" s="585">
        <v>45816.0</v>
      </c>
      <c r="D223" s="566">
        <v>2.0</v>
      </c>
      <c r="E223" s="886">
        <v>3522.53</v>
      </c>
      <c r="F223" s="619"/>
      <c r="G223" s="595"/>
      <c r="H223" s="584"/>
      <c r="I223" s="619"/>
      <c r="J223" s="886"/>
      <c r="K223" s="431">
        <f t="shared" ref="K223:K229" si="42">E223-J223-L223-M223-N223-I223+G223</f>
        <v>0</v>
      </c>
      <c r="L223" s="886">
        <v>3522.53</v>
      </c>
      <c r="M223" s="886"/>
      <c r="N223" s="888"/>
      <c r="O223" s="894">
        <v>-700.0</v>
      </c>
      <c r="P223" s="888"/>
      <c r="Q223" s="889">
        <f t="shared" si="41"/>
        <v>-1399.998</v>
      </c>
      <c r="R223" s="888"/>
      <c r="S223" s="423"/>
      <c r="T223" s="423"/>
      <c r="U223" s="891"/>
      <c r="V223" s="423"/>
      <c r="W223" s="423"/>
      <c r="X223" s="423"/>
      <c r="Y223" s="423"/>
      <c r="Z223" s="423"/>
      <c r="AA223" s="423"/>
    </row>
    <row r="224" ht="14.25" customHeight="1">
      <c r="A224" s="423"/>
      <c r="B224" s="597"/>
      <c r="C224" s="598">
        <v>45882.0</v>
      </c>
      <c r="D224" s="613"/>
      <c r="E224" s="909"/>
      <c r="F224" s="892"/>
      <c r="G224" s="600"/>
      <c r="H224" s="597"/>
      <c r="I224" s="892"/>
      <c r="J224" s="909"/>
      <c r="K224" s="447">
        <f t="shared" si="42"/>
        <v>0</v>
      </c>
      <c r="L224" s="892"/>
      <c r="M224" s="449"/>
      <c r="N224" s="910"/>
      <c r="O224" s="449"/>
      <c r="P224" s="892"/>
      <c r="Q224" s="449">
        <f t="shared" si="41"/>
        <v>-1399.998</v>
      </c>
      <c r="R224" s="910"/>
      <c r="S224" s="423"/>
      <c r="T224" s="423"/>
      <c r="U224" s="891"/>
      <c r="V224" s="423"/>
      <c r="W224" s="423"/>
      <c r="X224" s="423"/>
      <c r="Y224" s="423"/>
      <c r="Z224" s="423"/>
      <c r="AA224" s="423"/>
    </row>
    <row r="225" ht="14.25" customHeight="1">
      <c r="A225" s="423"/>
      <c r="B225" s="584"/>
      <c r="C225" s="566" t="s">
        <v>46</v>
      </c>
      <c r="D225" s="566">
        <v>1.0</v>
      </c>
      <c r="E225" s="886">
        <v>2500.0</v>
      </c>
      <c r="F225" s="893"/>
      <c r="G225" s="595">
        <v>350.0</v>
      </c>
      <c r="H225" s="584"/>
      <c r="I225" s="619"/>
      <c r="J225" s="886">
        <v>1175.0</v>
      </c>
      <c r="K225" s="431">
        <f t="shared" si="42"/>
        <v>-50</v>
      </c>
      <c r="L225" s="619"/>
      <c r="M225" s="775">
        <v>1725.0</v>
      </c>
      <c r="N225" s="888"/>
      <c r="O225" s="894">
        <v>-700.0</v>
      </c>
      <c r="P225" s="890"/>
      <c r="Q225" s="889">
        <f t="shared" si="41"/>
        <v>-2099.998</v>
      </c>
      <c r="R225" s="888"/>
      <c r="S225" s="423"/>
      <c r="T225" s="423"/>
      <c r="U225" s="891"/>
      <c r="V225" s="423"/>
      <c r="W225" s="423"/>
      <c r="X225" s="423"/>
      <c r="Y225" s="423"/>
      <c r="Z225" s="423"/>
      <c r="AA225" s="423"/>
    </row>
    <row r="226" ht="14.25" customHeight="1">
      <c r="A226" s="423"/>
      <c r="B226" s="597"/>
      <c r="C226" s="613" t="s">
        <v>521</v>
      </c>
      <c r="D226" s="613"/>
      <c r="E226" s="909"/>
      <c r="F226" s="892"/>
      <c r="G226" s="600"/>
      <c r="H226" s="597"/>
      <c r="I226" s="892"/>
      <c r="J226" s="909"/>
      <c r="K226" s="447">
        <f t="shared" si="42"/>
        <v>0</v>
      </c>
      <c r="L226" s="892"/>
      <c r="M226" s="449"/>
      <c r="N226" s="910"/>
      <c r="O226" s="909"/>
      <c r="P226" s="892"/>
      <c r="Q226" s="449">
        <f t="shared" si="41"/>
        <v>-2099.998</v>
      </c>
      <c r="R226" s="910"/>
      <c r="S226" s="423"/>
      <c r="T226" s="423"/>
      <c r="U226" s="891"/>
      <c r="V226" s="423"/>
      <c r="W226" s="423"/>
      <c r="X226" s="423"/>
      <c r="Y226" s="423"/>
      <c r="Z226" s="423"/>
      <c r="AA226" s="423"/>
    </row>
    <row r="227" ht="14.25" customHeight="1">
      <c r="A227" s="423"/>
      <c r="B227" s="584"/>
      <c r="C227" s="566" t="s">
        <v>34</v>
      </c>
      <c r="D227" s="566">
        <v>1.0</v>
      </c>
      <c r="E227" s="886">
        <v>1800.0</v>
      </c>
      <c r="F227" s="619"/>
      <c r="G227" s="587"/>
      <c r="H227" s="584"/>
      <c r="I227" s="619"/>
      <c r="J227" s="886"/>
      <c r="K227" s="431">
        <f t="shared" si="42"/>
        <v>0</v>
      </c>
      <c r="L227" s="619"/>
      <c r="M227" s="775">
        <v>1800.0</v>
      </c>
      <c r="N227" s="888"/>
      <c r="O227" s="894">
        <v>-700.0</v>
      </c>
      <c r="P227" s="890"/>
      <c r="Q227" s="889">
        <f t="shared" si="41"/>
        <v>-2799.998</v>
      </c>
      <c r="R227" s="888"/>
      <c r="S227" s="423"/>
      <c r="T227" s="423"/>
      <c r="U227" s="891"/>
      <c r="V227" s="423"/>
      <c r="W227" s="423"/>
      <c r="X227" s="423"/>
      <c r="Y227" s="423"/>
      <c r="Z227" s="423"/>
      <c r="AA227" s="423"/>
    </row>
    <row r="228" ht="14.25" customHeight="1">
      <c r="A228" s="423"/>
      <c r="B228" s="584"/>
      <c r="C228" s="566" t="s">
        <v>69</v>
      </c>
      <c r="D228" s="566">
        <v>1.0</v>
      </c>
      <c r="E228" s="886">
        <v>2500.0</v>
      </c>
      <c r="F228" s="619"/>
      <c r="G228" s="587"/>
      <c r="H228" s="584"/>
      <c r="I228" s="619"/>
      <c r="J228" s="886">
        <v>1000.0</v>
      </c>
      <c r="K228" s="431">
        <f t="shared" si="42"/>
        <v>0</v>
      </c>
      <c r="L228" s="619"/>
      <c r="M228" s="886"/>
      <c r="N228" s="888">
        <v>1500.0</v>
      </c>
      <c r="O228" s="894">
        <v>-700.0</v>
      </c>
      <c r="P228" s="890"/>
      <c r="Q228" s="889">
        <f t="shared" si="41"/>
        <v>-1999.998</v>
      </c>
      <c r="R228" s="888"/>
      <c r="S228" s="423"/>
      <c r="T228" s="929" t="s">
        <v>522</v>
      </c>
      <c r="U228" s="891"/>
      <c r="V228" s="423"/>
      <c r="W228" s="423"/>
      <c r="X228" s="423"/>
      <c r="Y228" s="423"/>
      <c r="Z228" s="423"/>
      <c r="AA228" s="423"/>
    </row>
    <row r="229" ht="14.25" customHeight="1">
      <c r="A229" s="423"/>
      <c r="B229" s="597"/>
      <c r="C229" s="613" t="s">
        <v>523</v>
      </c>
      <c r="D229" s="613"/>
      <c r="E229" s="909"/>
      <c r="F229" s="892"/>
      <c r="G229" s="600"/>
      <c r="H229" s="597"/>
      <c r="I229" s="892"/>
      <c r="J229" s="909"/>
      <c r="K229" s="447">
        <f t="shared" si="42"/>
        <v>0</v>
      </c>
      <c r="L229" s="892"/>
      <c r="M229" s="449"/>
      <c r="N229" s="910"/>
      <c r="O229" s="909"/>
      <c r="P229" s="892"/>
      <c r="Q229" s="449">
        <f t="shared" si="41"/>
        <v>-1999.998</v>
      </c>
      <c r="R229" s="910"/>
      <c r="S229" s="423"/>
      <c r="T229" s="929" t="s">
        <v>92</v>
      </c>
      <c r="U229" s="930">
        <v>1362.98</v>
      </c>
      <c r="V229" s="423"/>
      <c r="W229" s="423"/>
      <c r="X229" s="423"/>
      <c r="Y229" s="423"/>
      <c r="Z229" s="423"/>
      <c r="AA229" s="423"/>
    </row>
    <row r="230" ht="14.25" customHeight="1">
      <c r="A230" s="423"/>
      <c r="B230" s="584"/>
      <c r="C230" s="566" t="s">
        <v>86</v>
      </c>
      <c r="D230" s="566">
        <v>2.0</v>
      </c>
      <c r="E230" s="886">
        <v>5000.0</v>
      </c>
      <c r="F230" s="619"/>
      <c r="G230" s="595"/>
      <c r="H230" s="584"/>
      <c r="I230" s="619"/>
      <c r="J230" s="886">
        <v>1500.0</v>
      </c>
      <c r="K230" s="928">
        <f>E230-J230-L230-M230-N230-I230+G230-P230</f>
        <v>0</v>
      </c>
      <c r="L230" s="619"/>
      <c r="M230" s="887"/>
      <c r="N230" s="888">
        <v>3500.0</v>
      </c>
      <c r="O230" s="894">
        <v>-700.0</v>
      </c>
      <c r="P230" s="888"/>
      <c r="Q230" s="889">
        <f t="shared" si="41"/>
        <v>800.002</v>
      </c>
      <c r="R230" s="888"/>
      <c r="S230" s="423"/>
      <c r="T230" s="174" t="s">
        <v>55</v>
      </c>
      <c r="U230" s="174">
        <v>1984.11</v>
      </c>
      <c r="V230" s="423"/>
      <c r="W230" s="423"/>
      <c r="X230" s="423"/>
      <c r="Y230" s="423"/>
      <c r="Z230" s="423"/>
      <c r="AA230" s="423"/>
    </row>
    <row r="231" ht="14.25" customHeight="1">
      <c r="A231" s="423"/>
      <c r="B231" s="597"/>
      <c r="C231" s="613" t="s">
        <v>88</v>
      </c>
      <c r="D231" s="613"/>
      <c r="E231" s="909"/>
      <c r="F231" s="892"/>
      <c r="G231" s="600"/>
      <c r="H231" s="597"/>
      <c r="I231" s="892"/>
      <c r="J231" s="909"/>
      <c r="K231" s="447">
        <f>E231-J231-L231-M231-N231-I231+G231</f>
        <v>0</v>
      </c>
      <c r="L231" s="892"/>
      <c r="M231" s="449"/>
      <c r="N231" s="910"/>
      <c r="O231" s="449"/>
      <c r="P231" s="910">
        <v>-800.0</v>
      </c>
      <c r="Q231" s="449">
        <f t="shared" si="41"/>
        <v>0.001999999999</v>
      </c>
      <c r="R231" s="910"/>
      <c r="S231" s="423"/>
      <c r="V231" s="423"/>
      <c r="W231" s="423"/>
      <c r="X231" s="423"/>
      <c r="Y231" s="423"/>
      <c r="Z231" s="423"/>
      <c r="AA231" s="423"/>
    </row>
    <row r="232" ht="14.25" customHeight="1">
      <c r="A232" s="423"/>
      <c r="B232" s="904" t="s">
        <v>179</v>
      </c>
      <c r="C232" s="905" t="s">
        <v>80</v>
      </c>
      <c r="D232" s="906">
        <f t="shared" ref="D232:P232" si="43">sum(D221:D231)</f>
        <v>9</v>
      </c>
      <c r="E232" s="907">
        <f t="shared" si="43"/>
        <v>19122.53</v>
      </c>
      <c r="F232" s="907">
        <f t="shared" si="43"/>
        <v>0</v>
      </c>
      <c r="G232" s="907">
        <f t="shared" si="43"/>
        <v>350</v>
      </c>
      <c r="H232" s="907">
        <f t="shared" si="43"/>
        <v>0</v>
      </c>
      <c r="I232" s="907">
        <f t="shared" si="43"/>
        <v>0</v>
      </c>
      <c r="J232" s="907">
        <f t="shared" si="43"/>
        <v>5175</v>
      </c>
      <c r="K232" s="907">
        <f t="shared" si="43"/>
        <v>-50</v>
      </c>
      <c r="L232" s="907">
        <f t="shared" si="43"/>
        <v>3522.53</v>
      </c>
      <c r="M232" s="907">
        <f t="shared" si="43"/>
        <v>5825</v>
      </c>
      <c r="N232" s="907">
        <f t="shared" si="43"/>
        <v>5000</v>
      </c>
      <c r="O232" s="907">
        <f t="shared" si="43"/>
        <v>-4200</v>
      </c>
      <c r="P232" s="907">
        <f t="shared" si="43"/>
        <v>-800</v>
      </c>
      <c r="Q232" s="907">
        <f>Q231</f>
        <v>0.001999999999</v>
      </c>
      <c r="R232" s="908"/>
      <c r="S232" s="423"/>
      <c r="V232" s="423"/>
      <c r="W232" s="423"/>
      <c r="X232" s="423"/>
      <c r="Y232" s="423"/>
      <c r="Z232" s="423"/>
      <c r="AA232" s="423"/>
    </row>
    <row r="233" ht="14.25" customHeight="1">
      <c r="A233" s="936"/>
      <c r="B233" s="702" t="s">
        <v>186</v>
      </c>
      <c r="C233" s="704">
        <v>46025.0</v>
      </c>
      <c r="D233" s="738"/>
      <c r="E233" s="806"/>
      <c r="F233" s="706"/>
      <c r="G233" s="602"/>
      <c r="H233" s="702"/>
      <c r="I233" s="706"/>
      <c r="J233" s="806"/>
      <c r="K233" s="937">
        <f>E233-J233-L233-M233-N233-I233+G233</f>
        <v>0</v>
      </c>
      <c r="L233" s="784"/>
      <c r="M233" s="708"/>
      <c r="N233" s="710"/>
      <c r="O233" s="708"/>
      <c r="P233" s="706"/>
      <c r="Q233" s="708">
        <f t="shared" ref="Q233:Q257" si="44">Q232+N233+O233+P233</f>
        <v>0.001999999999</v>
      </c>
      <c r="R233" s="710"/>
      <c r="S233" s="936"/>
      <c r="T233" s="936"/>
      <c r="U233" s="938"/>
      <c r="V233" s="936"/>
      <c r="W233" s="936"/>
      <c r="X233" s="936"/>
      <c r="Y233" s="936"/>
      <c r="Z233" s="936"/>
      <c r="AA233" s="936"/>
    </row>
    <row r="234" ht="14.25" customHeight="1">
      <c r="A234" s="936"/>
      <c r="B234" s="690"/>
      <c r="C234" s="683">
        <v>46085.0</v>
      </c>
      <c r="D234" s="685">
        <v>1.0</v>
      </c>
      <c r="E234" s="686">
        <v>2800.0</v>
      </c>
      <c r="F234" s="689"/>
      <c r="G234" s="606"/>
      <c r="H234" s="690"/>
      <c r="I234" s="689"/>
      <c r="J234" s="686">
        <v>1000.0</v>
      </c>
      <c r="K234" s="928"/>
      <c r="L234" s="775"/>
      <c r="M234" s="686"/>
      <c r="N234" s="939">
        <v>1800.0</v>
      </c>
      <c r="O234" s="940">
        <v>-700.0</v>
      </c>
      <c r="P234" s="939"/>
      <c r="Q234" s="941">
        <f t="shared" si="44"/>
        <v>1100.002</v>
      </c>
      <c r="R234" s="939"/>
      <c r="S234" s="936"/>
      <c r="T234" s="936"/>
      <c r="U234" s="938"/>
      <c r="V234" s="936"/>
      <c r="W234" s="936"/>
      <c r="X234" s="936"/>
      <c r="Y234" s="936"/>
      <c r="Z234" s="936"/>
      <c r="AA234" s="936"/>
    </row>
    <row r="235" ht="14.25" customHeight="1">
      <c r="A235" s="936"/>
      <c r="B235" s="690"/>
      <c r="C235" s="683">
        <v>46117.0</v>
      </c>
      <c r="D235" s="685">
        <v>1.0</v>
      </c>
      <c r="E235" s="686">
        <v>2500.0</v>
      </c>
      <c r="F235" s="689"/>
      <c r="G235" s="606"/>
      <c r="H235" s="690"/>
      <c r="I235" s="689"/>
      <c r="J235" s="686">
        <v>1000.0</v>
      </c>
      <c r="K235" s="928">
        <f t="shared" ref="K235:K247" si="45">E235-J235-L235-M235-N235-I235+G235</f>
        <v>0</v>
      </c>
      <c r="L235" s="775"/>
      <c r="M235" s="686"/>
      <c r="N235" s="939">
        <v>1500.0</v>
      </c>
      <c r="O235" s="940">
        <v>-700.0</v>
      </c>
      <c r="P235" s="939"/>
      <c r="Q235" s="941">
        <f t="shared" si="44"/>
        <v>1900.002</v>
      </c>
      <c r="R235" s="939"/>
      <c r="S235" s="936"/>
      <c r="T235" s="936"/>
      <c r="U235" s="938"/>
      <c r="V235" s="936"/>
      <c r="W235" s="936"/>
      <c r="X235" s="936"/>
      <c r="Y235" s="936"/>
      <c r="Z235" s="936"/>
      <c r="AA235" s="936"/>
    </row>
    <row r="236" ht="14.25" customHeight="1">
      <c r="A236" s="936"/>
      <c r="B236" s="690"/>
      <c r="C236" s="683">
        <v>46148.0</v>
      </c>
      <c r="D236" s="685">
        <v>1.0</v>
      </c>
      <c r="E236" s="686">
        <v>2300.0</v>
      </c>
      <c r="F236" s="693"/>
      <c r="G236" s="606"/>
      <c r="H236" s="690"/>
      <c r="I236" s="689"/>
      <c r="J236" s="686">
        <v>500.0</v>
      </c>
      <c r="K236" s="928">
        <f t="shared" si="45"/>
        <v>0</v>
      </c>
      <c r="L236" s="942"/>
      <c r="M236" s="686"/>
      <c r="N236" s="939">
        <v>1800.0</v>
      </c>
      <c r="O236" s="940">
        <v>-700.0</v>
      </c>
      <c r="P236" s="943"/>
      <c r="Q236" s="941">
        <f t="shared" si="44"/>
        <v>3000.002</v>
      </c>
      <c r="R236" s="939"/>
      <c r="S236" s="936"/>
      <c r="T236" s="936"/>
      <c r="U236" s="938"/>
      <c r="V236" s="936"/>
      <c r="W236" s="936"/>
      <c r="X236" s="936"/>
      <c r="Y236" s="936"/>
      <c r="Z236" s="936"/>
      <c r="AA236" s="936"/>
    </row>
    <row r="237" ht="14.25" customHeight="1">
      <c r="A237" s="936"/>
      <c r="B237" s="702"/>
      <c r="C237" s="704">
        <v>46183.0</v>
      </c>
      <c r="D237" s="738"/>
      <c r="E237" s="806"/>
      <c r="F237" s="706"/>
      <c r="G237" s="602"/>
      <c r="H237" s="702"/>
      <c r="I237" s="706"/>
      <c r="J237" s="806"/>
      <c r="K237" s="937">
        <f t="shared" si="45"/>
        <v>0</v>
      </c>
      <c r="L237" s="784"/>
      <c r="M237" s="708"/>
      <c r="N237" s="710"/>
      <c r="O237" s="806"/>
      <c r="P237" s="706"/>
      <c r="Q237" s="708">
        <f t="shared" si="44"/>
        <v>3000.002</v>
      </c>
      <c r="R237" s="710"/>
      <c r="S237" s="936"/>
      <c r="T237" s="936"/>
      <c r="U237" s="938"/>
      <c r="V237" s="936"/>
      <c r="W237" s="936"/>
      <c r="X237" s="936"/>
      <c r="Y237" s="936"/>
      <c r="Z237" s="936"/>
      <c r="AA237" s="936"/>
    </row>
    <row r="238" ht="14.25" customHeight="1">
      <c r="A238" s="936"/>
      <c r="B238" s="690"/>
      <c r="C238" s="683">
        <v>46306.0</v>
      </c>
      <c r="D238" s="685">
        <v>1.0</v>
      </c>
      <c r="E238" s="686">
        <v>2000.0</v>
      </c>
      <c r="F238" s="689"/>
      <c r="G238" s="603"/>
      <c r="H238" s="690"/>
      <c r="I238" s="689"/>
      <c r="J238" s="686">
        <v>1000.0</v>
      </c>
      <c r="K238" s="928">
        <f t="shared" si="45"/>
        <v>0</v>
      </c>
      <c r="L238" s="942"/>
      <c r="M238" s="686"/>
      <c r="N238" s="939">
        <v>1000.0</v>
      </c>
      <c r="O238" s="940">
        <v>-700.0</v>
      </c>
      <c r="P238" s="943"/>
      <c r="Q238" s="941">
        <f t="shared" si="44"/>
        <v>3300.002</v>
      </c>
      <c r="R238" s="939"/>
      <c r="S238" s="936"/>
      <c r="T238" s="936"/>
      <c r="U238" s="938"/>
      <c r="V238" s="936"/>
      <c r="W238" s="936"/>
      <c r="X238" s="936"/>
      <c r="Y238" s="936"/>
      <c r="Z238" s="936"/>
      <c r="AA238" s="936"/>
    </row>
    <row r="239" ht="14.25" customHeight="1">
      <c r="A239" s="936"/>
      <c r="B239" s="690"/>
      <c r="C239" s="683">
        <v>46338.0</v>
      </c>
      <c r="D239" s="685">
        <v>1.0</v>
      </c>
      <c r="E239" s="686">
        <v>2500.0</v>
      </c>
      <c r="F239" s="689"/>
      <c r="G239" s="603"/>
      <c r="H239" s="690"/>
      <c r="I239" s="689"/>
      <c r="J239" s="686">
        <v>1000.0</v>
      </c>
      <c r="K239" s="928">
        <f t="shared" si="45"/>
        <v>0</v>
      </c>
      <c r="L239" s="942"/>
      <c r="M239" s="686">
        <v>1500.0</v>
      </c>
      <c r="N239" s="939"/>
      <c r="O239" s="940">
        <v>-700.0</v>
      </c>
      <c r="P239" s="943"/>
      <c r="Q239" s="941">
        <f t="shared" si="44"/>
        <v>2600.002</v>
      </c>
      <c r="R239" s="939"/>
      <c r="S239" s="936"/>
      <c r="T239" s="936"/>
      <c r="U239" s="938"/>
      <c r="V239" s="936"/>
      <c r="W239" s="936"/>
      <c r="X239" s="936"/>
      <c r="Y239" s="936"/>
      <c r="Z239" s="936"/>
      <c r="AA239" s="936"/>
    </row>
    <row r="240" ht="14.25" customHeight="1">
      <c r="A240" s="936"/>
      <c r="B240" s="690"/>
      <c r="C240" s="683">
        <v>46369.0</v>
      </c>
      <c r="D240" s="685">
        <v>1.0</v>
      </c>
      <c r="E240" s="686">
        <v>2450.0</v>
      </c>
      <c r="F240" s="693"/>
      <c r="G240" s="606">
        <v>400.0</v>
      </c>
      <c r="H240" s="690"/>
      <c r="I240" s="689"/>
      <c r="J240" s="686">
        <v>1000.0</v>
      </c>
      <c r="K240" s="928">
        <f t="shared" si="45"/>
        <v>-100</v>
      </c>
      <c r="L240" s="942"/>
      <c r="M240" s="686"/>
      <c r="N240" s="939">
        <v>1950.0</v>
      </c>
      <c r="O240" s="940">
        <v>-700.0</v>
      </c>
      <c r="P240" s="943"/>
      <c r="Q240" s="941">
        <f t="shared" si="44"/>
        <v>3850.002</v>
      </c>
      <c r="R240" s="939"/>
      <c r="S240" s="936"/>
      <c r="T240" s="944"/>
      <c r="U240" s="938"/>
      <c r="V240" s="936"/>
      <c r="W240" s="936"/>
      <c r="X240" s="936"/>
      <c r="Y240" s="936"/>
      <c r="Z240" s="936"/>
      <c r="AA240" s="936"/>
    </row>
    <row r="241" ht="14.25" customHeight="1">
      <c r="A241" s="936"/>
      <c r="B241" s="702"/>
      <c r="C241" s="738" t="s">
        <v>117</v>
      </c>
      <c r="D241" s="738"/>
      <c r="E241" s="806"/>
      <c r="F241" s="706"/>
      <c r="G241" s="602"/>
      <c r="H241" s="702"/>
      <c r="I241" s="706"/>
      <c r="J241" s="806"/>
      <c r="K241" s="937">
        <f t="shared" si="45"/>
        <v>0</v>
      </c>
      <c r="L241" s="784"/>
      <c r="M241" s="708"/>
      <c r="N241" s="710"/>
      <c r="O241" s="806"/>
      <c r="P241" s="706"/>
      <c r="Q241" s="708">
        <f t="shared" si="44"/>
        <v>3850.002</v>
      </c>
      <c r="R241" s="710"/>
      <c r="S241" s="936"/>
      <c r="T241" s="944"/>
      <c r="U241" s="945"/>
      <c r="V241" s="936"/>
      <c r="W241" s="936"/>
      <c r="X241" s="936"/>
      <c r="Y241" s="936"/>
      <c r="Z241" s="936"/>
      <c r="AA241" s="936"/>
    </row>
    <row r="242" ht="14.25" customHeight="1">
      <c r="A242" s="936"/>
      <c r="B242" s="690"/>
      <c r="C242" s="685" t="s">
        <v>30</v>
      </c>
      <c r="D242" s="685">
        <v>1.0</v>
      </c>
      <c r="E242" s="686">
        <v>2500.0</v>
      </c>
      <c r="F242" s="689"/>
      <c r="G242" s="606"/>
      <c r="H242" s="690"/>
      <c r="I242" s="689"/>
      <c r="J242" s="686">
        <v>1000.0</v>
      </c>
      <c r="K242" s="928">
        <f t="shared" si="45"/>
        <v>0</v>
      </c>
      <c r="L242" s="942"/>
      <c r="M242" s="686"/>
      <c r="N242" s="946">
        <v>1500.0</v>
      </c>
      <c r="O242" s="940">
        <v>-700.0</v>
      </c>
      <c r="P242" s="939"/>
      <c r="Q242" s="941">
        <f t="shared" si="44"/>
        <v>4650.002</v>
      </c>
      <c r="R242" s="939"/>
      <c r="S242" s="936"/>
      <c r="T242" s="947"/>
      <c r="U242" s="947"/>
      <c r="V242" s="936"/>
      <c r="W242" s="936"/>
      <c r="X242" s="936"/>
      <c r="Y242" s="936"/>
      <c r="Z242" s="936"/>
      <c r="AA242" s="936"/>
    </row>
    <row r="243" ht="14.25" customHeight="1">
      <c r="A243" s="936"/>
      <c r="B243" s="690"/>
      <c r="C243" s="685" t="s">
        <v>32</v>
      </c>
      <c r="D243" s="685">
        <v>1.0</v>
      </c>
      <c r="E243" s="686">
        <v>2000.0</v>
      </c>
      <c r="F243" s="689"/>
      <c r="G243" s="606"/>
      <c r="H243" s="744"/>
      <c r="I243" s="689"/>
      <c r="J243" s="686">
        <v>1000.0</v>
      </c>
      <c r="K243" s="928">
        <f t="shared" si="45"/>
        <v>0</v>
      </c>
      <c r="L243" s="942"/>
      <c r="M243" s="688"/>
      <c r="N243" s="939">
        <v>1000.0</v>
      </c>
      <c r="O243" s="940">
        <v>-700.0</v>
      </c>
      <c r="P243" s="939"/>
      <c r="Q243" s="941">
        <f t="shared" si="44"/>
        <v>4950.002</v>
      </c>
      <c r="R243" s="939"/>
      <c r="S243" s="936"/>
      <c r="T243" s="947"/>
      <c r="U243" s="947"/>
      <c r="V243" s="936"/>
      <c r="W243" s="936"/>
      <c r="X243" s="936"/>
      <c r="Y243" s="936"/>
      <c r="Z243" s="936"/>
      <c r="AA243" s="936"/>
    </row>
    <row r="244" ht="14.25" customHeight="1">
      <c r="A244" s="936"/>
      <c r="B244" s="690"/>
      <c r="C244" s="685" t="s">
        <v>33</v>
      </c>
      <c r="D244" s="685">
        <v>1.0</v>
      </c>
      <c r="E244" s="686">
        <v>2500.0</v>
      </c>
      <c r="F244" s="689"/>
      <c r="G244" s="606"/>
      <c r="H244" s="690"/>
      <c r="I244" s="689"/>
      <c r="J244" s="686">
        <v>1000.0</v>
      </c>
      <c r="K244" s="928">
        <f t="shared" si="45"/>
        <v>0</v>
      </c>
      <c r="L244" s="942"/>
      <c r="M244" s="688"/>
      <c r="N244" s="939">
        <v>1500.0</v>
      </c>
      <c r="O244" s="940">
        <v>-700.0</v>
      </c>
      <c r="P244" s="939"/>
      <c r="Q244" s="941">
        <f t="shared" si="44"/>
        <v>5750.002</v>
      </c>
      <c r="R244" s="939"/>
      <c r="S244" s="936"/>
      <c r="T244" s="947"/>
      <c r="U244" s="947"/>
      <c r="V244" s="936"/>
      <c r="W244" s="936"/>
      <c r="X244" s="936"/>
      <c r="Y244" s="936"/>
      <c r="Z244" s="936"/>
      <c r="AA244" s="936"/>
    </row>
    <row r="245" ht="14.25" customHeight="1">
      <c r="A245" s="936"/>
      <c r="B245" s="702"/>
      <c r="C245" s="738" t="s">
        <v>34</v>
      </c>
      <c r="D245" s="738"/>
      <c r="E245" s="806"/>
      <c r="F245" s="706"/>
      <c r="G245" s="602"/>
      <c r="H245" s="702"/>
      <c r="I245" s="706"/>
      <c r="J245" s="806"/>
      <c r="K245" s="937">
        <f t="shared" si="45"/>
        <v>0</v>
      </c>
      <c r="L245" s="784"/>
      <c r="M245" s="708"/>
      <c r="N245" s="710"/>
      <c r="O245" s="806"/>
      <c r="P245" s="706"/>
      <c r="Q245" s="708">
        <f t="shared" si="44"/>
        <v>5750.002</v>
      </c>
      <c r="R245" s="710"/>
      <c r="S245" s="936"/>
      <c r="T245" s="944"/>
      <c r="U245" s="945"/>
      <c r="V245" s="936"/>
      <c r="W245" s="936"/>
      <c r="X245" s="936"/>
      <c r="Y245" s="936"/>
      <c r="Z245" s="936"/>
      <c r="AA245" s="936"/>
    </row>
    <row r="246" ht="14.25" customHeight="1">
      <c r="A246" s="936"/>
      <c r="B246" s="690"/>
      <c r="C246" s="685" t="s">
        <v>69</v>
      </c>
      <c r="D246" s="685">
        <v>1.0</v>
      </c>
      <c r="E246" s="686">
        <v>3000.0</v>
      </c>
      <c r="F246" s="689"/>
      <c r="G246" s="606">
        <v>450.0</v>
      </c>
      <c r="H246" s="690"/>
      <c r="I246" s="689"/>
      <c r="J246" s="686">
        <v>1300.0</v>
      </c>
      <c r="K246" s="928">
        <f t="shared" si="45"/>
        <v>0</v>
      </c>
      <c r="L246" s="942"/>
      <c r="M246" s="688"/>
      <c r="N246" s="939">
        <v>2150.0</v>
      </c>
      <c r="O246" s="940">
        <v>-700.0</v>
      </c>
      <c r="P246" s="939"/>
      <c r="Q246" s="941">
        <f t="shared" si="44"/>
        <v>7200.002</v>
      </c>
      <c r="R246" s="939"/>
      <c r="S246" s="936"/>
      <c r="T246" s="947"/>
      <c r="U246" s="947"/>
      <c r="V246" s="936"/>
      <c r="W246" s="936"/>
      <c r="X246" s="936"/>
      <c r="Y246" s="936"/>
      <c r="Z246" s="936"/>
      <c r="AA246" s="936"/>
    </row>
    <row r="247" ht="14.25" customHeight="1">
      <c r="A247" s="936"/>
      <c r="B247" s="702"/>
      <c r="C247" s="738" t="s">
        <v>68</v>
      </c>
      <c r="D247" s="738"/>
      <c r="E247" s="806"/>
      <c r="F247" s="706"/>
      <c r="G247" s="602"/>
      <c r="H247" s="702"/>
      <c r="I247" s="706"/>
      <c r="J247" s="806"/>
      <c r="K247" s="937">
        <f t="shared" si="45"/>
        <v>0</v>
      </c>
      <c r="L247" s="784"/>
      <c r="M247" s="708"/>
      <c r="N247" s="710"/>
      <c r="O247" s="806"/>
      <c r="P247" s="706"/>
      <c r="Q247" s="708">
        <f t="shared" si="44"/>
        <v>7200.002</v>
      </c>
      <c r="R247" s="710"/>
      <c r="S247" s="936"/>
      <c r="T247" s="944"/>
      <c r="U247" s="945"/>
      <c r="V247" s="936"/>
      <c r="W247" s="936"/>
      <c r="X247" s="936"/>
      <c r="Y247" s="936"/>
      <c r="Z247" s="936"/>
      <c r="AA247" s="936"/>
    </row>
    <row r="248" ht="14.25" customHeight="1">
      <c r="A248" s="936"/>
      <c r="B248" s="690"/>
      <c r="C248" s="685" t="s">
        <v>37</v>
      </c>
      <c r="D248" s="685">
        <v>1.0</v>
      </c>
      <c r="E248" s="686">
        <v>1800.0</v>
      </c>
      <c r="F248" s="689"/>
      <c r="G248" s="606"/>
      <c r="H248" s="690"/>
      <c r="I248" s="689"/>
      <c r="J248" s="686">
        <v>1000.0</v>
      </c>
      <c r="K248" s="928"/>
      <c r="L248" s="942"/>
      <c r="M248" s="686">
        <v>800.0</v>
      </c>
      <c r="N248" s="939"/>
      <c r="O248" s="940">
        <v>-700.0</v>
      </c>
      <c r="P248" s="939"/>
      <c r="Q248" s="941">
        <f t="shared" si="44"/>
        <v>6500.002</v>
      </c>
      <c r="R248" s="939"/>
      <c r="S248" s="936"/>
      <c r="T248" s="947"/>
      <c r="U248" s="947"/>
      <c r="V248" s="936"/>
      <c r="W248" s="936"/>
      <c r="X248" s="936"/>
      <c r="Y248" s="936"/>
      <c r="Z248" s="936"/>
      <c r="AA248" s="936"/>
    </row>
    <row r="249" ht="14.25" customHeight="1">
      <c r="A249" s="936"/>
      <c r="B249" s="690"/>
      <c r="C249" s="685" t="s">
        <v>108</v>
      </c>
      <c r="D249" s="685">
        <v>2.0</v>
      </c>
      <c r="E249" s="686">
        <v>3500.0</v>
      </c>
      <c r="F249" s="689"/>
      <c r="G249" s="606"/>
      <c r="H249" s="744" t="s">
        <v>541</v>
      </c>
      <c r="I249" s="689"/>
      <c r="J249" s="686">
        <v>1500.0</v>
      </c>
      <c r="K249" s="928">
        <f t="shared" ref="K249:K257" si="46">E249-J249-L249-M249-N249-I249+G249</f>
        <v>0</v>
      </c>
      <c r="L249" s="942"/>
      <c r="M249" s="686">
        <v>2000.0</v>
      </c>
      <c r="N249" s="939"/>
      <c r="O249" s="940">
        <v>-700.0</v>
      </c>
      <c r="P249" s="939"/>
      <c r="Q249" s="941">
        <f t="shared" si="44"/>
        <v>5800.002</v>
      </c>
      <c r="R249" s="939"/>
      <c r="S249" s="936"/>
      <c r="T249" s="947"/>
      <c r="U249" s="947"/>
      <c r="V249" s="936"/>
      <c r="W249" s="936"/>
      <c r="X249" s="936"/>
      <c r="Y249" s="936"/>
      <c r="Z249" s="936"/>
      <c r="AA249" s="936"/>
    </row>
    <row r="250" ht="14.25" customHeight="1">
      <c r="A250" s="936"/>
      <c r="B250" s="690"/>
      <c r="C250" s="685" t="s">
        <v>45</v>
      </c>
      <c r="D250" s="685">
        <v>1.0</v>
      </c>
      <c r="E250" s="686">
        <v>2126.08</v>
      </c>
      <c r="F250" s="689"/>
      <c r="G250" s="606"/>
      <c r="H250" s="744" t="s">
        <v>53</v>
      </c>
      <c r="I250" s="689"/>
      <c r="J250" s="686"/>
      <c r="K250" s="928">
        <f t="shared" si="46"/>
        <v>0</v>
      </c>
      <c r="L250" s="693">
        <v>2126.08</v>
      </c>
      <c r="M250" s="688"/>
      <c r="N250" s="939"/>
      <c r="O250" s="940">
        <v>-700.0</v>
      </c>
      <c r="P250" s="939"/>
      <c r="Q250" s="941">
        <f t="shared" si="44"/>
        <v>5100.002</v>
      </c>
      <c r="R250" s="939"/>
      <c r="S250" s="936"/>
      <c r="T250" s="947"/>
      <c r="U250" s="947"/>
      <c r="V250" s="936"/>
      <c r="W250" s="936"/>
      <c r="X250" s="936"/>
      <c r="Y250" s="936"/>
      <c r="Z250" s="936"/>
      <c r="AA250" s="936"/>
    </row>
    <row r="251" ht="14.25" customHeight="1">
      <c r="A251" s="936"/>
      <c r="B251" s="702"/>
      <c r="C251" s="738" t="s">
        <v>47</v>
      </c>
      <c r="D251" s="738"/>
      <c r="E251" s="806"/>
      <c r="F251" s="706"/>
      <c r="G251" s="602"/>
      <c r="H251" s="702"/>
      <c r="I251" s="706"/>
      <c r="J251" s="806"/>
      <c r="K251" s="937">
        <f t="shared" si="46"/>
        <v>0</v>
      </c>
      <c r="L251" s="784"/>
      <c r="M251" s="708"/>
      <c r="N251" s="710"/>
      <c r="O251" s="806"/>
      <c r="P251" s="706"/>
      <c r="Q251" s="708">
        <f t="shared" si="44"/>
        <v>5100.002</v>
      </c>
      <c r="R251" s="710"/>
      <c r="S251" s="936"/>
      <c r="T251" s="944"/>
      <c r="U251" s="945"/>
      <c r="V251" s="936"/>
      <c r="W251" s="936"/>
      <c r="X251" s="936"/>
      <c r="Y251" s="936"/>
      <c r="Z251" s="936"/>
      <c r="AA251" s="936"/>
    </row>
    <row r="252" ht="14.25" customHeight="1">
      <c r="A252" s="936"/>
      <c r="B252" s="690"/>
      <c r="C252" s="685" t="s">
        <v>72</v>
      </c>
      <c r="D252" s="685">
        <v>1.0</v>
      </c>
      <c r="E252" s="686">
        <v>1800.0</v>
      </c>
      <c r="F252" s="689"/>
      <c r="G252" s="606">
        <v>350.0</v>
      </c>
      <c r="H252" s="744" t="s">
        <v>542</v>
      </c>
      <c r="I252" s="689"/>
      <c r="J252" s="686">
        <v>1175.0</v>
      </c>
      <c r="K252" s="928">
        <f t="shared" si="46"/>
        <v>0</v>
      </c>
      <c r="L252" s="942"/>
      <c r="M252" s="686"/>
      <c r="N252" s="939">
        <v>975.0</v>
      </c>
      <c r="O252" s="940">
        <v>-700.0</v>
      </c>
      <c r="P252" s="939"/>
      <c r="Q252" s="941">
        <f t="shared" si="44"/>
        <v>5375.002</v>
      </c>
      <c r="R252" s="939"/>
      <c r="S252" s="936"/>
      <c r="T252" s="947"/>
      <c r="U252" s="947"/>
      <c r="V252" s="936"/>
      <c r="W252" s="936"/>
      <c r="X252" s="936"/>
      <c r="Y252" s="936"/>
      <c r="Z252" s="936"/>
      <c r="AA252" s="936"/>
    </row>
    <row r="253" ht="14.25" customHeight="1">
      <c r="A253" s="936"/>
      <c r="B253" s="690"/>
      <c r="C253" s="685" t="s">
        <v>73</v>
      </c>
      <c r="D253" s="685">
        <v>1.0</v>
      </c>
      <c r="E253" s="686">
        <v>1800.0</v>
      </c>
      <c r="F253" s="689"/>
      <c r="G253" s="606"/>
      <c r="H253" s="690"/>
      <c r="I253" s="689"/>
      <c r="J253" s="686">
        <v>1000.0</v>
      </c>
      <c r="K253" s="928">
        <f t="shared" si="46"/>
        <v>0</v>
      </c>
      <c r="L253" s="942"/>
      <c r="M253" s="686">
        <v>800.0</v>
      </c>
      <c r="N253" s="939"/>
      <c r="O253" s="940">
        <v>-700.0</v>
      </c>
      <c r="P253" s="939"/>
      <c r="Q253" s="941">
        <f t="shared" si="44"/>
        <v>4675.002</v>
      </c>
      <c r="R253" s="939"/>
      <c r="S253" s="936"/>
      <c r="T253" s="947"/>
      <c r="U253" s="947"/>
      <c r="V253" s="936"/>
      <c r="W253" s="936"/>
      <c r="X253" s="936"/>
      <c r="Y253" s="936"/>
      <c r="Z253" s="936"/>
      <c r="AA253" s="936"/>
    </row>
    <row r="254" ht="14.25" customHeight="1">
      <c r="A254" s="936"/>
      <c r="B254" s="690"/>
      <c r="C254" s="685" t="s">
        <v>137</v>
      </c>
      <c r="D254" s="685">
        <v>1.0</v>
      </c>
      <c r="E254" s="686">
        <v>3300.0</v>
      </c>
      <c r="F254" s="689"/>
      <c r="G254" s="606"/>
      <c r="H254" s="690"/>
      <c r="I254" s="689"/>
      <c r="J254" s="686">
        <v>1500.0</v>
      </c>
      <c r="K254" s="928">
        <f t="shared" si="46"/>
        <v>0</v>
      </c>
      <c r="L254" s="942"/>
      <c r="M254" s="688"/>
      <c r="N254" s="939">
        <v>1800.0</v>
      </c>
      <c r="O254" s="940">
        <v>-700.0</v>
      </c>
      <c r="P254" s="939"/>
      <c r="Q254" s="941">
        <f t="shared" si="44"/>
        <v>5775.002</v>
      </c>
      <c r="R254" s="939"/>
      <c r="S254" s="936"/>
      <c r="T254" s="947"/>
      <c r="U254" s="947"/>
      <c r="V254" s="936"/>
      <c r="W254" s="936"/>
      <c r="X254" s="936"/>
      <c r="Y254" s="936"/>
      <c r="Z254" s="936"/>
      <c r="AA254" s="936"/>
    </row>
    <row r="255" ht="14.25" customHeight="1">
      <c r="A255" s="936"/>
      <c r="B255" s="690"/>
      <c r="C255" s="685" t="s">
        <v>52</v>
      </c>
      <c r="D255" s="685">
        <v>1.0</v>
      </c>
      <c r="E255" s="686">
        <v>3200.0</v>
      </c>
      <c r="F255" s="689"/>
      <c r="G255" s="606"/>
      <c r="H255" s="690"/>
      <c r="I255" s="689"/>
      <c r="J255" s="686">
        <v>1000.0</v>
      </c>
      <c r="K255" s="928">
        <f t="shared" si="46"/>
        <v>0</v>
      </c>
      <c r="L255" s="942"/>
      <c r="M255" s="686">
        <v>2200.0</v>
      </c>
      <c r="N255" s="939"/>
      <c r="O255" s="940">
        <v>-700.0</v>
      </c>
      <c r="P255" s="939"/>
      <c r="Q255" s="941">
        <f t="shared" si="44"/>
        <v>5075.002</v>
      </c>
      <c r="R255" s="939"/>
      <c r="S255" s="936"/>
      <c r="T255" s="947"/>
      <c r="U255" s="947"/>
      <c r="V255" s="936"/>
      <c r="W255" s="936"/>
      <c r="X255" s="936"/>
      <c r="Y255" s="936"/>
      <c r="Z255" s="936"/>
      <c r="AA255" s="936"/>
    </row>
    <row r="256" ht="14.25" customHeight="1">
      <c r="A256" s="936"/>
      <c r="B256" s="690"/>
      <c r="C256" s="685"/>
      <c r="D256" s="685"/>
      <c r="E256" s="686"/>
      <c r="F256" s="689"/>
      <c r="G256" s="606"/>
      <c r="H256" s="690"/>
      <c r="I256" s="689"/>
      <c r="J256" s="686"/>
      <c r="K256" s="928">
        <f t="shared" si="46"/>
        <v>0</v>
      </c>
      <c r="L256" s="942"/>
      <c r="M256" s="688"/>
      <c r="N256" s="939"/>
      <c r="O256" s="940"/>
      <c r="P256" s="939">
        <v>-778.22</v>
      </c>
      <c r="Q256" s="941">
        <f t="shared" si="44"/>
        <v>4296.782</v>
      </c>
      <c r="R256" s="939" t="s">
        <v>543</v>
      </c>
      <c r="S256" s="936"/>
      <c r="T256" s="947"/>
      <c r="U256" s="947"/>
      <c r="V256" s="936"/>
      <c r="W256" s="936"/>
      <c r="X256" s="936"/>
      <c r="Y256" s="936"/>
      <c r="Z256" s="936"/>
      <c r="AA256" s="936"/>
    </row>
    <row r="257" ht="14.25" customHeight="1">
      <c r="A257" s="936"/>
      <c r="B257" s="690"/>
      <c r="C257" s="685"/>
      <c r="D257" s="685"/>
      <c r="E257" s="686"/>
      <c r="F257" s="689"/>
      <c r="G257" s="606"/>
      <c r="H257" s="690"/>
      <c r="I257" s="689"/>
      <c r="J257" s="686"/>
      <c r="K257" s="928">
        <f t="shared" si="46"/>
        <v>0</v>
      </c>
      <c r="L257" s="942"/>
      <c r="M257" s="688"/>
      <c r="N257" s="939"/>
      <c r="O257" s="940"/>
      <c r="P257" s="939">
        <v>-1439.34</v>
      </c>
      <c r="Q257" s="941">
        <f t="shared" si="44"/>
        <v>2857.442</v>
      </c>
      <c r="R257" s="939" t="s">
        <v>55</v>
      </c>
      <c r="S257" s="936"/>
      <c r="T257" s="947"/>
      <c r="U257" s="947"/>
      <c r="V257" s="936"/>
      <c r="W257" s="936"/>
      <c r="X257" s="936"/>
      <c r="Y257" s="936"/>
      <c r="Z257" s="936"/>
      <c r="AA257" s="936"/>
    </row>
    <row r="258" ht="14.25" customHeight="1">
      <c r="A258" s="936"/>
      <c r="B258" s="948" t="s">
        <v>186</v>
      </c>
      <c r="C258" s="949" t="s">
        <v>80</v>
      </c>
      <c r="D258" s="950">
        <f t="shared" ref="D258:P258" si="47">sum(D233:D257)</f>
        <v>18</v>
      </c>
      <c r="E258" s="951">
        <f t="shared" si="47"/>
        <v>42076.08</v>
      </c>
      <c r="F258" s="951">
        <f t="shared" si="47"/>
        <v>0</v>
      </c>
      <c r="G258" s="951">
        <f t="shared" si="47"/>
        <v>1200</v>
      </c>
      <c r="H258" s="951">
        <f t="shared" si="47"/>
        <v>0</v>
      </c>
      <c r="I258" s="951">
        <f t="shared" si="47"/>
        <v>0</v>
      </c>
      <c r="J258" s="951">
        <f t="shared" si="47"/>
        <v>16975</v>
      </c>
      <c r="K258" s="952">
        <f t="shared" si="47"/>
        <v>-100</v>
      </c>
      <c r="L258" s="951">
        <f t="shared" si="47"/>
        <v>2126.08</v>
      </c>
      <c r="M258" s="951">
        <f t="shared" si="47"/>
        <v>7300</v>
      </c>
      <c r="N258" s="951">
        <f t="shared" si="47"/>
        <v>16975</v>
      </c>
      <c r="O258" s="951">
        <f t="shared" si="47"/>
        <v>-11900</v>
      </c>
      <c r="P258" s="951">
        <f t="shared" si="47"/>
        <v>-2217.56</v>
      </c>
      <c r="Q258" s="951">
        <f>Q257</f>
        <v>2857.442</v>
      </c>
      <c r="R258" s="953"/>
      <c r="S258" s="936"/>
      <c r="T258" s="947"/>
      <c r="U258" s="947"/>
      <c r="V258" s="936"/>
      <c r="W258" s="936"/>
      <c r="X258" s="936"/>
      <c r="Y258" s="936"/>
      <c r="Z258" s="936"/>
      <c r="AA258" s="936"/>
    </row>
    <row r="259" ht="14.25" customHeight="1">
      <c r="A259" s="936"/>
      <c r="B259" s="744" t="s">
        <v>214</v>
      </c>
      <c r="C259" s="683">
        <v>46024.0</v>
      </c>
      <c r="D259" s="685">
        <v>1.0</v>
      </c>
      <c r="E259" s="686">
        <v>2700.0</v>
      </c>
      <c r="F259" s="689"/>
      <c r="G259" s="603"/>
      <c r="H259" s="690"/>
      <c r="I259" s="689"/>
      <c r="J259" s="686">
        <v>1000.0</v>
      </c>
      <c r="K259" s="928">
        <f t="shared" ref="K259:K277" si="48">E259-J259-L259-M259-N259-I259+G259</f>
        <v>0</v>
      </c>
      <c r="L259" s="689"/>
      <c r="M259" s="686">
        <v>1700.0</v>
      </c>
      <c r="N259" s="943"/>
      <c r="O259" s="940">
        <v>-700.0</v>
      </c>
      <c r="P259" s="943"/>
      <c r="Q259" s="941">
        <f t="shared" ref="Q259:Q277" si="49">Q258+N259+O259+P259</f>
        <v>2157.442</v>
      </c>
      <c r="R259" s="943"/>
      <c r="S259" s="936"/>
      <c r="T259" s="936"/>
      <c r="U259" s="938"/>
      <c r="V259" s="936"/>
      <c r="W259" s="936"/>
      <c r="X259" s="936"/>
      <c r="Y259" s="936"/>
      <c r="Z259" s="936"/>
      <c r="AA259" s="936"/>
    </row>
    <row r="260" ht="14.25" customHeight="1">
      <c r="A260" s="936"/>
      <c r="B260" s="702"/>
      <c r="C260" s="704">
        <v>46059.0</v>
      </c>
      <c r="D260" s="705"/>
      <c r="E260" s="706"/>
      <c r="F260" s="706"/>
      <c r="G260" s="602"/>
      <c r="H260" s="702"/>
      <c r="I260" s="706"/>
      <c r="J260" s="706"/>
      <c r="K260" s="937">
        <f t="shared" si="48"/>
        <v>0</v>
      </c>
      <c r="L260" s="706"/>
      <c r="M260" s="706"/>
      <c r="N260" s="706"/>
      <c r="O260" s="706"/>
      <c r="P260" s="706"/>
      <c r="Q260" s="708">
        <f t="shared" si="49"/>
        <v>2157.442</v>
      </c>
      <c r="R260" s="706"/>
      <c r="S260" s="936"/>
      <c r="T260" s="936"/>
      <c r="U260" s="938"/>
      <c r="V260" s="936"/>
      <c r="W260" s="936"/>
      <c r="X260" s="936"/>
      <c r="Y260" s="936"/>
      <c r="Z260" s="936"/>
      <c r="AA260" s="936"/>
    </row>
    <row r="261" ht="14.25" customHeight="1">
      <c r="A261" s="936"/>
      <c r="B261" s="690"/>
      <c r="C261" s="683">
        <v>46180.0</v>
      </c>
      <c r="D261" s="685">
        <v>1.0</v>
      </c>
      <c r="E261" s="686">
        <v>1800.0</v>
      </c>
      <c r="F261" s="689"/>
      <c r="G261" s="606">
        <v>350.0</v>
      </c>
      <c r="H261" s="690"/>
      <c r="I261" s="689"/>
      <c r="J261" s="693">
        <v>1175.0</v>
      </c>
      <c r="K261" s="928">
        <f t="shared" si="48"/>
        <v>0</v>
      </c>
      <c r="L261" s="688"/>
      <c r="M261" s="689"/>
      <c r="N261" s="939">
        <v>975.0</v>
      </c>
      <c r="O261" s="940">
        <v>-700.0</v>
      </c>
      <c r="P261" s="943"/>
      <c r="Q261" s="941">
        <f t="shared" si="49"/>
        <v>2432.442</v>
      </c>
      <c r="R261" s="943"/>
      <c r="S261" s="936"/>
      <c r="T261" s="936"/>
      <c r="U261" s="938"/>
      <c r="V261" s="936"/>
      <c r="W261" s="936"/>
      <c r="X261" s="936"/>
      <c r="Y261" s="936"/>
      <c r="Z261" s="936"/>
      <c r="AA261" s="936"/>
    </row>
    <row r="262" ht="14.25" customHeight="1">
      <c r="A262" s="936"/>
      <c r="B262" s="690"/>
      <c r="C262" s="683">
        <v>46212.0</v>
      </c>
      <c r="D262" s="685">
        <v>2.0</v>
      </c>
      <c r="E262" s="686">
        <v>4200.0</v>
      </c>
      <c r="F262" s="689"/>
      <c r="G262" s="954"/>
      <c r="H262" s="690"/>
      <c r="I262" s="689"/>
      <c r="J262" s="686">
        <v>1500.0</v>
      </c>
      <c r="K262" s="928">
        <f t="shared" si="48"/>
        <v>0</v>
      </c>
      <c r="L262" s="689"/>
      <c r="M262" s="686">
        <v>2700.0</v>
      </c>
      <c r="N262" s="943"/>
      <c r="O262" s="940">
        <v>-700.0</v>
      </c>
      <c r="P262" s="943"/>
      <c r="Q262" s="941">
        <f t="shared" si="49"/>
        <v>1732.442</v>
      </c>
      <c r="R262" s="943"/>
      <c r="S262" s="936"/>
      <c r="T262" s="936"/>
      <c r="U262" s="938"/>
      <c r="V262" s="936"/>
      <c r="W262" s="936"/>
      <c r="X262" s="936"/>
      <c r="Y262" s="936"/>
      <c r="Z262" s="936"/>
      <c r="AA262" s="936"/>
    </row>
    <row r="263" ht="14.25" customHeight="1">
      <c r="A263" s="936"/>
      <c r="B263" s="702"/>
      <c r="C263" s="704">
        <v>46278.0</v>
      </c>
      <c r="D263" s="705"/>
      <c r="E263" s="706"/>
      <c r="F263" s="706"/>
      <c r="G263" s="602"/>
      <c r="H263" s="702"/>
      <c r="I263" s="706"/>
      <c r="J263" s="706"/>
      <c r="K263" s="937">
        <f t="shared" si="48"/>
        <v>0</v>
      </c>
      <c r="L263" s="706"/>
      <c r="M263" s="706"/>
      <c r="N263" s="706"/>
      <c r="O263" s="706"/>
      <c r="P263" s="706"/>
      <c r="Q263" s="708">
        <f t="shared" si="49"/>
        <v>1732.442</v>
      </c>
      <c r="R263" s="706"/>
      <c r="S263" s="936"/>
      <c r="T263" s="936"/>
      <c r="U263" s="938"/>
      <c r="V263" s="936"/>
      <c r="W263" s="936"/>
      <c r="X263" s="936"/>
      <c r="Y263" s="936"/>
      <c r="Z263" s="936"/>
      <c r="AA263" s="936"/>
    </row>
    <row r="264" ht="14.25" customHeight="1">
      <c r="A264" s="936"/>
      <c r="B264" s="690"/>
      <c r="C264" s="685" t="s">
        <v>117</v>
      </c>
      <c r="D264" s="685">
        <v>2.0</v>
      </c>
      <c r="E264" s="686">
        <v>3500.0</v>
      </c>
      <c r="F264" s="689"/>
      <c r="G264" s="603"/>
      <c r="H264" s="690"/>
      <c r="I264" s="689"/>
      <c r="J264" s="693">
        <v>1500.0</v>
      </c>
      <c r="K264" s="928">
        <f t="shared" si="48"/>
        <v>0</v>
      </c>
      <c r="L264" s="689"/>
      <c r="M264" s="688"/>
      <c r="N264" s="939">
        <v>2000.0</v>
      </c>
      <c r="O264" s="940">
        <v>-700.0</v>
      </c>
      <c r="P264" s="943"/>
      <c r="Q264" s="941">
        <f t="shared" si="49"/>
        <v>3032.442</v>
      </c>
      <c r="R264" s="943"/>
      <c r="S264" s="936"/>
      <c r="T264" s="936"/>
      <c r="U264" s="938"/>
      <c r="V264" s="936"/>
      <c r="W264" s="936"/>
      <c r="X264" s="936"/>
      <c r="Y264" s="936"/>
      <c r="Z264" s="936"/>
      <c r="AA264" s="936"/>
    </row>
    <row r="265" ht="14.25" customHeight="1">
      <c r="A265" s="936"/>
      <c r="B265" s="690"/>
      <c r="C265" s="685" t="s">
        <v>30</v>
      </c>
      <c r="D265" s="685">
        <v>1.0</v>
      </c>
      <c r="E265" s="686">
        <v>2500.0</v>
      </c>
      <c r="F265" s="689"/>
      <c r="G265" s="603"/>
      <c r="H265" s="690"/>
      <c r="I265" s="689"/>
      <c r="J265" s="693">
        <v>1000.0</v>
      </c>
      <c r="K265" s="928">
        <f t="shared" si="48"/>
        <v>0</v>
      </c>
      <c r="L265" s="689"/>
      <c r="M265" s="688"/>
      <c r="N265" s="939">
        <v>1500.0</v>
      </c>
      <c r="O265" s="940">
        <v>-700.0</v>
      </c>
      <c r="P265" s="943"/>
      <c r="Q265" s="941">
        <f t="shared" si="49"/>
        <v>3832.442</v>
      </c>
      <c r="R265" s="943"/>
      <c r="S265" s="936"/>
      <c r="T265" s="936"/>
      <c r="U265" s="938"/>
      <c r="V265" s="936"/>
      <c r="W265" s="936"/>
      <c r="X265" s="936"/>
      <c r="Y265" s="936"/>
      <c r="Z265" s="936"/>
      <c r="AA265" s="936"/>
    </row>
    <row r="266" ht="14.25" customHeight="1">
      <c r="A266" s="936"/>
      <c r="B266" s="690"/>
      <c r="C266" s="685" t="s">
        <v>102</v>
      </c>
      <c r="D266" s="685">
        <v>2.0</v>
      </c>
      <c r="E266" s="686">
        <v>4000.0</v>
      </c>
      <c r="F266" s="689"/>
      <c r="G266" s="603"/>
      <c r="H266" s="690"/>
      <c r="I266" s="689"/>
      <c r="J266" s="693">
        <v>1500.0</v>
      </c>
      <c r="K266" s="928">
        <f t="shared" si="48"/>
        <v>0</v>
      </c>
      <c r="L266" s="689"/>
      <c r="M266" s="688"/>
      <c r="N266" s="939">
        <v>2500.0</v>
      </c>
      <c r="O266" s="940">
        <v>-700.0</v>
      </c>
      <c r="P266" s="943"/>
      <c r="Q266" s="941">
        <f t="shared" si="49"/>
        <v>5632.442</v>
      </c>
      <c r="R266" s="943"/>
      <c r="S266" s="936"/>
      <c r="T266" s="936"/>
      <c r="U266" s="938"/>
      <c r="V266" s="936"/>
      <c r="W266" s="936"/>
      <c r="X266" s="936"/>
      <c r="Y266" s="936"/>
      <c r="Z266" s="936"/>
      <c r="AA266" s="936"/>
    </row>
    <row r="267" ht="14.25" customHeight="1">
      <c r="A267" s="936"/>
      <c r="B267" s="702"/>
      <c r="C267" s="704" t="s">
        <v>120</v>
      </c>
      <c r="D267" s="705"/>
      <c r="E267" s="706"/>
      <c r="F267" s="706"/>
      <c r="G267" s="602"/>
      <c r="H267" s="702"/>
      <c r="I267" s="706"/>
      <c r="J267" s="706"/>
      <c r="K267" s="937">
        <f t="shared" si="48"/>
        <v>0</v>
      </c>
      <c r="L267" s="706"/>
      <c r="M267" s="706"/>
      <c r="N267" s="706"/>
      <c r="O267" s="706"/>
      <c r="P267" s="706"/>
      <c r="Q267" s="708">
        <f t="shared" si="49"/>
        <v>5632.442</v>
      </c>
      <c r="R267" s="706"/>
      <c r="S267" s="936"/>
      <c r="T267" s="936"/>
      <c r="U267" s="938"/>
      <c r="V267" s="936"/>
      <c r="W267" s="936"/>
      <c r="X267" s="936"/>
      <c r="Y267" s="936"/>
      <c r="Z267" s="936"/>
      <c r="AA267" s="936"/>
    </row>
    <row r="268" ht="14.25" customHeight="1">
      <c r="A268" s="936"/>
      <c r="B268" s="690"/>
      <c r="C268" s="685" t="s">
        <v>35</v>
      </c>
      <c r="D268" s="685">
        <v>2.0</v>
      </c>
      <c r="E268" s="686">
        <v>3358.24</v>
      </c>
      <c r="F268" s="689"/>
      <c r="G268" s="603"/>
      <c r="H268" s="744" t="s">
        <v>42</v>
      </c>
      <c r="I268" s="689"/>
      <c r="J268" s="689"/>
      <c r="K268" s="928">
        <f t="shared" si="48"/>
        <v>0</v>
      </c>
      <c r="L268" s="693">
        <v>3358.24</v>
      </c>
      <c r="M268" s="688"/>
      <c r="N268" s="943"/>
      <c r="O268" s="940">
        <v>-700.0</v>
      </c>
      <c r="P268" s="943"/>
      <c r="Q268" s="941">
        <f t="shared" si="49"/>
        <v>4932.442</v>
      </c>
      <c r="R268" s="943"/>
      <c r="S268" s="936"/>
      <c r="T268" s="936"/>
      <c r="U268" s="938"/>
      <c r="V268" s="936"/>
      <c r="W268" s="936"/>
      <c r="X268" s="936"/>
      <c r="Y268" s="936"/>
      <c r="Z268" s="936"/>
      <c r="AA268" s="936"/>
    </row>
    <row r="269" ht="14.25" customHeight="1">
      <c r="A269" s="936"/>
      <c r="B269" s="690"/>
      <c r="C269" s="685" t="s">
        <v>37</v>
      </c>
      <c r="D269" s="685">
        <v>1.0</v>
      </c>
      <c r="E269" s="686">
        <f>200+2500</f>
        <v>2700</v>
      </c>
      <c r="F269" s="689"/>
      <c r="G269" s="603"/>
      <c r="H269" s="690"/>
      <c r="I269" s="689"/>
      <c r="J269" s="693">
        <v>1000.0</v>
      </c>
      <c r="K269" s="928">
        <f t="shared" si="48"/>
        <v>0</v>
      </c>
      <c r="L269" s="689"/>
      <c r="M269" s="686">
        <v>1700.0</v>
      </c>
      <c r="N269" s="943"/>
      <c r="O269" s="940">
        <v>-700.0</v>
      </c>
      <c r="P269" s="943"/>
      <c r="Q269" s="941">
        <f t="shared" si="49"/>
        <v>4232.442</v>
      </c>
      <c r="R269" s="943"/>
      <c r="S269" s="936"/>
      <c r="T269" s="936"/>
      <c r="U269" s="938"/>
      <c r="V269" s="936"/>
      <c r="W269" s="936"/>
      <c r="X269" s="936"/>
      <c r="Y269" s="936"/>
      <c r="Z269" s="936"/>
      <c r="AA269" s="936"/>
    </row>
    <row r="270" ht="14.25" customHeight="1">
      <c r="A270" s="936"/>
      <c r="B270" s="702"/>
      <c r="C270" s="704" t="s">
        <v>108</v>
      </c>
      <c r="D270" s="705"/>
      <c r="E270" s="706"/>
      <c r="F270" s="706"/>
      <c r="G270" s="602"/>
      <c r="H270" s="702"/>
      <c r="I270" s="706"/>
      <c r="J270" s="706"/>
      <c r="K270" s="937">
        <f t="shared" si="48"/>
        <v>0</v>
      </c>
      <c r="L270" s="706"/>
      <c r="M270" s="706"/>
      <c r="N270" s="706"/>
      <c r="O270" s="706"/>
      <c r="P270" s="706"/>
      <c r="Q270" s="708">
        <f t="shared" si="49"/>
        <v>4232.442</v>
      </c>
      <c r="R270" s="706"/>
      <c r="S270" s="936"/>
      <c r="T270" s="936"/>
      <c r="U270" s="938"/>
      <c r="V270" s="936"/>
      <c r="W270" s="936"/>
      <c r="X270" s="936"/>
      <c r="Y270" s="936"/>
      <c r="Z270" s="936"/>
      <c r="AA270" s="936"/>
    </row>
    <row r="271" ht="14.25" customHeight="1">
      <c r="A271" s="936"/>
      <c r="B271" s="690"/>
      <c r="C271" s="685" t="s">
        <v>45</v>
      </c>
      <c r="D271" s="685">
        <v>1.0</v>
      </c>
      <c r="E271" s="686">
        <v>1800.0</v>
      </c>
      <c r="F271" s="689"/>
      <c r="G271" s="603"/>
      <c r="H271" s="690"/>
      <c r="I271" s="689"/>
      <c r="J271" s="693">
        <v>800.0</v>
      </c>
      <c r="K271" s="928">
        <f t="shared" si="48"/>
        <v>0</v>
      </c>
      <c r="L271" s="689"/>
      <c r="M271" s="686">
        <v>1000.0</v>
      </c>
      <c r="N271" s="943"/>
      <c r="O271" s="940">
        <v>-700.0</v>
      </c>
      <c r="P271" s="943"/>
      <c r="Q271" s="941">
        <f t="shared" si="49"/>
        <v>3532.442</v>
      </c>
      <c r="R271" s="943"/>
      <c r="S271" s="936"/>
      <c r="T271" s="936"/>
      <c r="U271" s="938"/>
      <c r="V271" s="936"/>
      <c r="W271" s="936"/>
      <c r="X271" s="936"/>
      <c r="Y271" s="936"/>
      <c r="Z271" s="936"/>
      <c r="AA271" s="936"/>
    </row>
    <row r="272" ht="14.25" customHeight="1">
      <c r="A272" s="936"/>
      <c r="B272" s="690"/>
      <c r="C272" s="685" t="s">
        <v>47</v>
      </c>
      <c r="D272" s="685">
        <v>1.0</v>
      </c>
      <c r="E272" s="686">
        <v>1800.0</v>
      </c>
      <c r="F272" s="689"/>
      <c r="G272" s="603"/>
      <c r="H272" s="690"/>
      <c r="I272" s="689"/>
      <c r="J272" s="686">
        <v>1000.0</v>
      </c>
      <c r="K272" s="928">
        <f t="shared" si="48"/>
        <v>0</v>
      </c>
      <c r="L272" s="689"/>
      <c r="M272" s="693">
        <v>800.0</v>
      </c>
      <c r="N272" s="941"/>
      <c r="O272" s="940">
        <v>-700.0</v>
      </c>
      <c r="P272" s="943"/>
      <c r="Q272" s="941">
        <f t="shared" si="49"/>
        <v>2832.442</v>
      </c>
      <c r="R272" s="943"/>
      <c r="S272" s="936"/>
      <c r="T272" s="936"/>
      <c r="U272" s="938"/>
      <c r="V272" s="936"/>
      <c r="W272" s="936"/>
      <c r="X272" s="936"/>
      <c r="Y272" s="936"/>
      <c r="Z272" s="936"/>
      <c r="AA272" s="936"/>
    </row>
    <row r="273" ht="14.25" customHeight="1">
      <c r="A273" s="936"/>
      <c r="B273" s="702"/>
      <c r="C273" s="738" t="s">
        <v>72</v>
      </c>
      <c r="D273" s="705"/>
      <c r="E273" s="706"/>
      <c r="F273" s="706"/>
      <c r="G273" s="602"/>
      <c r="H273" s="702"/>
      <c r="I273" s="706"/>
      <c r="J273" s="706"/>
      <c r="K273" s="937">
        <f t="shared" si="48"/>
        <v>0</v>
      </c>
      <c r="L273" s="706"/>
      <c r="M273" s="706"/>
      <c r="N273" s="706"/>
      <c r="O273" s="706"/>
      <c r="P273" s="710">
        <v>-799.0</v>
      </c>
      <c r="Q273" s="708">
        <f t="shared" si="49"/>
        <v>2033.442</v>
      </c>
      <c r="R273" s="710" t="s">
        <v>544</v>
      </c>
      <c r="S273" s="936"/>
      <c r="T273" s="936"/>
      <c r="U273" s="955"/>
      <c r="V273" s="936"/>
      <c r="W273" s="936"/>
      <c r="X273" s="936"/>
      <c r="Y273" s="936"/>
      <c r="Z273" s="936"/>
      <c r="AA273" s="936"/>
    </row>
    <row r="274" ht="14.25" customHeight="1">
      <c r="A274" s="936"/>
      <c r="B274" s="690"/>
      <c r="C274" s="685" t="s">
        <v>73</v>
      </c>
      <c r="D274" s="685">
        <v>1.0</v>
      </c>
      <c r="E274" s="686">
        <v>3000.0</v>
      </c>
      <c r="F274" s="689"/>
      <c r="G274" s="603"/>
      <c r="H274" s="690"/>
      <c r="I274" s="689"/>
      <c r="J274" s="686">
        <v>500.0</v>
      </c>
      <c r="K274" s="928">
        <f t="shared" si="48"/>
        <v>0</v>
      </c>
      <c r="L274" s="689"/>
      <c r="M274" s="693">
        <v>2500.0</v>
      </c>
      <c r="N274" s="941"/>
      <c r="O274" s="940">
        <v>-700.0</v>
      </c>
      <c r="P274" s="939">
        <v>-500.0</v>
      </c>
      <c r="Q274" s="941">
        <f t="shared" si="49"/>
        <v>833.442</v>
      </c>
      <c r="R274" s="939" t="s">
        <v>85</v>
      </c>
      <c r="S274" s="936"/>
      <c r="T274" s="936"/>
      <c r="U274" s="938"/>
      <c r="V274" s="936"/>
      <c r="W274" s="936"/>
      <c r="X274" s="936"/>
      <c r="Y274" s="936"/>
      <c r="Z274" s="936"/>
      <c r="AA274" s="936"/>
    </row>
    <row r="275" ht="14.25" customHeight="1">
      <c r="A275" s="936"/>
      <c r="B275" s="690"/>
      <c r="C275" s="685" t="s">
        <v>167</v>
      </c>
      <c r="D275" s="685">
        <v>2.0</v>
      </c>
      <c r="E275" s="686">
        <v>3865.6</v>
      </c>
      <c r="F275" s="689"/>
      <c r="G275" s="603"/>
      <c r="H275" s="744" t="s">
        <v>53</v>
      </c>
      <c r="I275" s="689"/>
      <c r="J275" s="688"/>
      <c r="K275" s="928">
        <f t="shared" si="48"/>
        <v>0</v>
      </c>
      <c r="L275" s="693">
        <v>3865.6</v>
      </c>
      <c r="M275" s="689"/>
      <c r="N275" s="941"/>
      <c r="O275" s="940">
        <v>-700.0</v>
      </c>
      <c r="P275" s="939">
        <v>-316.0</v>
      </c>
      <c r="Q275" s="941">
        <f t="shared" si="49"/>
        <v>-182.558</v>
      </c>
      <c r="R275" s="939" t="s">
        <v>84</v>
      </c>
      <c r="S275" s="936"/>
      <c r="T275" s="936"/>
      <c r="U275" s="938"/>
      <c r="V275" s="936"/>
      <c r="W275" s="936"/>
      <c r="X275" s="936"/>
      <c r="Y275" s="936"/>
      <c r="Z275" s="936"/>
      <c r="AA275" s="936"/>
    </row>
    <row r="276" ht="14.25" customHeight="1">
      <c r="A276" s="936"/>
      <c r="B276" s="690"/>
      <c r="C276" s="956"/>
      <c r="D276" s="770"/>
      <c r="E276" s="688"/>
      <c r="F276" s="689"/>
      <c r="G276" s="603"/>
      <c r="H276" s="690"/>
      <c r="I276" s="689"/>
      <c r="J276" s="688"/>
      <c r="K276" s="928">
        <f t="shared" si="48"/>
        <v>0</v>
      </c>
      <c r="L276" s="689"/>
      <c r="M276" s="689"/>
      <c r="N276" s="941"/>
      <c r="O276" s="941"/>
      <c r="P276" s="939">
        <v>-2325.25</v>
      </c>
      <c r="Q276" s="941">
        <f t="shared" si="49"/>
        <v>-2507.808</v>
      </c>
      <c r="R276" s="939" t="s">
        <v>55</v>
      </c>
      <c r="S276" s="936"/>
      <c r="T276" s="936"/>
      <c r="U276" s="936"/>
      <c r="V276" s="936"/>
      <c r="W276" s="936"/>
      <c r="X276" s="936"/>
      <c r="Y276" s="936"/>
      <c r="Z276" s="936"/>
      <c r="AA276" s="936"/>
    </row>
    <row r="277" ht="14.25" customHeight="1">
      <c r="A277" s="936"/>
      <c r="B277" s="690"/>
      <c r="C277" s="956"/>
      <c r="D277" s="770"/>
      <c r="E277" s="688"/>
      <c r="F277" s="689"/>
      <c r="G277" s="603"/>
      <c r="H277" s="690"/>
      <c r="I277" s="689"/>
      <c r="J277" s="688"/>
      <c r="K277" s="928">
        <f t="shared" si="48"/>
        <v>0</v>
      </c>
      <c r="L277" s="689"/>
      <c r="M277" s="689"/>
      <c r="N277" s="941"/>
      <c r="O277" s="941"/>
      <c r="P277" s="939">
        <v>-500.0</v>
      </c>
      <c r="Q277" s="941">
        <f t="shared" si="49"/>
        <v>-3007.808</v>
      </c>
      <c r="R277" s="939" t="s">
        <v>187</v>
      </c>
      <c r="S277" s="936"/>
      <c r="T277" s="936"/>
      <c r="U277" s="936"/>
      <c r="V277" s="936"/>
      <c r="W277" s="936"/>
      <c r="X277" s="936"/>
      <c r="Y277" s="936"/>
      <c r="Z277" s="936"/>
      <c r="AA277" s="936"/>
    </row>
    <row r="278" ht="14.25" customHeight="1">
      <c r="A278" s="936"/>
      <c r="B278" s="948" t="s">
        <v>214</v>
      </c>
      <c r="C278" s="949" t="s">
        <v>80</v>
      </c>
      <c r="D278" s="950">
        <f t="shared" ref="D278:P278" si="50">sum(D259:D277)</f>
        <v>17</v>
      </c>
      <c r="E278" s="951">
        <f t="shared" si="50"/>
        <v>35223.84</v>
      </c>
      <c r="F278" s="951">
        <f t="shared" si="50"/>
        <v>0</v>
      </c>
      <c r="G278" s="951">
        <f t="shared" si="50"/>
        <v>350</v>
      </c>
      <c r="H278" s="951">
        <f t="shared" si="50"/>
        <v>0</v>
      </c>
      <c r="I278" s="951">
        <f t="shared" si="50"/>
        <v>0</v>
      </c>
      <c r="J278" s="951">
        <f t="shared" si="50"/>
        <v>10975</v>
      </c>
      <c r="K278" s="952">
        <f t="shared" si="50"/>
        <v>0</v>
      </c>
      <c r="L278" s="951">
        <f t="shared" si="50"/>
        <v>7223.84</v>
      </c>
      <c r="M278" s="951">
        <f t="shared" si="50"/>
        <v>10400</v>
      </c>
      <c r="N278" s="951">
        <f t="shared" si="50"/>
        <v>6975</v>
      </c>
      <c r="O278" s="951">
        <f t="shared" si="50"/>
        <v>-8400</v>
      </c>
      <c r="P278" s="951">
        <f t="shared" si="50"/>
        <v>-4440.25</v>
      </c>
      <c r="Q278" s="951">
        <f>Q277</f>
        <v>-3007.808</v>
      </c>
      <c r="R278" s="953"/>
      <c r="S278" s="936"/>
      <c r="T278" s="936"/>
      <c r="U278" s="936"/>
      <c r="V278" s="936"/>
      <c r="W278" s="936"/>
      <c r="X278" s="936"/>
      <c r="Y278" s="936"/>
      <c r="Z278" s="936"/>
      <c r="AA278" s="936"/>
    </row>
    <row r="279" ht="14.25" customHeight="1">
      <c r="A279" s="936"/>
      <c r="B279" s="744" t="s">
        <v>40</v>
      </c>
      <c r="C279" s="683">
        <v>46025.0</v>
      </c>
      <c r="D279" s="685">
        <v>2.0</v>
      </c>
      <c r="E279" s="686">
        <v>3500.0</v>
      </c>
      <c r="F279" s="689"/>
      <c r="G279" s="603"/>
      <c r="H279" s="690"/>
      <c r="I279" s="689"/>
      <c r="J279" s="686">
        <v>1500.0</v>
      </c>
      <c r="K279" s="928">
        <f t="shared" ref="K279:K282" si="51">E279-J279-L279-M279-N279-I279+G279</f>
        <v>0</v>
      </c>
      <c r="L279" s="689"/>
      <c r="M279" s="688"/>
      <c r="N279" s="939">
        <v>2000.0</v>
      </c>
      <c r="O279" s="940">
        <v>-700.0</v>
      </c>
      <c r="P279" s="939"/>
      <c r="Q279" s="941">
        <f t="shared" ref="Q279:Q299" si="52">Q278+N279+O279+P279</f>
        <v>-1707.808</v>
      </c>
      <c r="R279" s="939"/>
      <c r="S279" s="936"/>
      <c r="T279" s="936"/>
      <c r="U279" s="938"/>
      <c r="V279" s="936"/>
      <c r="W279" s="936"/>
      <c r="X279" s="936"/>
      <c r="Y279" s="936"/>
      <c r="Z279" s="936"/>
      <c r="AA279" s="936"/>
    </row>
    <row r="280" ht="14.25" customHeight="1">
      <c r="A280" s="936"/>
      <c r="B280" s="744"/>
      <c r="C280" s="683">
        <v>46086.0</v>
      </c>
      <c r="D280" s="685">
        <v>2.0</v>
      </c>
      <c r="E280" s="686">
        <v>3500.0</v>
      </c>
      <c r="F280" s="689"/>
      <c r="G280" s="603"/>
      <c r="H280" s="690"/>
      <c r="I280" s="689"/>
      <c r="J280" s="686">
        <v>1500.0</v>
      </c>
      <c r="K280" s="928">
        <f t="shared" si="51"/>
        <v>0</v>
      </c>
      <c r="L280" s="689"/>
      <c r="M280" s="686">
        <v>2000.0</v>
      </c>
      <c r="N280" s="939"/>
      <c r="O280" s="940">
        <v>-700.0</v>
      </c>
      <c r="P280" s="943"/>
      <c r="Q280" s="941">
        <f t="shared" si="52"/>
        <v>-2407.808</v>
      </c>
      <c r="R280" s="943"/>
      <c r="S280" s="936"/>
      <c r="T280" s="936"/>
      <c r="U280" s="938"/>
      <c r="V280" s="936"/>
      <c r="W280" s="936"/>
      <c r="X280" s="936"/>
      <c r="Y280" s="936"/>
      <c r="Z280" s="936"/>
      <c r="AA280" s="936"/>
    </row>
    <row r="281" ht="14.25" customHeight="1">
      <c r="A281" s="936"/>
      <c r="B281" s="690"/>
      <c r="C281" s="683">
        <v>46148.0</v>
      </c>
      <c r="D281" s="685">
        <v>1.0</v>
      </c>
      <c r="E281" s="686">
        <v>2995.84</v>
      </c>
      <c r="F281" s="689"/>
      <c r="G281" s="603"/>
      <c r="H281" s="744" t="s">
        <v>42</v>
      </c>
      <c r="I281" s="689"/>
      <c r="J281" s="689"/>
      <c r="K281" s="928">
        <f t="shared" si="51"/>
        <v>0</v>
      </c>
      <c r="L281" s="686">
        <v>2995.84</v>
      </c>
      <c r="M281" s="689"/>
      <c r="N281" s="943"/>
      <c r="O281" s="940">
        <v>-700.0</v>
      </c>
      <c r="P281" s="943"/>
      <c r="Q281" s="941">
        <f t="shared" si="52"/>
        <v>-3107.808</v>
      </c>
      <c r="R281" s="943"/>
      <c r="S281" s="936"/>
      <c r="T281" s="936"/>
      <c r="U281" s="938"/>
      <c r="V281" s="936"/>
      <c r="W281" s="936"/>
      <c r="X281" s="936"/>
      <c r="Y281" s="936"/>
      <c r="Z281" s="936"/>
      <c r="AA281" s="936"/>
    </row>
    <row r="282" ht="14.25" customHeight="1">
      <c r="A282" s="936"/>
      <c r="B282" s="690"/>
      <c r="C282" s="683">
        <v>46181.0</v>
      </c>
      <c r="D282" s="685">
        <v>2.0</v>
      </c>
      <c r="E282" s="686">
        <v>5200.0</v>
      </c>
      <c r="F282" s="689"/>
      <c r="G282" s="606">
        <v>900.0</v>
      </c>
      <c r="H282" s="690"/>
      <c r="I282" s="689"/>
      <c r="J282" s="693">
        <v>1500.0</v>
      </c>
      <c r="K282" s="928">
        <f t="shared" si="51"/>
        <v>0</v>
      </c>
      <c r="L282" s="688"/>
      <c r="M282" s="693">
        <v>4600.0</v>
      </c>
      <c r="N282" s="943"/>
      <c r="O282" s="940">
        <v>-700.0</v>
      </c>
      <c r="P282" s="943"/>
      <c r="Q282" s="941">
        <f t="shared" si="52"/>
        <v>-3807.808</v>
      </c>
      <c r="R282" s="943"/>
      <c r="S282" s="936"/>
      <c r="T282" s="936"/>
      <c r="U282" s="938"/>
      <c r="V282" s="936"/>
      <c r="W282" s="936"/>
      <c r="X282" s="936"/>
      <c r="Y282" s="936"/>
      <c r="Z282" s="936"/>
      <c r="AA282" s="936"/>
    </row>
    <row r="283" ht="14.25" customHeight="1">
      <c r="A283" s="936"/>
      <c r="B283" s="690"/>
      <c r="C283" s="683">
        <v>46243.0</v>
      </c>
      <c r="D283" s="685">
        <v>1.0</v>
      </c>
      <c r="E283" s="686">
        <v>3000.0</v>
      </c>
      <c r="F283" s="689"/>
      <c r="G283" s="954"/>
      <c r="H283" s="690"/>
      <c r="I283" s="693">
        <v>1000.0</v>
      </c>
      <c r="J283" s="688"/>
      <c r="K283" s="928">
        <f>E283-J283-L283-M283-N283-I283+G283-P283</f>
        <v>0</v>
      </c>
      <c r="L283" s="689"/>
      <c r="M283" s="688"/>
      <c r="N283" s="939">
        <v>1500.0</v>
      </c>
      <c r="O283" s="940">
        <v>-700.0</v>
      </c>
      <c r="P283" s="939">
        <v>500.0</v>
      </c>
      <c r="Q283" s="941">
        <f t="shared" si="52"/>
        <v>-2507.808</v>
      </c>
      <c r="R283" s="939" t="s">
        <v>158</v>
      </c>
      <c r="S283" s="936"/>
      <c r="T283" s="936"/>
      <c r="U283" s="938"/>
      <c r="V283" s="936"/>
      <c r="W283" s="936"/>
      <c r="X283" s="936"/>
      <c r="Y283" s="936"/>
      <c r="Z283" s="936"/>
      <c r="AA283" s="936"/>
    </row>
    <row r="284" ht="14.25" customHeight="1">
      <c r="A284" s="936"/>
      <c r="B284" s="702"/>
      <c r="C284" s="704">
        <v>46278.0</v>
      </c>
      <c r="D284" s="705"/>
      <c r="E284" s="706"/>
      <c r="F284" s="706"/>
      <c r="G284" s="602"/>
      <c r="H284" s="702"/>
      <c r="I284" s="706"/>
      <c r="J284" s="706"/>
      <c r="K284" s="937">
        <f t="shared" ref="K284:K289" si="53">E284-J284-L284-M284-N284-I284+G284</f>
        <v>0</v>
      </c>
      <c r="L284" s="706"/>
      <c r="M284" s="706"/>
      <c r="N284" s="706"/>
      <c r="O284" s="706"/>
      <c r="P284" s="706"/>
      <c r="Q284" s="708">
        <f t="shared" si="52"/>
        <v>-2507.808</v>
      </c>
      <c r="R284" s="706"/>
      <c r="S284" s="936"/>
      <c r="T284" s="936"/>
      <c r="U284" s="938"/>
      <c r="V284" s="936"/>
      <c r="W284" s="936"/>
      <c r="X284" s="936"/>
      <c r="Y284" s="936"/>
      <c r="Z284" s="936"/>
      <c r="AA284" s="936"/>
    </row>
    <row r="285" ht="14.25" customHeight="1">
      <c r="A285" s="936"/>
      <c r="B285" s="690"/>
      <c r="C285" s="685" t="s">
        <v>46</v>
      </c>
      <c r="D285" s="685">
        <v>1.0</v>
      </c>
      <c r="E285" s="686">
        <v>2416.0</v>
      </c>
      <c r="F285" s="689"/>
      <c r="G285" s="603"/>
      <c r="H285" s="744" t="s">
        <v>53</v>
      </c>
      <c r="I285" s="689"/>
      <c r="J285" s="689"/>
      <c r="K285" s="928">
        <f t="shared" si="53"/>
        <v>0</v>
      </c>
      <c r="L285" s="693">
        <v>2416.0</v>
      </c>
      <c r="M285" s="688"/>
      <c r="N285" s="943"/>
      <c r="O285" s="940">
        <v>-700.0</v>
      </c>
      <c r="P285" s="943"/>
      <c r="Q285" s="941">
        <f t="shared" si="52"/>
        <v>-3207.808</v>
      </c>
      <c r="R285" s="943"/>
      <c r="S285" s="936"/>
      <c r="T285" s="936"/>
      <c r="U285" s="938"/>
      <c r="V285" s="936"/>
      <c r="W285" s="936"/>
      <c r="X285" s="936"/>
      <c r="Y285" s="936"/>
      <c r="Z285" s="936"/>
      <c r="AA285" s="936"/>
    </row>
    <row r="286" ht="14.25" customHeight="1">
      <c r="A286" s="936"/>
      <c r="B286" s="702"/>
      <c r="C286" s="738" t="s">
        <v>29</v>
      </c>
      <c r="D286" s="705"/>
      <c r="E286" s="706"/>
      <c r="F286" s="706"/>
      <c r="G286" s="602"/>
      <c r="H286" s="702"/>
      <c r="I286" s="706"/>
      <c r="J286" s="706"/>
      <c r="K286" s="937">
        <f t="shared" si="53"/>
        <v>0</v>
      </c>
      <c r="L286" s="706"/>
      <c r="M286" s="706"/>
      <c r="N286" s="706"/>
      <c r="O286" s="706"/>
      <c r="P286" s="706"/>
      <c r="Q286" s="708">
        <f t="shared" si="52"/>
        <v>-3207.808</v>
      </c>
      <c r="R286" s="706"/>
      <c r="S286" s="936"/>
      <c r="T286" s="936"/>
      <c r="U286" s="938"/>
      <c r="V286" s="936"/>
      <c r="W286" s="936"/>
      <c r="X286" s="936"/>
      <c r="Y286" s="936"/>
      <c r="Z286" s="936"/>
      <c r="AA286" s="936"/>
    </row>
    <row r="287" ht="14.25" customHeight="1">
      <c r="A287" s="936"/>
      <c r="B287" s="690"/>
      <c r="C287" s="685" t="s">
        <v>54</v>
      </c>
      <c r="D287" s="685">
        <v>2.0</v>
      </c>
      <c r="E287" s="686">
        <v>3700.0</v>
      </c>
      <c r="F287" s="689"/>
      <c r="G287" s="603"/>
      <c r="H287" s="744"/>
      <c r="I287" s="689"/>
      <c r="J287" s="693">
        <v>1500.0</v>
      </c>
      <c r="K287" s="928">
        <f t="shared" si="53"/>
        <v>0</v>
      </c>
      <c r="L287" s="689"/>
      <c r="M287" s="686">
        <v>2200.0</v>
      </c>
      <c r="N287" s="943"/>
      <c r="O287" s="940">
        <v>-700.0</v>
      </c>
      <c r="P287" s="943"/>
      <c r="Q287" s="941">
        <f t="shared" si="52"/>
        <v>-3907.808</v>
      </c>
      <c r="R287" s="943"/>
      <c r="S287" s="936"/>
      <c r="T287" s="936"/>
      <c r="U287" s="938"/>
      <c r="V287" s="936"/>
      <c r="W287" s="936"/>
      <c r="X287" s="936"/>
      <c r="Y287" s="936"/>
      <c r="Z287" s="936"/>
      <c r="AA287" s="936"/>
    </row>
    <row r="288" ht="14.25" customHeight="1">
      <c r="A288" s="936"/>
      <c r="B288" s="702"/>
      <c r="C288" s="738" t="s">
        <v>56</v>
      </c>
      <c r="D288" s="705"/>
      <c r="E288" s="706"/>
      <c r="F288" s="706"/>
      <c r="G288" s="602"/>
      <c r="H288" s="702"/>
      <c r="I288" s="706"/>
      <c r="J288" s="706"/>
      <c r="K288" s="937">
        <f t="shared" si="53"/>
        <v>0</v>
      </c>
      <c r="L288" s="706"/>
      <c r="M288" s="706"/>
      <c r="N288" s="706"/>
      <c r="O288" s="706"/>
      <c r="P288" s="706"/>
      <c r="Q288" s="708">
        <f t="shared" si="52"/>
        <v>-3907.808</v>
      </c>
      <c r="R288" s="706"/>
      <c r="S288" s="936"/>
      <c r="T288" s="936"/>
      <c r="U288" s="938"/>
      <c r="V288" s="936"/>
      <c r="W288" s="936"/>
      <c r="X288" s="936"/>
      <c r="Y288" s="936"/>
      <c r="Z288" s="936"/>
      <c r="AA288" s="936"/>
    </row>
    <row r="289" ht="14.25" customHeight="1">
      <c r="A289" s="936"/>
      <c r="B289" s="690"/>
      <c r="C289" s="685" t="s">
        <v>64</v>
      </c>
      <c r="D289" s="685">
        <v>2.0</v>
      </c>
      <c r="E289" s="686">
        <v>4400.0</v>
      </c>
      <c r="F289" s="689"/>
      <c r="G289" s="603"/>
      <c r="H289" s="690"/>
      <c r="I289" s="689"/>
      <c r="J289" s="686">
        <v>1500.0</v>
      </c>
      <c r="K289" s="928">
        <f t="shared" si="53"/>
        <v>0</v>
      </c>
      <c r="L289" s="689"/>
      <c r="M289" s="689"/>
      <c r="N289" s="940">
        <v>2900.0</v>
      </c>
      <c r="O289" s="940">
        <v>-700.0</v>
      </c>
      <c r="P289" s="943"/>
      <c r="Q289" s="941">
        <f t="shared" si="52"/>
        <v>-1707.808</v>
      </c>
      <c r="R289" s="943"/>
      <c r="S289" s="936"/>
      <c r="T289" s="936"/>
      <c r="U289" s="938"/>
      <c r="V289" s="936"/>
      <c r="W289" s="936"/>
      <c r="X289" s="936"/>
      <c r="Y289" s="936"/>
      <c r="Z289" s="936"/>
      <c r="AA289" s="936"/>
    </row>
    <row r="290" ht="14.25" customHeight="1">
      <c r="A290" s="936"/>
      <c r="B290" s="690"/>
      <c r="C290" s="685" t="s">
        <v>68</v>
      </c>
      <c r="D290" s="685">
        <v>1.0</v>
      </c>
      <c r="E290" s="686">
        <v>2500.0</v>
      </c>
      <c r="F290" s="693"/>
      <c r="G290" s="606">
        <v>350.0</v>
      </c>
      <c r="H290" s="690"/>
      <c r="I290" s="689"/>
      <c r="J290" s="686">
        <v>1000.0</v>
      </c>
      <c r="K290" s="928">
        <f t="shared" ref="K290:K297" si="54">E290-J290-L290-M290-N290-I290+G290-P290</f>
        <v>0</v>
      </c>
      <c r="L290" s="689"/>
      <c r="M290" s="689"/>
      <c r="N290" s="940">
        <v>1500.0</v>
      </c>
      <c r="O290" s="940">
        <v>-700.0</v>
      </c>
      <c r="P290" s="939">
        <v>350.0</v>
      </c>
      <c r="Q290" s="941">
        <f t="shared" si="52"/>
        <v>-557.808</v>
      </c>
      <c r="R290" s="943"/>
      <c r="S290" s="936"/>
      <c r="T290" s="936"/>
      <c r="U290" s="938"/>
      <c r="V290" s="936"/>
      <c r="W290" s="936"/>
      <c r="X290" s="936"/>
      <c r="Y290" s="936"/>
      <c r="Z290" s="936"/>
      <c r="AA290" s="936"/>
    </row>
    <row r="291" ht="14.25" customHeight="1">
      <c r="A291" s="936"/>
      <c r="B291" s="690"/>
      <c r="C291" s="685" t="s">
        <v>37</v>
      </c>
      <c r="D291" s="685">
        <v>1.0</v>
      </c>
      <c r="E291" s="686">
        <v>2500.0</v>
      </c>
      <c r="F291" s="693"/>
      <c r="G291" s="606">
        <v>350.0</v>
      </c>
      <c r="H291" s="690"/>
      <c r="I291" s="689"/>
      <c r="J291" s="686">
        <v>1175.0</v>
      </c>
      <c r="K291" s="928">
        <f t="shared" si="54"/>
        <v>0</v>
      </c>
      <c r="L291" s="689"/>
      <c r="M291" s="693">
        <v>1675.0</v>
      </c>
      <c r="N291" s="957"/>
      <c r="O291" s="940">
        <v>-700.0</v>
      </c>
      <c r="P291" s="943"/>
      <c r="Q291" s="941">
        <f t="shared" si="52"/>
        <v>-1257.808</v>
      </c>
      <c r="R291" s="943"/>
      <c r="S291" s="936"/>
      <c r="T291" s="936"/>
      <c r="U291" s="938"/>
      <c r="V291" s="936"/>
      <c r="W291" s="936"/>
      <c r="X291" s="936"/>
      <c r="Y291" s="936"/>
      <c r="Z291" s="936"/>
      <c r="AA291" s="936"/>
    </row>
    <row r="292" ht="14.25" customHeight="1">
      <c r="A292" s="936"/>
      <c r="B292" s="690"/>
      <c r="C292" s="685" t="s">
        <v>41</v>
      </c>
      <c r="D292" s="685">
        <v>1.0</v>
      </c>
      <c r="E292" s="686">
        <v>3000.0</v>
      </c>
      <c r="F292" s="689"/>
      <c r="G292" s="603"/>
      <c r="H292" s="690"/>
      <c r="I292" s="689"/>
      <c r="J292" s="688"/>
      <c r="K292" s="928">
        <f t="shared" si="54"/>
        <v>0</v>
      </c>
      <c r="L292" s="689"/>
      <c r="M292" s="693">
        <v>3000.0</v>
      </c>
      <c r="N292" s="941"/>
      <c r="O292" s="940">
        <v>-700.0</v>
      </c>
      <c r="P292" s="943"/>
      <c r="Q292" s="941">
        <f t="shared" si="52"/>
        <v>-1957.808</v>
      </c>
      <c r="R292" s="943"/>
      <c r="S292" s="936"/>
      <c r="T292" s="936"/>
      <c r="U292" s="938"/>
      <c r="V292" s="936"/>
      <c r="W292" s="936"/>
      <c r="X292" s="936"/>
      <c r="Y292" s="936"/>
      <c r="Z292" s="936"/>
      <c r="AA292" s="936"/>
    </row>
    <row r="293" ht="14.25" customHeight="1">
      <c r="A293" s="936"/>
      <c r="B293" s="690"/>
      <c r="C293" s="685" t="s">
        <v>71</v>
      </c>
      <c r="D293" s="685">
        <v>2.0</v>
      </c>
      <c r="E293" s="686">
        <v>6100.0</v>
      </c>
      <c r="F293" s="689"/>
      <c r="G293" s="603"/>
      <c r="H293" s="690"/>
      <c r="I293" s="689"/>
      <c r="J293" s="686">
        <v>1500.0</v>
      </c>
      <c r="K293" s="928">
        <f t="shared" si="54"/>
        <v>0</v>
      </c>
      <c r="L293" s="689"/>
      <c r="M293" s="693">
        <v>4600.0</v>
      </c>
      <c r="N293" s="941"/>
      <c r="O293" s="940">
        <v>-700.0</v>
      </c>
      <c r="P293" s="943"/>
      <c r="Q293" s="941">
        <f t="shared" si="52"/>
        <v>-2657.808</v>
      </c>
      <c r="R293" s="943"/>
      <c r="S293" s="936"/>
      <c r="T293" s="936"/>
      <c r="U293" s="938"/>
      <c r="V293" s="936"/>
      <c r="W293" s="936"/>
      <c r="X293" s="936"/>
      <c r="Y293" s="936"/>
      <c r="Z293" s="936"/>
      <c r="AA293" s="936"/>
    </row>
    <row r="294" ht="14.25" customHeight="1">
      <c r="A294" s="936"/>
      <c r="B294" s="690"/>
      <c r="C294" s="685" t="s">
        <v>86</v>
      </c>
      <c r="D294" s="685">
        <v>2.0</v>
      </c>
      <c r="E294" s="688">
        <f>2500+2200</f>
        <v>4700</v>
      </c>
      <c r="F294" s="689"/>
      <c r="G294" s="603"/>
      <c r="H294" s="690"/>
      <c r="I294" s="689"/>
      <c r="J294" s="686">
        <v>2000.0</v>
      </c>
      <c r="K294" s="928">
        <f t="shared" si="54"/>
        <v>0</v>
      </c>
      <c r="L294" s="689"/>
      <c r="M294" s="689"/>
      <c r="N294" s="940">
        <v>2700.0</v>
      </c>
      <c r="O294" s="940">
        <v>-700.0</v>
      </c>
      <c r="P294" s="943"/>
      <c r="Q294" s="941">
        <f t="shared" si="52"/>
        <v>-657.808</v>
      </c>
      <c r="R294" s="943"/>
      <c r="S294" s="936"/>
      <c r="T294" s="936"/>
      <c r="U294" s="938"/>
      <c r="V294" s="936"/>
      <c r="W294" s="936"/>
      <c r="X294" s="936"/>
      <c r="Y294" s="936"/>
      <c r="Z294" s="936"/>
      <c r="AA294" s="936"/>
    </row>
    <row r="295" ht="14.25" customHeight="1">
      <c r="A295" s="936"/>
      <c r="B295" s="690"/>
      <c r="C295" s="685" t="s">
        <v>73</v>
      </c>
      <c r="D295" s="685">
        <v>1.0</v>
      </c>
      <c r="E295" s="686">
        <v>3300.0</v>
      </c>
      <c r="F295" s="693"/>
      <c r="G295" s="606">
        <v>450.0</v>
      </c>
      <c r="H295" s="690"/>
      <c r="I295" s="689"/>
      <c r="J295" s="686">
        <v>1225.0</v>
      </c>
      <c r="K295" s="928">
        <f t="shared" si="54"/>
        <v>0</v>
      </c>
      <c r="L295" s="689"/>
      <c r="M295" s="693">
        <v>2525.0</v>
      </c>
      <c r="N295" s="941"/>
      <c r="O295" s="940">
        <v>-700.0</v>
      </c>
      <c r="P295" s="943"/>
      <c r="Q295" s="941">
        <f t="shared" si="52"/>
        <v>-1357.808</v>
      </c>
      <c r="R295" s="943"/>
      <c r="S295" s="936"/>
      <c r="T295" s="936"/>
      <c r="U295" s="938"/>
      <c r="V295" s="936"/>
      <c r="W295" s="936"/>
      <c r="X295" s="936"/>
      <c r="Y295" s="936"/>
      <c r="Z295" s="936"/>
      <c r="AA295" s="936"/>
    </row>
    <row r="296" ht="14.25" customHeight="1">
      <c r="A296" s="936"/>
      <c r="B296" s="690"/>
      <c r="C296" s="685" t="s">
        <v>49</v>
      </c>
      <c r="D296" s="685">
        <v>1.0</v>
      </c>
      <c r="E296" s="686">
        <v>3000.0</v>
      </c>
      <c r="F296" s="689"/>
      <c r="G296" s="603"/>
      <c r="H296" s="690"/>
      <c r="I296" s="689"/>
      <c r="J296" s="686">
        <v>1000.0</v>
      </c>
      <c r="K296" s="928">
        <f t="shared" si="54"/>
        <v>0</v>
      </c>
      <c r="L296" s="689"/>
      <c r="M296" s="693">
        <v>2000.0</v>
      </c>
      <c r="N296" s="941"/>
      <c r="O296" s="940">
        <v>-700.0</v>
      </c>
      <c r="P296" s="943"/>
      <c r="Q296" s="941">
        <f t="shared" si="52"/>
        <v>-2057.808</v>
      </c>
      <c r="R296" s="943"/>
      <c r="S296" s="936"/>
      <c r="T296" s="936"/>
      <c r="U296" s="936"/>
      <c r="V296" s="936"/>
      <c r="W296" s="936"/>
      <c r="X296" s="936"/>
      <c r="Y296" s="936"/>
      <c r="Z296" s="936"/>
      <c r="AA296" s="936"/>
    </row>
    <row r="297" ht="14.25" customHeight="1">
      <c r="A297" s="936"/>
      <c r="B297" s="690"/>
      <c r="C297" s="685" t="s">
        <v>75</v>
      </c>
      <c r="D297" s="685">
        <v>2.0</v>
      </c>
      <c r="E297" s="686">
        <v>5701.76</v>
      </c>
      <c r="F297" s="689"/>
      <c r="G297" s="603"/>
      <c r="H297" s="744" t="s">
        <v>42</v>
      </c>
      <c r="I297" s="689"/>
      <c r="J297" s="688"/>
      <c r="K297" s="928">
        <f t="shared" si="54"/>
        <v>0</v>
      </c>
      <c r="L297" s="693">
        <v>5701.76</v>
      </c>
      <c r="M297" s="689"/>
      <c r="N297" s="941"/>
      <c r="O297" s="940">
        <v>-700.0</v>
      </c>
      <c r="P297" s="943"/>
      <c r="Q297" s="941">
        <f t="shared" si="52"/>
        <v>-2757.808</v>
      </c>
      <c r="R297" s="943"/>
      <c r="S297" s="936"/>
      <c r="T297" s="936"/>
      <c r="U297" s="936"/>
      <c r="V297" s="936"/>
      <c r="W297" s="936"/>
      <c r="X297" s="936"/>
      <c r="Y297" s="936"/>
      <c r="Z297" s="936"/>
      <c r="AA297" s="936"/>
    </row>
    <row r="298" ht="14.25" customHeight="1">
      <c r="A298" s="936"/>
      <c r="B298" s="690"/>
      <c r="C298" s="956"/>
      <c r="D298" s="770"/>
      <c r="E298" s="688"/>
      <c r="F298" s="689"/>
      <c r="G298" s="603"/>
      <c r="H298" s="690"/>
      <c r="I298" s="689"/>
      <c r="J298" s="688"/>
      <c r="K298" s="928"/>
      <c r="L298" s="689"/>
      <c r="M298" s="689"/>
      <c r="N298" s="941"/>
      <c r="O298" s="941"/>
      <c r="P298" s="939">
        <v>-2381.13</v>
      </c>
      <c r="Q298" s="941">
        <f t="shared" si="52"/>
        <v>-5138.938</v>
      </c>
      <c r="R298" s="939" t="s">
        <v>545</v>
      </c>
      <c r="S298" s="936"/>
      <c r="T298" s="936"/>
      <c r="U298" s="936"/>
      <c r="V298" s="936"/>
      <c r="W298" s="936"/>
      <c r="X298" s="936"/>
      <c r="Y298" s="936"/>
      <c r="Z298" s="936"/>
      <c r="AA298" s="936"/>
    </row>
    <row r="299" ht="14.25" customHeight="1">
      <c r="A299" s="936"/>
      <c r="B299" s="690"/>
      <c r="C299" s="956"/>
      <c r="D299" s="770"/>
      <c r="E299" s="688"/>
      <c r="F299" s="689"/>
      <c r="G299" s="603"/>
      <c r="H299" s="690"/>
      <c r="I299" s="689"/>
      <c r="J299" s="688"/>
      <c r="K299" s="928"/>
      <c r="L299" s="689"/>
      <c r="M299" s="689"/>
      <c r="N299" s="941"/>
      <c r="O299" s="941"/>
      <c r="P299" s="939">
        <v>-500.0</v>
      </c>
      <c r="Q299" s="941">
        <f t="shared" si="52"/>
        <v>-5638.938</v>
      </c>
      <c r="R299" s="939" t="s">
        <v>76</v>
      </c>
      <c r="S299" s="936"/>
      <c r="T299" s="936"/>
      <c r="U299" s="936"/>
      <c r="V299" s="936"/>
      <c r="W299" s="936"/>
      <c r="X299" s="936"/>
      <c r="Y299" s="936"/>
      <c r="Z299" s="936"/>
      <c r="AA299" s="936"/>
    </row>
    <row r="300" ht="14.25" customHeight="1">
      <c r="A300" s="936"/>
      <c r="B300" s="948" t="s">
        <v>40</v>
      </c>
      <c r="C300" s="949" t="s">
        <v>80</v>
      </c>
      <c r="D300" s="950">
        <f t="shared" ref="D300:P300" si="55">sum(D279:D299)</f>
        <v>24</v>
      </c>
      <c r="E300" s="951">
        <f t="shared" si="55"/>
        <v>59513.6</v>
      </c>
      <c r="F300" s="951">
        <f t="shared" si="55"/>
        <v>0</v>
      </c>
      <c r="G300" s="951">
        <f t="shared" si="55"/>
        <v>2050</v>
      </c>
      <c r="H300" s="951">
        <f t="shared" si="55"/>
        <v>0</v>
      </c>
      <c r="I300" s="951">
        <f t="shared" si="55"/>
        <v>1000</v>
      </c>
      <c r="J300" s="951">
        <f t="shared" si="55"/>
        <v>15400</v>
      </c>
      <c r="K300" s="958">
        <f t="shared" si="55"/>
        <v>0</v>
      </c>
      <c r="L300" s="951">
        <f t="shared" si="55"/>
        <v>11113.6</v>
      </c>
      <c r="M300" s="951">
        <f t="shared" si="55"/>
        <v>22600</v>
      </c>
      <c r="N300" s="951">
        <f t="shared" si="55"/>
        <v>10600</v>
      </c>
      <c r="O300" s="951">
        <f t="shared" si="55"/>
        <v>-11200</v>
      </c>
      <c r="P300" s="951">
        <f t="shared" si="55"/>
        <v>-2031.13</v>
      </c>
      <c r="Q300" s="951">
        <f>Q299</f>
        <v>-5638.938</v>
      </c>
      <c r="R300" s="953"/>
      <c r="S300" s="936"/>
      <c r="T300" s="936"/>
      <c r="U300" s="936"/>
      <c r="V300" s="936"/>
      <c r="W300" s="936"/>
      <c r="X300" s="936"/>
      <c r="Y300" s="936"/>
      <c r="Z300" s="936"/>
      <c r="AA300" s="936"/>
    </row>
    <row r="301" ht="14.25" customHeight="1">
      <c r="A301" s="423"/>
      <c r="B301" s="959" t="s">
        <v>96</v>
      </c>
      <c r="C301" s="585">
        <v>46056.0</v>
      </c>
      <c r="D301" s="566">
        <v>1.0</v>
      </c>
      <c r="E301" s="886">
        <v>2300.0</v>
      </c>
      <c r="F301" s="619"/>
      <c r="G301" s="587"/>
      <c r="H301" s="584"/>
      <c r="I301" s="619"/>
      <c r="J301" s="886">
        <v>1000.0</v>
      </c>
      <c r="K301" s="928">
        <f>E301-J301-L301-M301-N301-I301+G301</f>
        <v>0</v>
      </c>
      <c r="L301" s="619"/>
      <c r="M301" s="887"/>
      <c r="N301" s="888">
        <v>1300.0</v>
      </c>
      <c r="O301" s="894">
        <v>-700.0</v>
      </c>
      <c r="P301" s="890"/>
      <c r="Q301" s="889">
        <f t="shared" ref="Q301:Q324" si="56">Q300+N301+O301+P301</f>
        <v>-5038.938</v>
      </c>
      <c r="R301" s="890"/>
      <c r="S301" s="423"/>
      <c r="T301" s="423"/>
      <c r="U301" s="891"/>
      <c r="V301" s="423"/>
      <c r="W301" s="423"/>
      <c r="X301" s="423"/>
      <c r="Y301" s="423"/>
      <c r="Z301" s="423"/>
      <c r="AA301" s="423"/>
    </row>
    <row r="302" ht="14.25" customHeight="1">
      <c r="A302" s="423"/>
      <c r="B302" s="959"/>
      <c r="C302" s="585">
        <v>46085.0</v>
      </c>
      <c r="D302" s="566">
        <v>1.0</v>
      </c>
      <c r="E302" s="886">
        <v>2850.0</v>
      </c>
      <c r="F302" s="619"/>
      <c r="G302" s="587"/>
      <c r="H302" s="584"/>
      <c r="I302" s="619"/>
      <c r="J302" s="886">
        <v>1000.0</v>
      </c>
      <c r="K302" s="928"/>
      <c r="L302" s="619"/>
      <c r="M302" s="887"/>
      <c r="N302" s="888">
        <v>1850.0</v>
      </c>
      <c r="O302" s="894">
        <v>-700.0</v>
      </c>
      <c r="P302" s="890"/>
      <c r="Q302" s="889">
        <f t="shared" si="56"/>
        <v>-3888.938</v>
      </c>
      <c r="R302" s="890"/>
      <c r="S302" s="423"/>
      <c r="T302" s="423"/>
      <c r="U302" s="891"/>
      <c r="V302" s="423"/>
      <c r="W302" s="423"/>
      <c r="X302" s="423"/>
      <c r="Y302" s="423"/>
      <c r="Z302" s="423"/>
      <c r="AA302" s="423"/>
    </row>
    <row r="303" ht="14.25" customHeight="1">
      <c r="A303" s="423"/>
      <c r="B303" s="584"/>
      <c r="C303" s="585">
        <v>46118.0</v>
      </c>
      <c r="D303" s="566">
        <v>2.0</v>
      </c>
      <c r="E303" s="886">
        <v>4947.52</v>
      </c>
      <c r="F303" s="619"/>
      <c r="G303" s="587"/>
      <c r="H303" s="627" t="s">
        <v>42</v>
      </c>
      <c r="I303" s="619"/>
      <c r="J303" s="619"/>
      <c r="K303" s="928">
        <f t="shared" ref="K303:K313" si="57">E303-J303-L303-M303-N303-I303+G303</f>
        <v>0</v>
      </c>
      <c r="L303" s="886">
        <v>4947.52</v>
      </c>
      <c r="M303" s="619"/>
      <c r="N303" s="890"/>
      <c r="O303" s="894">
        <v>-700.0</v>
      </c>
      <c r="P303" s="890"/>
      <c r="Q303" s="889">
        <f t="shared" si="56"/>
        <v>-4588.938</v>
      </c>
      <c r="R303" s="890"/>
      <c r="S303" s="423"/>
      <c r="T303" s="423"/>
      <c r="U303" s="891"/>
      <c r="V303" s="423"/>
      <c r="W303" s="423"/>
      <c r="X303" s="423"/>
      <c r="Y303" s="423"/>
      <c r="Z303" s="423"/>
      <c r="AA303" s="423"/>
    </row>
    <row r="304" ht="14.25" customHeight="1">
      <c r="A304" s="423"/>
      <c r="B304" s="584"/>
      <c r="C304" s="585">
        <v>46180.0</v>
      </c>
      <c r="D304" s="566">
        <v>1.0</v>
      </c>
      <c r="E304" s="886">
        <v>2350.0</v>
      </c>
      <c r="F304" s="619"/>
      <c r="G304" s="614"/>
      <c r="H304" s="584"/>
      <c r="I304" s="619"/>
      <c r="J304" s="886">
        <v>1000.0</v>
      </c>
      <c r="K304" s="928">
        <f t="shared" si="57"/>
        <v>0</v>
      </c>
      <c r="L304" s="619"/>
      <c r="M304" s="960"/>
      <c r="N304" s="888">
        <v>1350.0</v>
      </c>
      <c r="O304" s="894">
        <v>-700.0</v>
      </c>
      <c r="P304" s="890"/>
      <c r="Q304" s="889">
        <f t="shared" si="56"/>
        <v>-3938.938</v>
      </c>
      <c r="R304" s="890"/>
      <c r="S304" s="423"/>
      <c r="T304" s="423"/>
      <c r="U304" s="891"/>
      <c r="V304" s="423"/>
      <c r="W304" s="423"/>
      <c r="X304" s="423"/>
      <c r="Y304" s="423"/>
      <c r="Z304" s="423"/>
      <c r="AA304" s="423"/>
    </row>
    <row r="305" ht="14.25" customHeight="1">
      <c r="A305" s="423"/>
      <c r="B305" s="597"/>
      <c r="C305" s="598">
        <v>46211.0</v>
      </c>
      <c r="D305" s="599"/>
      <c r="E305" s="892"/>
      <c r="F305" s="892"/>
      <c r="G305" s="600"/>
      <c r="H305" s="597"/>
      <c r="I305" s="892"/>
      <c r="J305" s="892"/>
      <c r="K305" s="937">
        <f t="shared" si="57"/>
        <v>0</v>
      </c>
      <c r="L305" s="892"/>
      <c r="M305" s="892"/>
      <c r="N305" s="892"/>
      <c r="O305" s="892"/>
      <c r="P305" s="892"/>
      <c r="Q305" s="449">
        <f t="shared" si="56"/>
        <v>-3938.938</v>
      </c>
      <c r="R305" s="892"/>
      <c r="S305" s="423"/>
      <c r="T305" s="423"/>
      <c r="U305" s="891"/>
      <c r="V305" s="423"/>
      <c r="W305" s="423"/>
      <c r="X305" s="423"/>
      <c r="Y305" s="423"/>
      <c r="Z305" s="423"/>
      <c r="AA305" s="423"/>
    </row>
    <row r="306" ht="14.25" customHeight="1">
      <c r="A306" s="423"/>
      <c r="B306" s="584"/>
      <c r="C306" s="585">
        <v>46243.0</v>
      </c>
      <c r="D306" s="566">
        <v>1.0</v>
      </c>
      <c r="E306" s="886">
        <v>2000.0</v>
      </c>
      <c r="F306" s="619"/>
      <c r="G306" s="587"/>
      <c r="H306" s="584"/>
      <c r="I306" s="893">
        <v>1000.0</v>
      </c>
      <c r="J306" s="619"/>
      <c r="K306" s="928">
        <f t="shared" si="57"/>
        <v>0</v>
      </c>
      <c r="L306" s="619"/>
      <c r="M306" s="686">
        <v>1000.0</v>
      </c>
      <c r="N306" s="888"/>
      <c r="O306" s="894">
        <v>-700.0</v>
      </c>
      <c r="P306" s="890"/>
      <c r="Q306" s="889">
        <f t="shared" si="56"/>
        <v>-4638.938</v>
      </c>
      <c r="R306" s="890"/>
      <c r="S306" s="423"/>
      <c r="T306" s="423"/>
      <c r="U306" s="891"/>
      <c r="V306" s="423"/>
      <c r="W306" s="423"/>
      <c r="X306" s="423"/>
      <c r="Y306" s="423"/>
      <c r="Z306" s="423"/>
      <c r="AA306" s="423"/>
    </row>
    <row r="307" ht="14.25" customHeight="1">
      <c r="A307" s="423"/>
      <c r="B307" s="597"/>
      <c r="C307" s="598">
        <v>46275.0</v>
      </c>
      <c r="D307" s="599"/>
      <c r="E307" s="892"/>
      <c r="F307" s="892"/>
      <c r="G307" s="600"/>
      <c r="H307" s="597"/>
      <c r="I307" s="892"/>
      <c r="J307" s="892"/>
      <c r="K307" s="937">
        <f t="shared" si="57"/>
        <v>0</v>
      </c>
      <c r="L307" s="892"/>
      <c r="M307" s="892"/>
      <c r="N307" s="892"/>
      <c r="O307" s="892"/>
      <c r="P307" s="892"/>
      <c r="Q307" s="449">
        <f t="shared" si="56"/>
        <v>-4638.938</v>
      </c>
      <c r="R307" s="892"/>
      <c r="S307" s="423"/>
      <c r="T307" s="423"/>
      <c r="U307" s="903"/>
      <c r="V307" s="423"/>
      <c r="W307" s="423"/>
      <c r="X307" s="423"/>
      <c r="Y307" s="423"/>
      <c r="Z307" s="423"/>
      <c r="AA307" s="423"/>
    </row>
    <row r="308" ht="14.25" customHeight="1">
      <c r="A308" s="423"/>
      <c r="B308" s="584"/>
      <c r="C308" s="585">
        <v>46306.0</v>
      </c>
      <c r="D308" s="566">
        <v>1.0</v>
      </c>
      <c r="E308" s="886">
        <v>2500.0</v>
      </c>
      <c r="F308" s="619"/>
      <c r="G308" s="587"/>
      <c r="H308" s="584"/>
      <c r="I308" s="893">
        <v>1000.0</v>
      </c>
      <c r="J308" s="887"/>
      <c r="K308" s="928">
        <f t="shared" si="57"/>
        <v>0</v>
      </c>
      <c r="L308" s="619"/>
      <c r="M308" s="619"/>
      <c r="N308" s="894">
        <v>1500.0</v>
      </c>
      <c r="O308" s="894">
        <v>-700.0</v>
      </c>
      <c r="P308" s="890"/>
      <c r="Q308" s="889">
        <f t="shared" si="56"/>
        <v>-3838.938</v>
      </c>
      <c r="R308" s="890"/>
      <c r="S308" s="423"/>
      <c r="T308" s="423"/>
      <c r="U308" s="423"/>
      <c r="V308" s="423"/>
      <c r="W308" s="423"/>
      <c r="X308" s="423"/>
      <c r="Y308" s="423"/>
      <c r="Z308" s="423"/>
      <c r="AA308" s="423"/>
    </row>
    <row r="309" ht="14.25" customHeight="1">
      <c r="A309" s="423"/>
      <c r="B309" s="597"/>
      <c r="C309" s="598">
        <v>46342.0</v>
      </c>
      <c r="D309" s="599"/>
      <c r="E309" s="892"/>
      <c r="F309" s="892"/>
      <c r="G309" s="600"/>
      <c r="H309" s="597"/>
      <c r="I309" s="892"/>
      <c r="J309" s="892"/>
      <c r="K309" s="937">
        <f t="shared" si="57"/>
        <v>0</v>
      </c>
      <c r="L309" s="892"/>
      <c r="M309" s="892"/>
      <c r="N309" s="892"/>
      <c r="O309" s="892"/>
      <c r="P309" s="892"/>
      <c r="Q309" s="449">
        <f t="shared" si="56"/>
        <v>-3838.938</v>
      </c>
      <c r="R309" s="892"/>
      <c r="S309" s="423"/>
      <c r="T309" s="423"/>
      <c r="U309" s="903"/>
      <c r="V309" s="423"/>
      <c r="W309" s="423"/>
      <c r="X309" s="423"/>
      <c r="Y309" s="423"/>
      <c r="Z309" s="423"/>
      <c r="AA309" s="423"/>
    </row>
    <row r="310" ht="14.25" customHeight="1">
      <c r="A310" s="423"/>
      <c r="B310" s="584"/>
      <c r="C310" s="566" t="s">
        <v>102</v>
      </c>
      <c r="D310" s="566">
        <v>2.0</v>
      </c>
      <c r="E310" s="886">
        <v>5000.0</v>
      </c>
      <c r="F310" s="619"/>
      <c r="G310" s="587"/>
      <c r="H310" s="627"/>
      <c r="I310" s="619"/>
      <c r="J310" s="886">
        <v>1950.0</v>
      </c>
      <c r="K310" s="928">
        <f t="shared" si="57"/>
        <v>0</v>
      </c>
      <c r="L310" s="619"/>
      <c r="M310" s="619"/>
      <c r="N310" s="894">
        <v>3050.0</v>
      </c>
      <c r="O310" s="894">
        <v>-700.0</v>
      </c>
      <c r="P310" s="890"/>
      <c r="Q310" s="889">
        <f t="shared" si="56"/>
        <v>-1488.938</v>
      </c>
      <c r="R310" s="890"/>
      <c r="S310" s="423"/>
      <c r="T310" s="423"/>
      <c r="U310" s="423"/>
      <c r="V310" s="423"/>
      <c r="W310" s="423"/>
      <c r="X310" s="423"/>
      <c r="Y310" s="423"/>
      <c r="Z310" s="423"/>
      <c r="AA310" s="423"/>
    </row>
    <row r="311" ht="14.25" customHeight="1">
      <c r="A311" s="423"/>
      <c r="B311" s="584"/>
      <c r="C311" s="566" t="s">
        <v>120</v>
      </c>
      <c r="D311" s="566">
        <v>2.0</v>
      </c>
      <c r="E311" s="886">
        <v>3800.0</v>
      </c>
      <c r="F311" s="619"/>
      <c r="G311" s="587"/>
      <c r="H311" s="584"/>
      <c r="I311" s="893">
        <v>1500.0</v>
      </c>
      <c r="J311" s="887"/>
      <c r="K311" s="928">
        <f t="shared" si="57"/>
        <v>0</v>
      </c>
      <c r="L311" s="893">
        <v>2300.0</v>
      </c>
      <c r="M311" s="619"/>
      <c r="N311" s="889"/>
      <c r="O311" s="894">
        <v>-700.0</v>
      </c>
      <c r="P311" s="890"/>
      <c r="Q311" s="889">
        <f t="shared" si="56"/>
        <v>-2188.938</v>
      </c>
      <c r="R311" s="890"/>
      <c r="S311" s="423"/>
      <c r="T311" s="423"/>
      <c r="U311" s="423"/>
      <c r="V311" s="423"/>
      <c r="W311" s="423"/>
      <c r="X311" s="423"/>
      <c r="Y311" s="423"/>
      <c r="Z311" s="423"/>
      <c r="AA311" s="423"/>
    </row>
    <row r="312" ht="14.25" customHeight="1">
      <c r="A312" s="423"/>
      <c r="B312" s="584"/>
      <c r="C312" s="566" t="s">
        <v>69</v>
      </c>
      <c r="D312" s="566">
        <v>1.0</v>
      </c>
      <c r="E312" s="886">
        <v>1500.0</v>
      </c>
      <c r="F312" s="619"/>
      <c r="G312" s="587"/>
      <c r="H312" s="627" t="s">
        <v>125</v>
      </c>
      <c r="I312" s="893"/>
      <c r="J312" s="887"/>
      <c r="K312" s="928">
        <f t="shared" si="57"/>
        <v>0</v>
      </c>
      <c r="L312" s="893"/>
      <c r="M312" s="893"/>
      <c r="N312" s="940">
        <v>1500.0</v>
      </c>
      <c r="O312" s="894"/>
      <c r="P312" s="890"/>
      <c r="Q312" s="889">
        <f t="shared" si="56"/>
        <v>-688.938</v>
      </c>
      <c r="R312" s="888" t="s">
        <v>125</v>
      </c>
      <c r="S312" s="423"/>
      <c r="T312" s="423"/>
      <c r="U312" s="423"/>
      <c r="V312" s="423"/>
      <c r="W312" s="423"/>
      <c r="X312" s="423"/>
      <c r="Y312" s="423"/>
      <c r="Z312" s="423"/>
      <c r="AA312" s="423"/>
    </row>
    <row r="313" ht="14.25" customHeight="1">
      <c r="A313" s="423"/>
      <c r="B313" s="584"/>
      <c r="C313" s="566" t="s">
        <v>68</v>
      </c>
      <c r="D313" s="566">
        <v>1.0</v>
      </c>
      <c r="E313" s="886">
        <v>2000.0</v>
      </c>
      <c r="F313" s="619"/>
      <c r="G313" s="587"/>
      <c r="H313" s="584"/>
      <c r="I313" s="619"/>
      <c r="J313" s="886">
        <v>1000.0</v>
      </c>
      <c r="K313" s="928">
        <f t="shared" si="57"/>
        <v>0</v>
      </c>
      <c r="L313" s="619"/>
      <c r="M313" s="893">
        <v>1000.0</v>
      </c>
      <c r="N313" s="889"/>
      <c r="O313" s="894">
        <v>-700.0</v>
      </c>
      <c r="P313" s="890"/>
      <c r="Q313" s="889">
        <f t="shared" si="56"/>
        <v>-1388.938</v>
      </c>
      <c r="R313" s="890"/>
      <c r="S313" s="423"/>
      <c r="T313" s="423"/>
      <c r="U313" s="423"/>
      <c r="V313" s="423"/>
      <c r="W313" s="423"/>
      <c r="X313" s="423"/>
      <c r="Y313" s="423"/>
      <c r="Z313" s="423"/>
      <c r="AA313" s="423"/>
    </row>
    <row r="314" ht="14.25" customHeight="1">
      <c r="A314" s="423"/>
      <c r="B314" s="597"/>
      <c r="C314" s="613" t="s">
        <v>70</v>
      </c>
      <c r="D314" s="599"/>
      <c r="E314" s="892"/>
      <c r="F314" s="892"/>
      <c r="G314" s="600"/>
      <c r="H314" s="597"/>
      <c r="I314" s="892"/>
      <c r="J314" s="892"/>
      <c r="K314" s="937"/>
      <c r="L314" s="892"/>
      <c r="M314" s="892"/>
      <c r="N314" s="892"/>
      <c r="O314" s="892"/>
      <c r="P314" s="892"/>
      <c r="Q314" s="449">
        <f t="shared" si="56"/>
        <v>-1388.938</v>
      </c>
      <c r="R314" s="892"/>
      <c r="S314" s="423"/>
      <c r="T314" s="423"/>
      <c r="U314" s="903"/>
      <c r="V314" s="423"/>
      <c r="W314" s="423"/>
      <c r="X314" s="423"/>
      <c r="Y314" s="423"/>
      <c r="Z314" s="423"/>
      <c r="AA314" s="423"/>
    </row>
    <row r="315" ht="14.25" customHeight="1">
      <c r="A315" s="423"/>
      <c r="B315" s="584"/>
      <c r="C315" s="566" t="s">
        <v>44</v>
      </c>
      <c r="D315" s="566">
        <v>1.0</v>
      </c>
      <c r="E315" s="886">
        <v>2500.0</v>
      </c>
      <c r="F315" s="619"/>
      <c r="G315" s="595">
        <v>350.0</v>
      </c>
      <c r="H315" s="584"/>
      <c r="I315" s="619"/>
      <c r="J315" s="886">
        <v>1125.0</v>
      </c>
      <c r="K315" s="928">
        <f t="shared" ref="K315:K324" si="58">E315-J315-L315-M315-N315-I315+G315</f>
        <v>0</v>
      </c>
      <c r="L315" s="619"/>
      <c r="M315" s="893">
        <v>1725.0</v>
      </c>
      <c r="N315" s="894"/>
      <c r="O315" s="894">
        <v>-700.0</v>
      </c>
      <c r="P315" s="890"/>
      <c r="Q315" s="889">
        <f t="shared" si="56"/>
        <v>-2088.938</v>
      </c>
      <c r="R315" s="890"/>
      <c r="S315" s="423"/>
      <c r="T315" s="423"/>
      <c r="U315" s="891">
        <f>Q335+'1230'!Q415+'1228'!Q350+'1127'!Q374</f>
        <v>2144.062</v>
      </c>
      <c r="V315" s="423"/>
      <c r="W315" s="423"/>
      <c r="X315" s="423"/>
      <c r="Y315" s="423"/>
      <c r="Z315" s="423"/>
      <c r="AA315" s="423"/>
    </row>
    <row r="316" ht="14.25" customHeight="1">
      <c r="A316" s="423"/>
      <c r="B316" s="597"/>
      <c r="C316" s="613" t="s">
        <v>201</v>
      </c>
      <c r="D316" s="599"/>
      <c r="E316" s="892"/>
      <c r="F316" s="892"/>
      <c r="G316" s="600"/>
      <c r="H316" s="597"/>
      <c r="I316" s="892"/>
      <c r="J316" s="892"/>
      <c r="K316" s="937">
        <f t="shared" si="58"/>
        <v>0</v>
      </c>
      <c r="L316" s="892"/>
      <c r="M316" s="892"/>
      <c r="N316" s="892"/>
      <c r="O316" s="892"/>
      <c r="P316" s="892"/>
      <c r="Q316" s="449">
        <f t="shared" si="56"/>
        <v>-2088.938</v>
      </c>
      <c r="R316" s="892"/>
      <c r="S316" s="423"/>
      <c r="T316" s="423"/>
      <c r="U316" s="903"/>
      <c r="V316" s="423"/>
      <c r="W316" s="423"/>
      <c r="X316" s="423"/>
      <c r="Y316" s="423"/>
      <c r="Z316" s="423"/>
      <c r="AA316" s="423"/>
    </row>
    <row r="317" ht="14.25" customHeight="1">
      <c r="A317" s="423"/>
      <c r="B317" s="584"/>
      <c r="C317" s="566" t="s">
        <v>73</v>
      </c>
      <c r="D317" s="566">
        <v>1.0</v>
      </c>
      <c r="E317" s="886">
        <v>2000.0</v>
      </c>
      <c r="F317" s="619"/>
      <c r="G317" s="587"/>
      <c r="H317" s="584"/>
      <c r="I317" s="619"/>
      <c r="J317" s="886">
        <v>1000.0</v>
      </c>
      <c r="K317" s="928">
        <f t="shared" si="58"/>
        <v>0</v>
      </c>
      <c r="L317" s="619"/>
      <c r="M317" s="893">
        <v>1000.0</v>
      </c>
      <c r="N317" s="889"/>
      <c r="O317" s="894">
        <v>-700.0</v>
      </c>
      <c r="P317" s="890"/>
      <c r="Q317" s="889">
        <f t="shared" si="56"/>
        <v>-2788.938</v>
      </c>
      <c r="R317" s="890"/>
      <c r="S317" s="423"/>
      <c r="T317" s="423"/>
      <c r="U317" s="423"/>
      <c r="V317" s="423"/>
      <c r="W317" s="423"/>
      <c r="X317" s="423"/>
      <c r="Y317" s="423"/>
      <c r="Z317" s="423"/>
      <c r="AA317" s="423"/>
    </row>
    <row r="318" ht="14.25" customHeight="1">
      <c r="A318" s="423"/>
      <c r="B318" s="584"/>
      <c r="C318" s="566" t="s">
        <v>49</v>
      </c>
      <c r="D318" s="566">
        <v>1.0</v>
      </c>
      <c r="E318" s="886">
        <v>1800.0</v>
      </c>
      <c r="F318" s="619"/>
      <c r="G318" s="587"/>
      <c r="H318" s="584"/>
      <c r="I318" s="619"/>
      <c r="J318" s="886">
        <v>1000.0</v>
      </c>
      <c r="K318" s="928">
        <f t="shared" si="58"/>
        <v>0</v>
      </c>
      <c r="L318" s="619"/>
      <c r="M318" s="893">
        <v>400.0</v>
      </c>
      <c r="N318" s="894">
        <v>400.0</v>
      </c>
      <c r="O318" s="894">
        <v>-700.0</v>
      </c>
      <c r="P318" s="888"/>
      <c r="Q318" s="889">
        <f t="shared" si="56"/>
        <v>-3088.938</v>
      </c>
      <c r="R318" s="888"/>
      <c r="S318" s="423"/>
      <c r="T318" s="423"/>
      <c r="U318" s="423"/>
      <c r="V318" s="423"/>
      <c r="W318" s="423"/>
      <c r="X318" s="423"/>
      <c r="Y318" s="423"/>
      <c r="Z318" s="423"/>
      <c r="AA318" s="423"/>
    </row>
    <row r="319" ht="14.25" customHeight="1">
      <c r="A319" s="423"/>
      <c r="B319" s="597"/>
      <c r="C319" s="613" t="s">
        <v>50</v>
      </c>
      <c r="D319" s="961"/>
      <c r="E319" s="892"/>
      <c r="F319" s="892"/>
      <c r="G319" s="600"/>
      <c r="H319" s="597"/>
      <c r="I319" s="892"/>
      <c r="J319" s="892"/>
      <c r="K319" s="937">
        <f t="shared" si="58"/>
        <v>0</v>
      </c>
      <c r="L319" s="892"/>
      <c r="M319" s="892"/>
      <c r="N319" s="892"/>
      <c r="O319" s="892"/>
      <c r="P319" s="892"/>
      <c r="Q319" s="449">
        <f t="shared" si="56"/>
        <v>-3088.938</v>
      </c>
      <c r="R319" s="892"/>
      <c r="S319" s="423"/>
      <c r="T319" s="423"/>
      <c r="U319" s="903"/>
      <c r="V319" s="423"/>
      <c r="W319" s="423"/>
      <c r="X319" s="423"/>
      <c r="Y319" s="423"/>
      <c r="Z319" s="423"/>
      <c r="AA319" s="423"/>
    </row>
    <row r="320" ht="14.25" customHeight="1">
      <c r="A320" s="423"/>
      <c r="B320" s="584"/>
      <c r="C320" s="566" t="s">
        <v>52</v>
      </c>
      <c r="D320" s="566">
        <v>1.0</v>
      </c>
      <c r="E320" s="886">
        <v>2500.0</v>
      </c>
      <c r="F320" s="619"/>
      <c r="G320" s="587"/>
      <c r="H320" s="584"/>
      <c r="I320" s="619"/>
      <c r="J320" s="886">
        <v>1000.0</v>
      </c>
      <c r="K320" s="928">
        <f t="shared" si="58"/>
        <v>0</v>
      </c>
      <c r="L320" s="619"/>
      <c r="M320" s="893">
        <v>1500.0</v>
      </c>
      <c r="N320" s="889"/>
      <c r="O320" s="894">
        <v>-700.0</v>
      </c>
      <c r="P320" s="888"/>
      <c r="Q320" s="889">
        <f t="shared" si="56"/>
        <v>-3788.938</v>
      </c>
      <c r="R320" s="888"/>
      <c r="S320" s="423"/>
      <c r="T320" s="423"/>
      <c r="U320" s="423"/>
      <c r="V320" s="423"/>
      <c r="W320" s="423"/>
      <c r="X320" s="423"/>
      <c r="Y320" s="423"/>
      <c r="Z320" s="423"/>
      <c r="AA320" s="423"/>
    </row>
    <row r="321" ht="14.25" customHeight="1">
      <c r="A321" s="423"/>
      <c r="B321" s="584"/>
      <c r="C321" s="566"/>
      <c r="D321" s="566"/>
      <c r="E321" s="887"/>
      <c r="F321" s="619"/>
      <c r="G321" s="587"/>
      <c r="H321" s="584"/>
      <c r="I321" s="619"/>
      <c r="J321" s="887"/>
      <c r="K321" s="928">
        <f t="shared" si="58"/>
        <v>0</v>
      </c>
      <c r="L321" s="619"/>
      <c r="M321" s="619"/>
      <c r="N321" s="889"/>
      <c r="O321" s="889"/>
      <c r="P321" s="888">
        <v>-2230.89</v>
      </c>
      <c r="Q321" s="889">
        <f t="shared" si="56"/>
        <v>-6019.828</v>
      </c>
      <c r="R321" s="888" t="s">
        <v>55</v>
      </c>
      <c r="S321" s="423"/>
      <c r="T321" s="423"/>
      <c r="U321" s="423"/>
      <c r="V321" s="423"/>
      <c r="W321" s="423"/>
      <c r="X321" s="423"/>
      <c r="Y321" s="423"/>
      <c r="Z321" s="423"/>
      <c r="AA321" s="423"/>
    </row>
    <row r="322" ht="14.25" customHeight="1">
      <c r="A322" s="423"/>
      <c r="B322" s="584"/>
      <c r="C322" s="962"/>
      <c r="D322" s="594"/>
      <c r="E322" s="887"/>
      <c r="F322" s="619"/>
      <c r="G322" s="587"/>
      <c r="H322" s="584"/>
      <c r="I322" s="619"/>
      <c r="J322" s="887"/>
      <c r="K322" s="928">
        <f t="shared" si="58"/>
        <v>0</v>
      </c>
      <c r="L322" s="619"/>
      <c r="M322" s="619"/>
      <c r="N322" s="889"/>
      <c r="O322" s="889"/>
      <c r="P322" s="888">
        <v>-4305.85</v>
      </c>
      <c r="Q322" s="889">
        <f t="shared" si="56"/>
        <v>-10325.678</v>
      </c>
      <c r="R322" s="888" t="s">
        <v>266</v>
      </c>
      <c r="S322" s="423"/>
      <c r="T322" s="423"/>
      <c r="U322" s="423"/>
      <c r="V322" s="423"/>
      <c r="W322" s="423"/>
      <c r="X322" s="423"/>
      <c r="Y322" s="423"/>
      <c r="Z322" s="423"/>
      <c r="AA322" s="423"/>
    </row>
    <row r="323" ht="14.25" customHeight="1">
      <c r="A323" s="423"/>
      <c r="B323" s="584"/>
      <c r="C323" s="962"/>
      <c r="D323" s="594"/>
      <c r="E323" s="887"/>
      <c r="F323" s="619"/>
      <c r="G323" s="587"/>
      <c r="H323" s="584"/>
      <c r="I323" s="619"/>
      <c r="J323" s="887"/>
      <c r="K323" s="928">
        <f t="shared" si="58"/>
        <v>0</v>
      </c>
      <c r="L323" s="619"/>
      <c r="M323" s="619"/>
      <c r="N323" s="889"/>
      <c r="O323" s="889"/>
      <c r="P323" s="888">
        <v>-1702.6</v>
      </c>
      <c r="Q323" s="889">
        <f t="shared" si="56"/>
        <v>-12028.278</v>
      </c>
      <c r="R323" s="888" t="s">
        <v>546</v>
      </c>
      <c r="S323" s="423"/>
      <c r="T323" s="423"/>
      <c r="U323" s="423"/>
      <c r="V323" s="423"/>
      <c r="W323" s="423"/>
      <c r="X323" s="423"/>
      <c r="Y323" s="423"/>
      <c r="Z323" s="423"/>
      <c r="AA323" s="423"/>
    </row>
    <row r="324" ht="14.25" customHeight="1">
      <c r="A324" s="423"/>
      <c r="B324" s="584"/>
      <c r="C324" s="962"/>
      <c r="D324" s="594"/>
      <c r="E324" s="887"/>
      <c r="F324" s="619"/>
      <c r="G324" s="587"/>
      <c r="H324" s="584"/>
      <c r="I324" s="619"/>
      <c r="J324" s="887"/>
      <c r="K324" s="928">
        <f t="shared" si="58"/>
        <v>0</v>
      </c>
      <c r="L324" s="619"/>
      <c r="M324" s="619"/>
      <c r="N324" s="889"/>
      <c r="O324" s="889"/>
      <c r="P324" s="890"/>
      <c r="Q324" s="889">
        <f t="shared" si="56"/>
        <v>-12028.278</v>
      </c>
      <c r="R324" s="888"/>
      <c r="S324" s="423"/>
      <c r="T324" s="423"/>
      <c r="U324" s="423"/>
      <c r="V324" s="423"/>
      <c r="W324" s="423"/>
      <c r="X324" s="423"/>
      <c r="Y324" s="423"/>
      <c r="Z324" s="423"/>
      <c r="AA324" s="423"/>
    </row>
    <row r="325" ht="14.25" customHeight="1">
      <c r="A325" s="423"/>
      <c r="B325" s="904" t="s">
        <v>96</v>
      </c>
      <c r="C325" s="905" t="s">
        <v>80</v>
      </c>
      <c r="D325" s="906">
        <f t="shared" ref="D325:P325" si="59">sum(D301:D324)</f>
        <v>17</v>
      </c>
      <c r="E325" s="907">
        <f t="shared" si="59"/>
        <v>38047.52</v>
      </c>
      <c r="F325" s="907">
        <f t="shared" si="59"/>
        <v>0</v>
      </c>
      <c r="G325" s="907">
        <f t="shared" si="59"/>
        <v>350</v>
      </c>
      <c r="H325" s="907">
        <f t="shared" si="59"/>
        <v>0</v>
      </c>
      <c r="I325" s="907">
        <f t="shared" si="59"/>
        <v>3500</v>
      </c>
      <c r="J325" s="907">
        <f t="shared" si="59"/>
        <v>10075</v>
      </c>
      <c r="K325" s="952">
        <f t="shared" si="59"/>
        <v>0</v>
      </c>
      <c r="L325" s="907">
        <f t="shared" si="59"/>
        <v>7247.52</v>
      </c>
      <c r="M325" s="907">
        <f t="shared" si="59"/>
        <v>6625</v>
      </c>
      <c r="N325" s="907">
        <f t="shared" si="59"/>
        <v>10950</v>
      </c>
      <c r="O325" s="907">
        <f t="shared" si="59"/>
        <v>-9100</v>
      </c>
      <c r="P325" s="907">
        <f t="shared" si="59"/>
        <v>-8239.34</v>
      </c>
      <c r="Q325" s="907">
        <f>Q324</f>
        <v>-12028.278</v>
      </c>
      <c r="R325" s="908"/>
      <c r="S325" s="423"/>
      <c r="T325" s="929" t="s">
        <v>547</v>
      </c>
      <c r="U325" s="891">
        <f t="shared" ref="U325:U326" si="60">P322</f>
        <v>-4305.85</v>
      </c>
      <c r="V325" s="423"/>
      <c r="W325" s="423"/>
      <c r="X325" s="423"/>
      <c r="Y325" s="423"/>
      <c r="Z325" s="423"/>
      <c r="AA325" s="423"/>
    </row>
    <row r="326" ht="14.25" customHeight="1">
      <c r="A326" s="423"/>
      <c r="B326" s="597" t="s">
        <v>105</v>
      </c>
      <c r="C326" s="598">
        <v>46028.0</v>
      </c>
      <c r="D326" s="599"/>
      <c r="E326" s="892"/>
      <c r="F326" s="892"/>
      <c r="G326" s="600"/>
      <c r="H326" s="597"/>
      <c r="I326" s="892"/>
      <c r="J326" s="892"/>
      <c r="K326" s="937">
        <f>E326-J326-L326-M326-N326-I326+G326</f>
        <v>0</v>
      </c>
      <c r="L326" s="892"/>
      <c r="M326" s="892"/>
      <c r="N326" s="892"/>
      <c r="O326" s="892"/>
      <c r="P326" s="892"/>
      <c r="Q326" s="449">
        <f t="shared" ref="Q326:Q334" si="61">Q325+N326+O326+P326</f>
        <v>-12028.278</v>
      </c>
      <c r="R326" s="892"/>
      <c r="S326" s="423"/>
      <c r="T326" s="423"/>
      <c r="U326" s="891">
        <f t="shared" si="60"/>
        <v>-1702.6</v>
      </c>
      <c r="V326" s="423"/>
      <c r="W326" s="423"/>
      <c r="X326" s="423"/>
      <c r="Y326" s="423"/>
      <c r="Z326" s="423"/>
      <c r="AA326" s="423"/>
    </row>
    <row r="327" ht="14.25" customHeight="1">
      <c r="A327" s="423"/>
      <c r="B327" s="959"/>
      <c r="C327" s="585">
        <v>46180.0</v>
      </c>
      <c r="D327" s="566">
        <v>1.0</v>
      </c>
      <c r="E327" s="886">
        <v>2000.0</v>
      </c>
      <c r="F327" s="619"/>
      <c r="G327" s="587"/>
      <c r="H327" s="584"/>
      <c r="I327" s="619"/>
      <c r="J327" s="886">
        <v>1000.0</v>
      </c>
      <c r="K327" s="928"/>
      <c r="L327" s="619"/>
      <c r="M327" s="887"/>
      <c r="N327" s="939">
        <v>1000.0</v>
      </c>
      <c r="O327" s="894">
        <v>-700.0</v>
      </c>
      <c r="P327" s="890"/>
      <c r="Q327" s="889">
        <f t="shared" si="61"/>
        <v>-11728.278</v>
      </c>
      <c r="R327" s="890"/>
      <c r="S327" s="423"/>
      <c r="T327" s="929" t="s">
        <v>548</v>
      </c>
      <c r="U327" s="963">
        <v>1210.96</v>
      </c>
      <c r="V327" s="929" t="s">
        <v>92</v>
      </c>
      <c r="W327" s="423"/>
      <c r="X327" s="423"/>
      <c r="Y327" s="423"/>
      <c r="Z327" s="423"/>
      <c r="AA327" s="423"/>
    </row>
    <row r="328" ht="14.25" customHeight="1">
      <c r="A328" s="423"/>
      <c r="B328" s="584"/>
      <c r="C328" s="585">
        <v>46212.0</v>
      </c>
      <c r="D328" s="566">
        <v>2.0</v>
      </c>
      <c r="E328" s="886">
        <v>4200.0</v>
      </c>
      <c r="F328" s="619"/>
      <c r="G328" s="587"/>
      <c r="H328" s="627"/>
      <c r="I328" s="619"/>
      <c r="J328" s="893">
        <v>1500.0</v>
      </c>
      <c r="K328" s="928">
        <f t="shared" ref="K328:K334" si="62">E328-J328-L328-M328-N328-I328+G328</f>
        <v>0</v>
      </c>
      <c r="L328" s="886"/>
      <c r="M328" s="893">
        <v>2700.0</v>
      </c>
      <c r="N328" s="946"/>
      <c r="O328" s="894">
        <v>-700.0</v>
      </c>
      <c r="P328" s="890"/>
      <c r="Q328" s="889">
        <f t="shared" si="61"/>
        <v>-12428.278</v>
      </c>
      <c r="R328" s="890"/>
      <c r="S328" s="423"/>
      <c r="T328" s="929"/>
      <c r="U328" s="963">
        <v>500.0</v>
      </c>
      <c r="V328" s="929" t="s">
        <v>549</v>
      </c>
      <c r="W328" s="423"/>
      <c r="X328" s="423"/>
      <c r="Y328" s="423"/>
      <c r="Z328" s="423"/>
      <c r="AA328" s="423"/>
    </row>
    <row r="329" ht="14.25" customHeight="1">
      <c r="A329" s="423"/>
      <c r="B329" s="597"/>
      <c r="C329" s="598">
        <v>46275.0</v>
      </c>
      <c r="D329" s="599"/>
      <c r="E329" s="892"/>
      <c r="F329" s="892"/>
      <c r="G329" s="600"/>
      <c r="H329" s="597"/>
      <c r="I329" s="892"/>
      <c r="J329" s="892"/>
      <c r="K329" s="937">
        <f t="shared" si="62"/>
        <v>0</v>
      </c>
      <c r="L329" s="892"/>
      <c r="M329" s="892"/>
      <c r="N329" s="784"/>
      <c r="O329" s="892">
        <v>-700.0</v>
      </c>
      <c r="P329" s="892"/>
      <c r="Q329" s="449">
        <f t="shared" si="61"/>
        <v>-13128.278</v>
      </c>
      <c r="R329" s="892"/>
      <c r="S329" s="423"/>
      <c r="U329" s="963">
        <v>260.0</v>
      </c>
      <c r="V329" s="929" t="s">
        <v>550</v>
      </c>
      <c r="W329" s="423"/>
      <c r="X329" s="423"/>
      <c r="Y329" s="423"/>
      <c r="Z329" s="423"/>
      <c r="AA329" s="423"/>
    </row>
    <row r="330" ht="14.25" customHeight="1">
      <c r="A330" s="423"/>
      <c r="B330" s="584"/>
      <c r="C330" s="585">
        <v>46306.0</v>
      </c>
      <c r="D330" s="566">
        <v>1.0</v>
      </c>
      <c r="E330" s="886">
        <v>2100.0</v>
      </c>
      <c r="F330" s="619"/>
      <c r="G330" s="587"/>
      <c r="H330" s="584"/>
      <c r="I330" s="893"/>
      <c r="J330" s="893">
        <v>1000.0</v>
      </c>
      <c r="K330" s="928">
        <f t="shared" si="62"/>
        <v>0</v>
      </c>
      <c r="L330" s="619"/>
      <c r="M330" s="688"/>
      <c r="N330" s="939">
        <v>1100.0</v>
      </c>
      <c r="O330" s="894">
        <v>-700.0</v>
      </c>
      <c r="P330" s="890"/>
      <c r="Q330" s="889">
        <f t="shared" si="61"/>
        <v>-12728.278</v>
      </c>
      <c r="R330" s="890"/>
      <c r="S330" s="423"/>
      <c r="T330" s="929" t="s">
        <v>551</v>
      </c>
      <c r="U330" s="891"/>
      <c r="V330" s="423"/>
      <c r="W330" s="423"/>
      <c r="X330" s="423"/>
      <c r="Y330" s="423"/>
      <c r="Z330" s="423"/>
      <c r="AA330" s="423"/>
    </row>
    <row r="331" ht="14.25" customHeight="1">
      <c r="A331" s="423"/>
      <c r="B331" s="584"/>
      <c r="C331" s="585">
        <v>46338.0</v>
      </c>
      <c r="D331" s="566">
        <v>1.0</v>
      </c>
      <c r="E331" s="886">
        <v>1800.0</v>
      </c>
      <c r="F331" s="619"/>
      <c r="G331" s="587"/>
      <c r="H331" s="584"/>
      <c r="I331" s="893"/>
      <c r="J331" s="893">
        <v>1000.0</v>
      </c>
      <c r="K331" s="928">
        <f t="shared" si="62"/>
        <v>0</v>
      </c>
      <c r="L331" s="619"/>
      <c r="M331" s="686">
        <v>800.0</v>
      </c>
      <c r="N331" s="939"/>
      <c r="O331" s="894">
        <v>-700.0</v>
      </c>
      <c r="P331" s="890"/>
      <c r="Q331" s="889">
        <f t="shared" si="61"/>
        <v>-13428.278</v>
      </c>
      <c r="R331" s="890"/>
      <c r="S331" s="423"/>
      <c r="T331" s="929" t="s">
        <v>552</v>
      </c>
      <c r="U331" s="963">
        <v>644.24</v>
      </c>
      <c r="V331" s="929" t="s">
        <v>92</v>
      </c>
      <c r="W331" s="423"/>
      <c r="X331" s="423"/>
      <c r="Y331" s="423"/>
      <c r="Z331" s="423"/>
      <c r="AA331" s="423"/>
    </row>
    <row r="332" ht="14.25" customHeight="1">
      <c r="A332" s="423"/>
      <c r="B332" s="597"/>
      <c r="C332" s="598">
        <v>46369.0</v>
      </c>
      <c r="D332" s="599"/>
      <c r="E332" s="892"/>
      <c r="F332" s="892"/>
      <c r="G332" s="600"/>
      <c r="H332" s="597"/>
      <c r="I332" s="892"/>
      <c r="J332" s="892"/>
      <c r="K332" s="937">
        <f t="shared" si="62"/>
        <v>0</v>
      </c>
      <c r="L332" s="892"/>
      <c r="M332" s="892"/>
      <c r="N332" s="784"/>
      <c r="O332" s="892"/>
      <c r="P332" s="892"/>
      <c r="Q332" s="449">
        <f t="shared" si="61"/>
        <v>-13428.278</v>
      </c>
      <c r="R332" s="892"/>
      <c r="S332" s="423"/>
      <c r="T332" s="929"/>
      <c r="U332" s="963">
        <v>699.12</v>
      </c>
      <c r="V332" s="423"/>
      <c r="W332" s="423"/>
      <c r="X332" s="423"/>
      <c r="Y332" s="423"/>
      <c r="Z332" s="423"/>
      <c r="AA332" s="423"/>
    </row>
    <row r="333" ht="14.25" customHeight="1">
      <c r="A333" s="423"/>
      <c r="B333" s="584"/>
      <c r="C333" s="566" t="s">
        <v>117</v>
      </c>
      <c r="D333" s="566">
        <v>2.0</v>
      </c>
      <c r="E333" s="886">
        <v>4500.0</v>
      </c>
      <c r="F333" s="619"/>
      <c r="G333" s="587"/>
      <c r="H333" s="584"/>
      <c r="I333" s="893"/>
      <c r="J333" s="886">
        <v>1500.0</v>
      </c>
      <c r="K333" s="928">
        <f t="shared" si="62"/>
        <v>0</v>
      </c>
      <c r="L333" s="619"/>
      <c r="M333" s="619"/>
      <c r="N333" s="940">
        <v>3000.0</v>
      </c>
      <c r="O333" s="894">
        <v>-700.0</v>
      </c>
      <c r="P333" s="890"/>
      <c r="Q333" s="889">
        <f t="shared" si="61"/>
        <v>-11128.278</v>
      </c>
      <c r="R333" s="890"/>
      <c r="S333" s="423"/>
      <c r="T333" s="423"/>
      <c r="U333" s="930">
        <v>20.0</v>
      </c>
      <c r="V333" s="929" t="s">
        <v>550</v>
      </c>
      <c r="W333" s="423"/>
      <c r="X333" s="423"/>
      <c r="Y333" s="423"/>
      <c r="Z333" s="423"/>
      <c r="AA333" s="423"/>
    </row>
    <row r="334" ht="14.25" customHeight="1">
      <c r="A334" s="423"/>
      <c r="B334" s="584"/>
      <c r="C334" s="566" t="s">
        <v>30</v>
      </c>
      <c r="D334" s="566">
        <v>1.0</v>
      </c>
      <c r="E334" s="886">
        <v>2000.0</v>
      </c>
      <c r="F334" s="893"/>
      <c r="G334" s="595">
        <v>450.0</v>
      </c>
      <c r="H334" s="627"/>
      <c r="I334" s="619"/>
      <c r="J334" s="886">
        <v>1000.0</v>
      </c>
      <c r="K334" s="928">
        <f t="shared" si="62"/>
        <v>0</v>
      </c>
      <c r="L334" s="619"/>
      <c r="M334" s="893">
        <v>1450.0</v>
      </c>
      <c r="N334" s="957"/>
      <c r="O334" s="894">
        <v>-700.0</v>
      </c>
      <c r="P334" s="890"/>
      <c r="Q334" s="889">
        <f t="shared" si="61"/>
        <v>-11828.278</v>
      </c>
      <c r="R334" s="890"/>
      <c r="S334" s="423"/>
      <c r="T334" s="423"/>
      <c r="U334" s="423"/>
      <c r="V334" s="423"/>
      <c r="W334" s="423"/>
      <c r="X334" s="423"/>
      <c r="Y334" s="423"/>
      <c r="Z334" s="423"/>
      <c r="AA334" s="423"/>
    </row>
    <row r="335" ht="14.25" customHeight="1">
      <c r="A335" s="423"/>
      <c r="B335" s="904" t="s">
        <v>96</v>
      </c>
      <c r="C335" s="905" t="s">
        <v>80</v>
      </c>
      <c r="D335" s="906">
        <f t="shared" ref="D335:P335" si="63">sum(D326:D334)</f>
        <v>8</v>
      </c>
      <c r="E335" s="907">
        <f t="shared" si="63"/>
        <v>16600</v>
      </c>
      <c r="F335" s="907">
        <f t="shared" si="63"/>
        <v>0</v>
      </c>
      <c r="G335" s="907">
        <f t="shared" si="63"/>
        <v>450</v>
      </c>
      <c r="H335" s="907">
        <f t="shared" si="63"/>
        <v>0</v>
      </c>
      <c r="I335" s="907">
        <f t="shared" si="63"/>
        <v>0</v>
      </c>
      <c r="J335" s="907">
        <f t="shared" si="63"/>
        <v>7000</v>
      </c>
      <c r="K335" s="952">
        <f t="shared" si="63"/>
        <v>0</v>
      </c>
      <c r="L335" s="907">
        <f t="shared" si="63"/>
        <v>0</v>
      </c>
      <c r="M335" s="907">
        <f t="shared" si="63"/>
        <v>4950</v>
      </c>
      <c r="N335" s="907">
        <f t="shared" si="63"/>
        <v>5100</v>
      </c>
      <c r="O335" s="907">
        <f t="shared" si="63"/>
        <v>-4900</v>
      </c>
      <c r="P335" s="907">
        <f t="shared" si="63"/>
        <v>0</v>
      </c>
      <c r="Q335" s="907">
        <f>Q334</f>
        <v>-11828.278</v>
      </c>
      <c r="R335" s="908"/>
      <c r="S335" s="423"/>
      <c r="T335" s="423"/>
      <c r="U335" s="423"/>
      <c r="V335" s="423"/>
      <c r="W335" s="423"/>
      <c r="X335" s="423"/>
      <c r="Y335" s="423"/>
      <c r="Z335" s="423"/>
      <c r="AA335" s="423"/>
    </row>
    <row r="336" ht="14.25" customHeight="1">
      <c r="D336" s="484"/>
      <c r="E336" s="485"/>
      <c r="F336" s="485"/>
      <c r="G336" s="119"/>
      <c r="J336" s="485"/>
      <c r="K336" s="485"/>
      <c r="L336" s="485"/>
      <c r="M336" s="485"/>
      <c r="N336" s="485"/>
      <c r="O336" s="485"/>
    </row>
    <row r="337" ht="14.25" customHeight="1">
      <c r="D337" s="484"/>
      <c r="E337" s="485"/>
      <c r="F337" s="485"/>
      <c r="G337" s="119"/>
      <c r="J337" s="485"/>
      <c r="K337" s="485"/>
      <c r="L337" s="485"/>
      <c r="M337" s="485"/>
      <c r="N337" s="485"/>
      <c r="O337" s="485"/>
    </row>
    <row r="338" ht="14.25" customHeight="1">
      <c r="D338" s="484"/>
      <c r="E338" s="485"/>
      <c r="F338" s="485"/>
      <c r="G338" s="119"/>
      <c r="J338" s="485"/>
      <c r="K338" s="485"/>
      <c r="L338" s="485"/>
      <c r="M338" s="485"/>
      <c r="N338" s="485"/>
      <c r="O338" s="485"/>
    </row>
    <row r="339" ht="14.25" customHeight="1">
      <c r="D339" s="484"/>
      <c r="E339" s="485"/>
      <c r="F339" s="485"/>
      <c r="G339" s="119"/>
      <c r="J339" s="485"/>
      <c r="K339" s="485"/>
      <c r="L339" s="485"/>
      <c r="M339" s="485"/>
      <c r="N339" s="485"/>
      <c r="O339" s="485"/>
    </row>
    <row r="340" ht="14.25" customHeight="1">
      <c r="D340" s="484"/>
      <c r="E340" s="485"/>
      <c r="F340" s="485"/>
      <c r="G340" s="119"/>
      <c r="J340" s="485"/>
      <c r="K340" s="485"/>
      <c r="L340" s="485"/>
      <c r="M340" s="485"/>
      <c r="N340" s="485"/>
      <c r="O340" s="485"/>
    </row>
    <row r="341" ht="14.25" customHeight="1">
      <c r="D341" s="484"/>
      <c r="E341" s="485"/>
      <c r="F341" s="485"/>
      <c r="G341" s="119"/>
      <c r="J341" s="485"/>
      <c r="K341" s="485"/>
      <c r="L341" s="485"/>
      <c r="M341" s="485"/>
      <c r="N341" s="485"/>
      <c r="O341" s="485"/>
    </row>
    <row r="342" ht="14.25" customHeight="1">
      <c r="D342" s="484"/>
      <c r="E342" s="485"/>
      <c r="F342" s="485"/>
      <c r="G342" s="119"/>
      <c r="J342" s="485"/>
      <c r="K342" s="485"/>
      <c r="L342" s="485"/>
      <c r="M342" s="485"/>
      <c r="N342" s="485"/>
      <c r="O342" s="485"/>
    </row>
    <row r="343" ht="14.25" customHeight="1">
      <c r="D343" s="484"/>
      <c r="E343" s="485"/>
      <c r="F343" s="485"/>
      <c r="G343" s="119"/>
      <c r="J343" s="485"/>
      <c r="K343" s="485"/>
      <c r="L343" s="485"/>
      <c r="M343" s="485"/>
      <c r="N343" s="485"/>
      <c r="O343" s="485"/>
    </row>
    <row r="344" ht="14.25" customHeight="1">
      <c r="D344" s="484"/>
      <c r="E344" s="485"/>
      <c r="F344" s="485"/>
      <c r="G344" s="119"/>
      <c r="J344" s="485"/>
      <c r="K344" s="485"/>
      <c r="L344" s="485"/>
      <c r="M344" s="485"/>
      <c r="N344" s="485"/>
      <c r="O344" s="485"/>
    </row>
    <row r="345" ht="14.25" customHeight="1">
      <c r="D345" s="484"/>
      <c r="E345" s="485"/>
      <c r="F345" s="485"/>
      <c r="G345" s="119"/>
      <c r="J345" s="485"/>
      <c r="K345" s="485"/>
      <c r="L345" s="485"/>
      <c r="M345" s="485"/>
      <c r="N345" s="485"/>
      <c r="O345" s="485"/>
    </row>
    <row r="346" ht="14.25" customHeight="1">
      <c r="D346" s="484"/>
      <c r="E346" s="485"/>
      <c r="F346" s="485"/>
      <c r="G346" s="119"/>
      <c r="J346" s="485"/>
      <c r="K346" s="485"/>
      <c r="L346" s="485"/>
      <c r="M346" s="485"/>
      <c r="N346" s="485"/>
      <c r="O346" s="485"/>
    </row>
    <row r="347" ht="14.25" customHeight="1">
      <c r="D347" s="484"/>
      <c r="E347" s="485"/>
      <c r="F347" s="485"/>
      <c r="G347" s="119"/>
      <c r="J347" s="485"/>
      <c r="K347" s="485"/>
      <c r="L347" s="485"/>
      <c r="M347" s="485"/>
      <c r="N347" s="485"/>
      <c r="O347" s="485"/>
    </row>
    <row r="348" ht="14.25" customHeight="1">
      <c r="D348" s="484"/>
      <c r="E348" s="485"/>
      <c r="F348" s="485"/>
      <c r="G348" s="119"/>
      <c r="J348" s="485"/>
      <c r="K348" s="485"/>
      <c r="L348" s="485"/>
      <c r="M348" s="485"/>
      <c r="N348" s="485"/>
      <c r="O348" s="485"/>
    </row>
    <row r="349" ht="14.25" customHeight="1">
      <c r="D349" s="484"/>
      <c r="E349" s="485"/>
      <c r="F349" s="485"/>
      <c r="G349" s="119"/>
      <c r="J349" s="485"/>
      <c r="K349" s="485"/>
      <c r="L349" s="485"/>
      <c r="M349" s="485"/>
      <c r="N349" s="485"/>
      <c r="O349" s="485"/>
    </row>
    <row r="350" ht="14.25" customHeight="1">
      <c r="D350" s="484"/>
      <c r="E350" s="485"/>
      <c r="F350" s="485"/>
      <c r="G350" s="119"/>
      <c r="J350" s="485"/>
      <c r="K350" s="485"/>
      <c r="L350" s="485"/>
      <c r="M350" s="485"/>
      <c r="N350" s="485"/>
      <c r="O350" s="485"/>
    </row>
    <row r="351" ht="14.25" customHeight="1">
      <c r="D351" s="484"/>
      <c r="E351" s="485"/>
      <c r="F351" s="485"/>
      <c r="G351" s="119"/>
      <c r="J351" s="485"/>
      <c r="K351" s="485"/>
      <c r="L351" s="485"/>
      <c r="M351" s="485"/>
      <c r="N351" s="485"/>
      <c r="O351" s="485"/>
    </row>
    <row r="352" ht="14.25" customHeight="1">
      <c r="D352" s="484"/>
      <c r="E352" s="485"/>
      <c r="F352" s="485"/>
      <c r="G352" s="119"/>
      <c r="J352" s="485"/>
      <c r="K352" s="485"/>
      <c r="L352" s="485"/>
      <c r="M352" s="485"/>
      <c r="N352" s="485"/>
      <c r="O352" s="485"/>
    </row>
    <row r="353" ht="14.25" customHeight="1">
      <c r="D353" s="484"/>
      <c r="E353" s="485"/>
      <c r="F353" s="485"/>
      <c r="G353" s="119"/>
      <c r="J353" s="485"/>
      <c r="K353" s="485"/>
      <c r="L353" s="485"/>
      <c r="M353" s="485"/>
      <c r="N353" s="485"/>
      <c r="O353" s="485"/>
    </row>
    <row r="354" ht="14.25" customHeight="1">
      <c r="D354" s="484"/>
      <c r="E354" s="485"/>
      <c r="F354" s="485"/>
      <c r="G354" s="119"/>
      <c r="J354" s="485"/>
      <c r="K354" s="485"/>
      <c r="L354" s="485"/>
      <c r="M354" s="485"/>
      <c r="N354" s="485"/>
      <c r="O354" s="485"/>
    </row>
    <row r="355" ht="14.25" customHeight="1">
      <c r="D355" s="484"/>
      <c r="E355" s="485"/>
      <c r="F355" s="485"/>
      <c r="G355" s="119"/>
      <c r="J355" s="485"/>
      <c r="K355" s="485"/>
      <c r="L355" s="485"/>
      <c r="M355" s="485"/>
      <c r="N355" s="485"/>
      <c r="O355" s="485"/>
    </row>
    <row r="356" ht="14.25" customHeight="1">
      <c r="D356" s="484"/>
      <c r="E356" s="485"/>
      <c r="F356" s="485"/>
      <c r="G356" s="119"/>
      <c r="J356" s="485"/>
      <c r="K356" s="485"/>
      <c r="L356" s="485"/>
      <c r="M356" s="485"/>
      <c r="N356" s="485"/>
      <c r="O356" s="485"/>
    </row>
    <row r="357" ht="14.25" customHeight="1">
      <c r="D357" s="484"/>
      <c r="E357" s="485"/>
      <c r="F357" s="485"/>
      <c r="G357" s="119"/>
      <c r="J357" s="485"/>
      <c r="K357" s="485"/>
      <c r="L357" s="485"/>
      <c r="M357" s="485"/>
      <c r="N357" s="485"/>
      <c r="O357" s="485"/>
    </row>
    <row r="358" ht="14.25" customHeight="1">
      <c r="D358" s="484"/>
      <c r="E358" s="485"/>
      <c r="F358" s="485"/>
      <c r="G358" s="119"/>
      <c r="J358" s="485"/>
      <c r="K358" s="485"/>
      <c r="L358" s="485"/>
      <c r="M358" s="485"/>
      <c r="N358" s="485"/>
      <c r="O358" s="485"/>
    </row>
    <row r="359" ht="14.25" customHeight="1">
      <c r="D359" s="484"/>
      <c r="E359" s="485"/>
      <c r="F359" s="485"/>
      <c r="G359" s="119"/>
      <c r="J359" s="485"/>
      <c r="K359" s="485"/>
      <c r="L359" s="485"/>
      <c r="M359" s="485"/>
      <c r="N359" s="485"/>
      <c r="O359" s="485"/>
    </row>
    <row r="360" ht="14.25" customHeight="1">
      <c r="D360" s="484"/>
      <c r="E360" s="485"/>
      <c r="F360" s="485"/>
      <c r="G360" s="119"/>
      <c r="J360" s="485"/>
      <c r="K360" s="485"/>
      <c r="L360" s="485"/>
      <c r="M360" s="485"/>
      <c r="N360" s="485"/>
      <c r="O360" s="485"/>
    </row>
    <row r="361" ht="14.25" customHeight="1">
      <c r="D361" s="484"/>
      <c r="E361" s="485"/>
      <c r="F361" s="485"/>
      <c r="G361" s="119"/>
      <c r="J361" s="485"/>
      <c r="K361" s="485"/>
      <c r="L361" s="485"/>
      <c r="M361" s="485"/>
      <c r="N361" s="485"/>
      <c r="O361" s="485"/>
    </row>
    <row r="362" ht="14.25" customHeight="1">
      <c r="D362" s="484"/>
      <c r="E362" s="485"/>
      <c r="F362" s="485"/>
      <c r="G362" s="119"/>
      <c r="J362" s="485"/>
      <c r="K362" s="485"/>
      <c r="L362" s="485"/>
      <c r="M362" s="485"/>
      <c r="N362" s="485"/>
      <c r="O362" s="485"/>
    </row>
    <row r="363" ht="14.25" customHeight="1">
      <c r="D363" s="484"/>
      <c r="E363" s="485"/>
      <c r="F363" s="485"/>
      <c r="G363" s="119"/>
      <c r="J363" s="485"/>
      <c r="K363" s="485"/>
      <c r="L363" s="485"/>
      <c r="M363" s="485"/>
      <c r="N363" s="485"/>
      <c r="O363" s="485"/>
    </row>
    <row r="364" ht="14.25" customHeight="1">
      <c r="D364" s="484"/>
      <c r="E364" s="485"/>
      <c r="F364" s="485"/>
      <c r="G364" s="119"/>
      <c r="J364" s="485"/>
      <c r="K364" s="485"/>
      <c r="L364" s="485"/>
      <c r="M364" s="485"/>
      <c r="N364" s="485"/>
      <c r="O364" s="485"/>
    </row>
    <row r="365" ht="14.25" customHeight="1">
      <c r="D365" s="484"/>
      <c r="E365" s="485"/>
      <c r="F365" s="485"/>
      <c r="G365" s="119"/>
      <c r="J365" s="485"/>
      <c r="K365" s="485"/>
      <c r="L365" s="485"/>
      <c r="M365" s="485"/>
      <c r="N365" s="485"/>
      <c r="O365" s="485"/>
    </row>
    <row r="366" ht="14.25" customHeight="1">
      <c r="D366" s="484"/>
      <c r="E366" s="485"/>
      <c r="F366" s="485"/>
      <c r="G366" s="119"/>
      <c r="J366" s="485"/>
      <c r="K366" s="485"/>
      <c r="L366" s="485"/>
      <c r="M366" s="485"/>
      <c r="N366" s="485"/>
      <c r="O366" s="485"/>
    </row>
    <row r="367" ht="14.25" customHeight="1">
      <c r="D367" s="484"/>
      <c r="E367" s="485"/>
      <c r="F367" s="485"/>
      <c r="G367" s="119"/>
      <c r="J367" s="485"/>
      <c r="K367" s="485"/>
      <c r="L367" s="485"/>
      <c r="M367" s="485"/>
      <c r="N367" s="485"/>
      <c r="O367" s="485"/>
    </row>
    <row r="368" ht="14.25" customHeight="1">
      <c r="D368" s="484"/>
      <c r="E368" s="485"/>
      <c r="F368" s="485"/>
      <c r="G368" s="119"/>
      <c r="J368" s="485"/>
      <c r="K368" s="485"/>
      <c r="L368" s="485"/>
      <c r="M368" s="485"/>
      <c r="N368" s="485"/>
      <c r="O368" s="485"/>
    </row>
    <row r="369" ht="14.25" customHeight="1">
      <c r="D369" s="484"/>
      <c r="E369" s="485"/>
      <c r="F369" s="485"/>
      <c r="G369" s="119"/>
      <c r="J369" s="485"/>
      <c r="K369" s="485"/>
      <c r="L369" s="485"/>
      <c r="M369" s="485"/>
      <c r="N369" s="485"/>
      <c r="O369" s="485"/>
    </row>
    <row r="370" ht="14.25" customHeight="1">
      <c r="D370" s="484"/>
      <c r="E370" s="485"/>
      <c r="F370" s="485"/>
      <c r="G370" s="119"/>
      <c r="J370" s="485"/>
      <c r="K370" s="485"/>
      <c r="L370" s="485"/>
      <c r="M370" s="485"/>
      <c r="N370" s="485"/>
      <c r="O370" s="485"/>
    </row>
    <row r="371" ht="14.25" customHeight="1">
      <c r="D371" s="484"/>
      <c r="E371" s="485"/>
      <c r="F371" s="485"/>
      <c r="G371" s="119"/>
      <c r="J371" s="485"/>
      <c r="K371" s="485"/>
      <c r="L371" s="485"/>
      <c r="M371" s="485"/>
      <c r="N371" s="485"/>
      <c r="O371" s="485"/>
    </row>
    <row r="372" ht="14.25" customHeight="1">
      <c r="D372" s="484"/>
      <c r="E372" s="485"/>
      <c r="F372" s="485"/>
      <c r="G372" s="119"/>
      <c r="J372" s="485"/>
      <c r="K372" s="485"/>
      <c r="L372" s="485"/>
      <c r="M372" s="485"/>
      <c r="N372" s="485"/>
      <c r="O372" s="485"/>
    </row>
    <row r="373" ht="14.25" customHeight="1">
      <c r="D373" s="484"/>
      <c r="E373" s="485"/>
      <c r="F373" s="485"/>
      <c r="G373" s="119"/>
      <c r="J373" s="485"/>
      <c r="K373" s="485"/>
      <c r="L373" s="485"/>
      <c r="M373" s="485"/>
      <c r="N373" s="485"/>
      <c r="O373" s="485"/>
    </row>
    <row r="374" ht="14.25" customHeight="1">
      <c r="D374" s="484"/>
      <c r="E374" s="485"/>
      <c r="F374" s="485"/>
      <c r="G374" s="119"/>
      <c r="J374" s="485"/>
      <c r="K374" s="485"/>
      <c r="L374" s="485"/>
      <c r="M374" s="485"/>
      <c r="N374" s="485"/>
      <c r="O374" s="485"/>
    </row>
    <row r="375" ht="14.25" customHeight="1">
      <c r="D375" s="484"/>
      <c r="E375" s="485"/>
      <c r="F375" s="485"/>
      <c r="G375" s="119"/>
      <c r="J375" s="485"/>
      <c r="K375" s="485"/>
      <c r="L375" s="485"/>
      <c r="M375" s="485"/>
      <c r="N375" s="485"/>
      <c r="O375" s="485"/>
    </row>
    <row r="376" ht="14.25" customHeight="1">
      <c r="D376" s="484"/>
      <c r="E376" s="485"/>
      <c r="F376" s="485"/>
      <c r="G376" s="119"/>
      <c r="J376" s="485"/>
      <c r="K376" s="485"/>
      <c r="L376" s="485"/>
      <c r="M376" s="485"/>
      <c r="N376" s="485"/>
      <c r="O376" s="485"/>
    </row>
    <row r="377" ht="14.25" customHeight="1">
      <c r="D377" s="484"/>
      <c r="E377" s="485"/>
      <c r="F377" s="485"/>
      <c r="G377" s="119"/>
      <c r="J377" s="485"/>
      <c r="K377" s="485"/>
      <c r="L377" s="485"/>
      <c r="M377" s="485"/>
      <c r="N377" s="485"/>
      <c r="O377" s="485"/>
    </row>
    <row r="378" ht="14.25" customHeight="1">
      <c r="D378" s="484"/>
      <c r="E378" s="485"/>
      <c r="F378" s="485"/>
      <c r="G378" s="119"/>
      <c r="J378" s="485"/>
      <c r="K378" s="485"/>
      <c r="L378" s="485"/>
      <c r="M378" s="485"/>
      <c r="N378" s="485"/>
      <c r="O378" s="485"/>
    </row>
    <row r="379" ht="14.25" customHeight="1">
      <c r="D379" s="484"/>
      <c r="E379" s="485"/>
      <c r="F379" s="485"/>
      <c r="G379" s="119"/>
      <c r="J379" s="485"/>
      <c r="K379" s="485"/>
      <c r="L379" s="485"/>
      <c r="M379" s="485"/>
      <c r="N379" s="485"/>
      <c r="O379" s="485"/>
    </row>
    <row r="380" ht="14.25" customHeight="1">
      <c r="D380" s="484"/>
      <c r="E380" s="485"/>
      <c r="F380" s="485"/>
      <c r="G380" s="119"/>
      <c r="J380" s="485"/>
      <c r="K380" s="485"/>
      <c r="L380" s="485"/>
      <c r="M380" s="485"/>
      <c r="N380" s="485"/>
      <c r="O380" s="485"/>
    </row>
    <row r="381" ht="14.25" customHeight="1">
      <c r="D381" s="484"/>
      <c r="E381" s="485"/>
      <c r="F381" s="485"/>
      <c r="G381" s="119"/>
      <c r="J381" s="485"/>
      <c r="K381" s="485"/>
      <c r="L381" s="485"/>
      <c r="M381" s="485"/>
      <c r="N381" s="485"/>
      <c r="O381" s="485"/>
    </row>
    <row r="382" ht="14.25" customHeight="1">
      <c r="D382" s="484"/>
      <c r="E382" s="485"/>
      <c r="F382" s="485"/>
      <c r="G382" s="119"/>
      <c r="J382" s="485"/>
      <c r="K382" s="485"/>
      <c r="L382" s="485"/>
      <c r="M382" s="485"/>
      <c r="N382" s="485"/>
      <c r="O382" s="485"/>
    </row>
    <row r="383" ht="14.25" customHeight="1">
      <c r="D383" s="484"/>
      <c r="E383" s="485"/>
      <c r="F383" s="485"/>
      <c r="G383" s="119"/>
      <c r="J383" s="485"/>
      <c r="K383" s="485"/>
      <c r="L383" s="485"/>
      <c r="M383" s="485"/>
      <c r="N383" s="485"/>
      <c r="O383" s="485"/>
    </row>
    <row r="384" ht="14.25" customHeight="1">
      <c r="D384" s="484"/>
      <c r="E384" s="485"/>
      <c r="F384" s="485"/>
      <c r="G384" s="119"/>
      <c r="J384" s="485"/>
      <c r="K384" s="485"/>
      <c r="L384" s="485"/>
      <c r="M384" s="485"/>
      <c r="N384" s="485"/>
      <c r="O384" s="485"/>
    </row>
    <row r="385" ht="14.25" customHeight="1">
      <c r="D385" s="484"/>
      <c r="E385" s="485"/>
      <c r="F385" s="485"/>
      <c r="G385" s="119"/>
      <c r="J385" s="485"/>
      <c r="K385" s="485"/>
      <c r="L385" s="485"/>
      <c r="M385" s="485"/>
      <c r="N385" s="485"/>
      <c r="O385" s="485"/>
    </row>
    <row r="386" ht="14.25" customHeight="1">
      <c r="D386" s="484"/>
      <c r="E386" s="485"/>
      <c r="F386" s="485"/>
      <c r="G386" s="119"/>
      <c r="J386" s="485"/>
      <c r="K386" s="485"/>
      <c r="L386" s="485"/>
      <c r="M386" s="485"/>
      <c r="N386" s="485"/>
      <c r="O386" s="485"/>
    </row>
    <row r="387" ht="14.25" customHeight="1">
      <c r="D387" s="484"/>
      <c r="E387" s="485"/>
      <c r="F387" s="485"/>
      <c r="G387" s="119"/>
      <c r="J387" s="485"/>
      <c r="K387" s="485"/>
      <c r="L387" s="485"/>
      <c r="M387" s="485"/>
      <c r="N387" s="485"/>
      <c r="O387" s="485"/>
    </row>
    <row r="388" ht="14.25" customHeight="1">
      <c r="D388" s="484"/>
      <c r="E388" s="485"/>
      <c r="F388" s="485"/>
      <c r="G388" s="119"/>
      <c r="J388" s="485"/>
      <c r="K388" s="485"/>
      <c r="L388" s="485"/>
      <c r="M388" s="485"/>
      <c r="N388" s="485"/>
      <c r="O388" s="485"/>
    </row>
    <row r="389" ht="14.25" customHeight="1">
      <c r="D389" s="484"/>
      <c r="E389" s="485"/>
      <c r="F389" s="485"/>
      <c r="G389" s="119"/>
      <c r="J389" s="485"/>
      <c r="K389" s="485"/>
      <c r="L389" s="485"/>
      <c r="M389" s="485"/>
      <c r="N389" s="485"/>
      <c r="O389" s="485"/>
    </row>
    <row r="390" ht="14.25" customHeight="1">
      <c r="D390" s="484"/>
      <c r="E390" s="485"/>
      <c r="F390" s="485"/>
      <c r="G390" s="119"/>
      <c r="J390" s="485"/>
      <c r="K390" s="485"/>
      <c r="L390" s="485"/>
      <c r="M390" s="485"/>
      <c r="N390" s="485"/>
      <c r="O390" s="485"/>
    </row>
    <row r="391" ht="14.25" customHeight="1">
      <c r="D391" s="484"/>
      <c r="E391" s="485"/>
      <c r="F391" s="485"/>
      <c r="G391" s="119"/>
      <c r="J391" s="485"/>
      <c r="K391" s="485"/>
      <c r="L391" s="485"/>
      <c r="M391" s="485"/>
      <c r="N391" s="485"/>
      <c r="O391" s="485"/>
    </row>
    <row r="392" ht="14.25" customHeight="1">
      <c r="D392" s="484"/>
      <c r="E392" s="485"/>
      <c r="F392" s="485"/>
      <c r="G392" s="119"/>
      <c r="J392" s="485"/>
      <c r="K392" s="485"/>
      <c r="L392" s="485"/>
      <c r="M392" s="485"/>
      <c r="N392" s="485"/>
      <c r="O392" s="485"/>
    </row>
    <row r="393" ht="14.25" customHeight="1">
      <c r="D393" s="484"/>
      <c r="E393" s="485"/>
      <c r="F393" s="485"/>
      <c r="G393" s="119"/>
      <c r="J393" s="485"/>
      <c r="K393" s="485"/>
      <c r="L393" s="485"/>
      <c r="M393" s="485"/>
      <c r="N393" s="485"/>
      <c r="O393" s="485"/>
    </row>
    <row r="394" ht="14.25" customHeight="1">
      <c r="D394" s="484"/>
      <c r="E394" s="485"/>
      <c r="F394" s="485"/>
      <c r="G394" s="119"/>
      <c r="J394" s="485"/>
      <c r="K394" s="485"/>
      <c r="L394" s="485"/>
      <c r="M394" s="485"/>
      <c r="N394" s="485"/>
      <c r="O394" s="485"/>
    </row>
    <row r="395" ht="14.25" customHeight="1">
      <c r="D395" s="484"/>
      <c r="E395" s="485"/>
      <c r="F395" s="485"/>
      <c r="G395" s="119"/>
      <c r="J395" s="485"/>
      <c r="K395" s="485"/>
      <c r="L395" s="485"/>
      <c r="M395" s="485"/>
      <c r="N395" s="485"/>
      <c r="O395" s="485"/>
    </row>
    <row r="396" ht="14.25" customHeight="1">
      <c r="D396" s="484"/>
      <c r="E396" s="485"/>
      <c r="F396" s="485"/>
      <c r="G396" s="119"/>
      <c r="J396" s="485"/>
      <c r="K396" s="485"/>
      <c r="L396" s="485"/>
      <c r="M396" s="485"/>
      <c r="N396" s="485"/>
      <c r="O396" s="485"/>
    </row>
    <row r="397" ht="14.25" customHeight="1">
      <c r="D397" s="484"/>
      <c r="E397" s="485"/>
      <c r="F397" s="485"/>
      <c r="G397" s="119"/>
      <c r="J397" s="485"/>
      <c r="K397" s="485"/>
      <c r="L397" s="485"/>
      <c r="M397" s="485"/>
      <c r="N397" s="485"/>
      <c r="O397" s="485"/>
    </row>
    <row r="398" ht="14.25" customHeight="1">
      <c r="D398" s="484"/>
      <c r="E398" s="485"/>
      <c r="F398" s="485"/>
      <c r="G398" s="119"/>
      <c r="J398" s="485"/>
      <c r="K398" s="485"/>
      <c r="L398" s="485"/>
      <c r="M398" s="485"/>
      <c r="N398" s="485"/>
      <c r="O398" s="485"/>
    </row>
    <row r="399" ht="14.25" customHeight="1">
      <c r="D399" s="484"/>
      <c r="E399" s="485"/>
      <c r="F399" s="485"/>
      <c r="G399" s="119"/>
      <c r="J399" s="485"/>
      <c r="K399" s="485"/>
      <c r="L399" s="485"/>
      <c r="M399" s="485"/>
      <c r="N399" s="485"/>
      <c r="O399" s="485"/>
    </row>
    <row r="400" ht="14.25" customHeight="1">
      <c r="D400" s="484"/>
      <c r="E400" s="485"/>
      <c r="F400" s="485"/>
      <c r="G400" s="119"/>
      <c r="J400" s="485"/>
      <c r="K400" s="485"/>
      <c r="L400" s="485"/>
      <c r="M400" s="485"/>
      <c r="N400" s="485"/>
      <c r="O400" s="485"/>
    </row>
    <row r="401" ht="14.25" customHeight="1">
      <c r="D401" s="484"/>
      <c r="E401" s="485"/>
      <c r="F401" s="485"/>
      <c r="G401" s="119"/>
      <c r="J401" s="485"/>
      <c r="K401" s="485"/>
      <c r="L401" s="485"/>
      <c r="M401" s="485"/>
      <c r="N401" s="485"/>
      <c r="O401" s="485"/>
    </row>
    <row r="402" ht="14.25" customHeight="1">
      <c r="D402" s="484"/>
      <c r="E402" s="485"/>
      <c r="F402" s="485"/>
      <c r="G402" s="119"/>
      <c r="J402" s="485"/>
      <c r="K402" s="485"/>
      <c r="L402" s="485"/>
      <c r="M402" s="485"/>
      <c r="N402" s="485"/>
      <c r="O402" s="485"/>
    </row>
    <row r="403" ht="14.25" customHeight="1">
      <c r="D403" s="484"/>
      <c r="E403" s="485"/>
      <c r="F403" s="485"/>
      <c r="G403" s="119"/>
      <c r="J403" s="485"/>
      <c r="K403" s="485"/>
      <c r="L403" s="485"/>
      <c r="M403" s="485"/>
      <c r="N403" s="485"/>
      <c r="O403" s="485"/>
    </row>
    <row r="404" ht="14.25" customHeight="1">
      <c r="D404" s="484"/>
      <c r="E404" s="485"/>
      <c r="F404" s="485"/>
      <c r="G404" s="119"/>
      <c r="J404" s="485"/>
      <c r="K404" s="485"/>
      <c r="L404" s="485"/>
      <c r="M404" s="485"/>
      <c r="N404" s="485"/>
      <c r="O404" s="485"/>
    </row>
    <row r="405" ht="14.25" customHeight="1">
      <c r="D405" s="484"/>
      <c r="E405" s="485"/>
      <c r="F405" s="485"/>
      <c r="G405" s="119"/>
      <c r="J405" s="485"/>
      <c r="K405" s="485"/>
      <c r="L405" s="485"/>
      <c r="M405" s="485"/>
      <c r="N405" s="485"/>
      <c r="O405" s="485"/>
    </row>
    <row r="406" ht="14.25" customHeight="1">
      <c r="D406" s="484"/>
      <c r="E406" s="485"/>
      <c r="F406" s="485"/>
      <c r="G406" s="119"/>
      <c r="J406" s="485"/>
      <c r="K406" s="485"/>
      <c r="L406" s="485"/>
      <c r="M406" s="485"/>
      <c r="N406" s="485"/>
      <c r="O406" s="485"/>
    </row>
    <row r="407" ht="14.25" customHeight="1">
      <c r="D407" s="484"/>
      <c r="E407" s="485"/>
      <c r="F407" s="485"/>
      <c r="G407" s="119"/>
      <c r="J407" s="485"/>
      <c r="K407" s="485"/>
      <c r="L407" s="485"/>
      <c r="M407" s="485"/>
      <c r="N407" s="485"/>
      <c r="O407" s="485"/>
    </row>
    <row r="408" ht="14.25" customHeight="1">
      <c r="D408" s="484"/>
      <c r="E408" s="485"/>
      <c r="F408" s="485"/>
      <c r="G408" s="119"/>
      <c r="J408" s="485"/>
      <c r="K408" s="485"/>
      <c r="L408" s="485"/>
      <c r="M408" s="485"/>
      <c r="N408" s="485"/>
      <c r="O408" s="485"/>
    </row>
    <row r="409" ht="14.25" customHeight="1">
      <c r="D409" s="484"/>
      <c r="E409" s="485"/>
      <c r="F409" s="485"/>
      <c r="G409" s="119"/>
      <c r="J409" s="485"/>
      <c r="K409" s="485"/>
      <c r="L409" s="485"/>
      <c r="M409" s="485"/>
      <c r="N409" s="485"/>
      <c r="O409" s="485"/>
    </row>
    <row r="410" ht="14.25" customHeight="1">
      <c r="D410" s="484"/>
      <c r="E410" s="485"/>
      <c r="F410" s="485"/>
      <c r="G410" s="119"/>
      <c r="J410" s="485"/>
      <c r="K410" s="485"/>
      <c r="L410" s="485"/>
      <c r="M410" s="485"/>
      <c r="N410" s="485"/>
      <c r="O410" s="485"/>
    </row>
    <row r="411" ht="14.25" customHeight="1">
      <c r="D411" s="484"/>
      <c r="E411" s="485"/>
      <c r="F411" s="485"/>
      <c r="G411" s="119"/>
      <c r="J411" s="485"/>
      <c r="K411" s="485"/>
      <c r="L411" s="485"/>
      <c r="M411" s="485"/>
      <c r="N411" s="485"/>
      <c r="O411" s="485"/>
    </row>
    <row r="412" ht="14.25" customHeight="1">
      <c r="D412" s="484"/>
      <c r="E412" s="485"/>
      <c r="F412" s="485"/>
      <c r="G412" s="119"/>
      <c r="J412" s="485"/>
      <c r="K412" s="485"/>
      <c r="L412" s="485"/>
      <c r="M412" s="485"/>
      <c r="N412" s="485"/>
      <c r="O412" s="485"/>
    </row>
    <row r="413" ht="14.25" customHeight="1">
      <c r="D413" s="484"/>
      <c r="E413" s="485"/>
      <c r="F413" s="485"/>
      <c r="G413" s="119"/>
      <c r="J413" s="485"/>
      <c r="K413" s="485"/>
      <c r="L413" s="485"/>
      <c r="M413" s="485"/>
      <c r="N413" s="485"/>
      <c r="O413" s="485"/>
    </row>
    <row r="414" ht="14.25" customHeight="1">
      <c r="D414" s="484"/>
      <c r="E414" s="485"/>
      <c r="F414" s="485"/>
      <c r="G414" s="119"/>
      <c r="J414" s="485"/>
      <c r="K414" s="485"/>
      <c r="L414" s="485"/>
      <c r="M414" s="485"/>
      <c r="N414" s="485"/>
      <c r="O414" s="485"/>
    </row>
    <row r="415" ht="14.25" customHeight="1">
      <c r="D415" s="484"/>
      <c r="E415" s="485"/>
      <c r="F415" s="485"/>
      <c r="G415" s="119"/>
      <c r="J415" s="485"/>
      <c r="K415" s="485"/>
      <c r="L415" s="485"/>
      <c r="M415" s="485"/>
      <c r="N415" s="485"/>
      <c r="O415" s="485"/>
    </row>
    <row r="416" ht="14.25" customHeight="1">
      <c r="D416" s="484"/>
      <c r="E416" s="485"/>
      <c r="F416" s="485"/>
      <c r="G416" s="119"/>
      <c r="J416" s="485"/>
      <c r="K416" s="485"/>
      <c r="L416" s="485"/>
      <c r="M416" s="485"/>
      <c r="N416" s="485"/>
      <c r="O416" s="485"/>
    </row>
    <row r="417" ht="14.25" customHeight="1">
      <c r="D417" s="484"/>
      <c r="E417" s="485"/>
      <c r="F417" s="485"/>
      <c r="G417" s="119"/>
      <c r="J417" s="485"/>
      <c r="K417" s="485"/>
      <c r="L417" s="485"/>
      <c r="M417" s="485"/>
      <c r="N417" s="485"/>
      <c r="O417" s="485"/>
    </row>
    <row r="418" ht="14.25" customHeight="1">
      <c r="D418" s="484"/>
      <c r="E418" s="485"/>
      <c r="F418" s="485"/>
      <c r="G418" s="119"/>
      <c r="J418" s="485"/>
      <c r="K418" s="485"/>
      <c r="L418" s="485"/>
      <c r="M418" s="485"/>
      <c r="N418" s="485"/>
      <c r="O418" s="485"/>
    </row>
    <row r="419" ht="14.25" customHeight="1">
      <c r="D419" s="484"/>
      <c r="E419" s="485"/>
      <c r="F419" s="485"/>
      <c r="G419" s="119"/>
      <c r="J419" s="485"/>
      <c r="K419" s="485"/>
      <c r="L419" s="485"/>
      <c r="M419" s="485"/>
      <c r="N419" s="485"/>
      <c r="O419" s="485"/>
    </row>
    <row r="420" ht="14.25" customHeight="1">
      <c r="D420" s="484"/>
      <c r="E420" s="485"/>
      <c r="F420" s="485"/>
      <c r="G420" s="119"/>
      <c r="J420" s="485"/>
      <c r="K420" s="485"/>
      <c r="L420" s="485"/>
      <c r="M420" s="485"/>
      <c r="N420" s="485"/>
      <c r="O420" s="485"/>
    </row>
    <row r="421" ht="14.25" customHeight="1">
      <c r="D421" s="484"/>
      <c r="E421" s="485"/>
      <c r="F421" s="485"/>
      <c r="G421" s="119"/>
      <c r="J421" s="485"/>
      <c r="K421" s="485"/>
      <c r="L421" s="485"/>
      <c r="M421" s="485"/>
      <c r="N421" s="485"/>
      <c r="O421" s="485"/>
    </row>
    <row r="422" ht="14.25" customHeight="1">
      <c r="D422" s="484"/>
      <c r="E422" s="485"/>
      <c r="F422" s="485"/>
      <c r="G422" s="119"/>
      <c r="J422" s="485"/>
      <c r="K422" s="485"/>
      <c r="L422" s="485"/>
      <c r="M422" s="485"/>
      <c r="N422" s="485"/>
      <c r="O422" s="485"/>
    </row>
    <row r="423" ht="14.25" customHeight="1">
      <c r="D423" s="484"/>
      <c r="E423" s="485"/>
      <c r="F423" s="485"/>
      <c r="G423" s="119"/>
      <c r="J423" s="485"/>
      <c r="K423" s="485"/>
      <c r="L423" s="485"/>
      <c r="M423" s="485"/>
      <c r="N423" s="485"/>
      <c r="O423" s="485"/>
    </row>
    <row r="424" ht="14.25" customHeight="1">
      <c r="D424" s="484"/>
      <c r="E424" s="485"/>
      <c r="F424" s="485"/>
      <c r="G424" s="119"/>
      <c r="J424" s="485"/>
      <c r="K424" s="485"/>
      <c r="L424" s="485"/>
      <c r="M424" s="485"/>
      <c r="N424" s="485"/>
      <c r="O424" s="485"/>
    </row>
    <row r="425" ht="14.25" customHeight="1">
      <c r="D425" s="484"/>
      <c r="E425" s="485"/>
      <c r="F425" s="485"/>
      <c r="G425" s="119"/>
      <c r="J425" s="485"/>
      <c r="K425" s="485"/>
      <c r="L425" s="485"/>
      <c r="M425" s="485"/>
      <c r="N425" s="485"/>
      <c r="O425" s="485"/>
    </row>
    <row r="426" ht="14.25" customHeight="1">
      <c r="D426" s="484"/>
      <c r="E426" s="485"/>
      <c r="F426" s="485"/>
      <c r="G426" s="119"/>
      <c r="J426" s="485"/>
      <c r="K426" s="485"/>
      <c r="L426" s="485"/>
      <c r="M426" s="485"/>
      <c r="N426" s="485"/>
      <c r="O426" s="485"/>
    </row>
    <row r="427" ht="14.25" customHeight="1">
      <c r="D427" s="484"/>
      <c r="E427" s="485"/>
      <c r="F427" s="485"/>
      <c r="G427" s="119"/>
      <c r="J427" s="485"/>
      <c r="K427" s="485"/>
      <c r="L427" s="485"/>
      <c r="M427" s="485"/>
      <c r="N427" s="485"/>
      <c r="O427" s="485"/>
    </row>
    <row r="428" ht="14.25" customHeight="1">
      <c r="D428" s="484"/>
      <c r="E428" s="485"/>
      <c r="F428" s="485"/>
      <c r="G428" s="119"/>
      <c r="J428" s="485"/>
      <c r="K428" s="485"/>
      <c r="L428" s="485"/>
      <c r="M428" s="485"/>
      <c r="N428" s="485"/>
      <c r="O428" s="485"/>
    </row>
    <row r="429" ht="14.25" customHeight="1">
      <c r="D429" s="484"/>
      <c r="E429" s="485"/>
      <c r="F429" s="485"/>
      <c r="G429" s="119"/>
      <c r="J429" s="485"/>
      <c r="K429" s="485"/>
      <c r="L429" s="485"/>
      <c r="M429" s="485"/>
      <c r="N429" s="485"/>
      <c r="O429" s="485"/>
    </row>
    <row r="430" ht="14.25" customHeight="1">
      <c r="D430" s="484"/>
      <c r="E430" s="485"/>
      <c r="F430" s="485"/>
      <c r="G430" s="119"/>
      <c r="J430" s="485"/>
      <c r="K430" s="485"/>
      <c r="L430" s="485"/>
      <c r="M430" s="485"/>
      <c r="N430" s="485"/>
      <c r="O430" s="485"/>
    </row>
    <row r="431" ht="14.25" customHeight="1">
      <c r="D431" s="484"/>
      <c r="E431" s="485"/>
      <c r="F431" s="485"/>
      <c r="G431" s="119"/>
      <c r="J431" s="485"/>
      <c r="K431" s="485"/>
      <c r="L431" s="485"/>
      <c r="M431" s="485"/>
      <c r="N431" s="485"/>
      <c r="O431" s="485"/>
    </row>
    <row r="432" ht="14.25" customHeight="1">
      <c r="D432" s="484"/>
      <c r="E432" s="485"/>
      <c r="F432" s="485"/>
      <c r="G432" s="119"/>
      <c r="J432" s="485"/>
      <c r="K432" s="485"/>
      <c r="L432" s="485"/>
      <c r="M432" s="485"/>
      <c r="N432" s="485"/>
      <c r="O432" s="485"/>
    </row>
    <row r="433" ht="14.25" customHeight="1">
      <c r="D433" s="484"/>
      <c r="E433" s="485"/>
      <c r="F433" s="485"/>
      <c r="G433" s="119"/>
      <c r="J433" s="485"/>
      <c r="K433" s="485"/>
      <c r="L433" s="485"/>
      <c r="M433" s="485"/>
      <c r="N433" s="485"/>
      <c r="O433" s="485"/>
    </row>
    <row r="434" ht="14.25" customHeight="1">
      <c r="D434" s="484"/>
      <c r="E434" s="485"/>
      <c r="F434" s="485"/>
      <c r="G434" s="119"/>
      <c r="J434" s="485"/>
      <c r="K434" s="485"/>
      <c r="L434" s="485"/>
      <c r="M434" s="485"/>
      <c r="N434" s="485"/>
      <c r="O434" s="485"/>
    </row>
    <row r="435" ht="14.25" customHeight="1">
      <c r="D435" s="484"/>
      <c r="E435" s="485"/>
      <c r="F435" s="485"/>
      <c r="G435" s="119"/>
      <c r="J435" s="485"/>
      <c r="K435" s="485"/>
      <c r="L435" s="485"/>
      <c r="M435" s="485"/>
      <c r="N435" s="485"/>
      <c r="O435" s="485"/>
    </row>
    <row r="436" ht="14.25" customHeight="1">
      <c r="D436" s="484"/>
      <c r="E436" s="485"/>
      <c r="F436" s="485"/>
      <c r="G436" s="119"/>
      <c r="J436" s="485"/>
      <c r="K436" s="485"/>
      <c r="L436" s="485"/>
      <c r="M436" s="485"/>
      <c r="N436" s="485"/>
      <c r="O436" s="485"/>
    </row>
    <row r="437" ht="14.25" customHeight="1">
      <c r="D437" s="484"/>
      <c r="E437" s="485"/>
      <c r="F437" s="485"/>
      <c r="G437" s="119"/>
      <c r="J437" s="485"/>
      <c r="K437" s="485"/>
      <c r="L437" s="485"/>
      <c r="M437" s="485"/>
      <c r="N437" s="485"/>
      <c r="O437" s="485"/>
    </row>
    <row r="438" ht="14.25" customHeight="1">
      <c r="D438" s="484"/>
      <c r="E438" s="485"/>
      <c r="F438" s="485"/>
      <c r="G438" s="119"/>
      <c r="J438" s="485"/>
      <c r="K438" s="485"/>
      <c r="L438" s="485"/>
      <c r="M438" s="485"/>
      <c r="N438" s="485"/>
      <c r="O438" s="485"/>
    </row>
    <row r="439" ht="14.25" customHeight="1">
      <c r="D439" s="484"/>
      <c r="E439" s="485"/>
      <c r="F439" s="485"/>
      <c r="G439" s="119"/>
      <c r="J439" s="485"/>
      <c r="K439" s="485"/>
      <c r="L439" s="485"/>
      <c r="M439" s="485"/>
      <c r="N439" s="485"/>
      <c r="O439" s="485"/>
    </row>
    <row r="440" ht="14.25" customHeight="1">
      <c r="D440" s="484"/>
      <c r="E440" s="485"/>
      <c r="F440" s="485"/>
      <c r="G440" s="119"/>
      <c r="J440" s="485"/>
      <c r="K440" s="485"/>
      <c r="L440" s="485"/>
      <c r="M440" s="485"/>
      <c r="N440" s="485"/>
      <c r="O440" s="485"/>
    </row>
    <row r="441" ht="14.25" customHeight="1">
      <c r="D441" s="484"/>
      <c r="E441" s="485"/>
      <c r="F441" s="485"/>
      <c r="G441" s="119"/>
      <c r="J441" s="485"/>
      <c r="K441" s="485"/>
      <c r="L441" s="485"/>
      <c r="M441" s="485"/>
      <c r="N441" s="485"/>
      <c r="O441" s="485"/>
    </row>
    <row r="442" ht="14.25" customHeight="1">
      <c r="D442" s="484"/>
      <c r="E442" s="485"/>
      <c r="F442" s="485"/>
      <c r="G442" s="119"/>
      <c r="J442" s="485"/>
      <c r="K442" s="485"/>
      <c r="L442" s="485"/>
      <c r="M442" s="485"/>
      <c r="N442" s="485"/>
      <c r="O442" s="485"/>
    </row>
    <row r="443" ht="14.25" customHeight="1">
      <c r="D443" s="484"/>
      <c r="E443" s="485"/>
      <c r="F443" s="485"/>
      <c r="G443" s="119"/>
      <c r="J443" s="485"/>
      <c r="K443" s="485"/>
      <c r="L443" s="485"/>
      <c r="M443" s="485"/>
      <c r="N443" s="485"/>
      <c r="O443" s="485"/>
    </row>
    <row r="444" ht="14.25" customHeight="1">
      <c r="D444" s="484"/>
      <c r="E444" s="485"/>
      <c r="F444" s="485"/>
      <c r="G444" s="119"/>
      <c r="J444" s="485"/>
      <c r="K444" s="485"/>
      <c r="L444" s="485"/>
      <c r="M444" s="485"/>
      <c r="N444" s="485"/>
      <c r="O444" s="485"/>
    </row>
    <row r="445" ht="14.25" customHeight="1">
      <c r="D445" s="484"/>
      <c r="E445" s="485"/>
      <c r="F445" s="485"/>
      <c r="G445" s="119"/>
      <c r="J445" s="485"/>
      <c r="K445" s="485"/>
      <c r="L445" s="485"/>
      <c r="M445" s="485"/>
      <c r="N445" s="485"/>
      <c r="O445" s="485"/>
    </row>
    <row r="446" ht="14.25" customHeight="1">
      <c r="D446" s="484"/>
      <c r="E446" s="485"/>
      <c r="F446" s="485"/>
      <c r="G446" s="119"/>
      <c r="J446" s="485"/>
      <c r="K446" s="485"/>
      <c r="L446" s="485"/>
      <c r="M446" s="485"/>
      <c r="N446" s="485"/>
      <c r="O446" s="485"/>
    </row>
    <row r="447" ht="14.25" customHeight="1">
      <c r="D447" s="484"/>
      <c r="E447" s="485"/>
      <c r="F447" s="485"/>
      <c r="G447" s="119"/>
      <c r="J447" s="485"/>
      <c r="K447" s="485"/>
      <c r="L447" s="485"/>
      <c r="M447" s="485"/>
      <c r="N447" s="485"/>
      <c r="O447" s="485"/>
    </row>
    <row r="448" ht="14.25" customHeight="1">
      <c r="D448" s="484"/>
      <c r="E448" s="485"/>
      <c r="F448" s="485"/>
      <c r="G448" s="119"/>
      <c r="J448" s="485"/>
      <c r="K448" s="485"/>
      <c r="L448" s="485"/>
      <c r="M448" s="485"/>
      <c r="N448" s="485"/>
      <c r="O448" s="485"/>
    </row>
    <row r="449" ht="14.25" customHeight="1">
      <c r="D449" s="484"/>
      <c r="E449" s="485"/>
      <c r="F449" s="485"/>
      <c r="G449" s="119"/>
      <c r="J449" s="485"/>
      <c r="K449" s="485"/>
      <c r="L449" s="485"/>
      <c r="M449" s="485"/>
      <c r="N449" s="485"/>
      <c r="O449" s="485"/>
    </row>
    <row r="450" ht="14.25" customHeight="1">
      <c r="D450" s="484"/>
      <c r="E450" s="485"/>
      <c r="F450" s="485"/>
      <c r="G450" s="119"/>
      <c r="J450" s="485"/>
      <c r="K450" s="485"/>
      <c r="L450" s="485"/>
      <c r="M450" s="485"/>
      <c r="N450" s="485"/>
      <c r="O450" s="485"/>
    </row>
    <row r="451" ht="14.25" customHeight="1">
      <c r="D451" s="484"/>
      <c r="E451" s="485"/>
      <c r="F451" s="485"/>
      <c r="G451" s="119"/>
      <c r="J451" s="485"/>
      <c r="K451" s="485"/>
      <c r="L451" s="485"/>
      <c r="M451" s="485"/>
      <c r="N451" s="485"/>
      <c r="O451" s="485"/>
    </row>
    <row r="452" ht="14.25" customHeight="1">
      <c r="D452" s="484"/>
      <c r="E452" s="485"/>
      <c r="F452" s="485"/>
      <c r="G452" s="119"/>
      <c r="J452" s="485"/>
      <c r="K452" s="485"/>
      <c r="L452" s="485"/>
      <c r="M452" s="485"/>
      <c r="N452" s="485"/>
      <c r="O452" s="485"/>
    </row>
    <row r="453" ht="14.25" customHeight="1">
      <c r="D453" s="484"/>
      <c r="E453" s="485"/>
      <c r="F453" s="485"/>
      <c r="G453" s="119"/>
      <c r="J453" s="485"/>
      <c r="K453" s="485"/>
      <c r="L453" s="485"/>
      <c r="M453" s="485"/>
      <c r="N453" s="485"/>
      <c r="O453" s="485"/>
    </row>
    <row r="454" ht="14.25" customHeight="1">
      <c r="D454" s="484"/>
      <c r="E454" s="485"/>
      <c r="F454" s="485"/>
      <c r="G454" s="119"/>
      <c r="J454" s="485"/>
      <c r="K454" s="485"/>
      <c r="L454" s="485"/>
      <c r="M454" s="485"/>
      <c r="N454" s="485"/>
      <c r="O454" s="485"/>
    </row>
    <row r="455" ht="14.25" customHeight="1">
      <c r="D455" s="484"/>
      <c r="E455" s="485"/>
      <c r="F455" s="485"/>
      <c r="G455" s="119"/>
      <c r="J455" s="485"/>
      <c r="K455" s="485"/>
      <c r="L455" s="485"/>
      <c r="M455" s="485"/>
      <c r="N455" s="485"/>
      <c r="O455" s="485"/>
    </row>
    <row r="456" ht="14.25" customHeight="1">
      <c r="D456" s="484"/>
      <c r="E456" s="485"/>
      <c r="F456" s="485"/>
      <c r="G456" s="119"/>
      <c r="J456" s="485"/>
      <c r="K456" s="485"/>
      <c r="L456" s="485"/>
      <c r="M456" s="485"/>
      <c r="N456" s="485"/>
      <c r="O456" s="485"/>
    </row>
    <row r="457" ht="14.25" customHeight="1">
      <c r="D457" s="484"/>
      <c r="E457" s="485"/>
      <c r="F457" s="485"/>
      <c r="G457" s="119"/>
      <c r="J457" s="485"/>
      <c r="K457" s="485"/>
      <c r="L457" s="485"/>
      <c r="M457" s="485"/>
      <c r="N457" s="485"/>
      <c r="O457" s="485"/>
    </row>
    <row r="458" ht="14.25" customHeight="1">
      <c r="D458" s="484"/>
      <c r="E458" s="485"/>
      <c r="F458" s="485"/>
      <c r="G458" s="119"/>
      <c r="J458" s="485"/>
      <c r="K458" s="485"/>
      <c r="L458" s="485"/>
      <c r="M458" s="485"/>
      <c r="N458" s="485"/>
      <c r="O458" s="485"/>
    </row>
    <row r="459" ht="14.25" customHeight="1">
      <c r="D459" s="484"/>
      <c r="E459" s="485"/>
      <c r="F459" s="485"/>
      <c r="G459" s="119"/>
      <c r="J459" s="485"/>
      <c r="K459" s="485"/>
      <c r="L459" s="485"/>
      <c r="M459" s="485"/>
      <c r="N459" s="485"/>
      <c r="O459" s="485"/>
    </row>
    <row r="460" ht="14.25" customHeight="1">
      <c r="D460" s="484"/>
      <c r="E460" s="485"/>
      <c r="F460" s="485"/>
      <c r="G460" s="119"/>
      <c r="J460" s="485"/>
      <c r="K460" s="485"/>
      <c r="L460" s="485"/>
      <c r="M460" s="485"/>
      <c r="N460" s="485"/>
      <c r="O460" s="485"/>
    </row>
    <row r="461" ht="14.25" customHeight="1">
      <c r="D461" s="484"/>
      <c r="E461" s="485"/>
      <c r="F461" s="485"/>
      <c r="G461" s="119"/>
      <c r="J461" s="485"/>
      <c r="K461" s="485"/>
      <c r="L461" s="485"/>
      <c r="M461" s="485"/>
      <c r="N461" s="485"/>
      <c r="O461" s="485"/>
    </row>
    <row r="462" ht="14.25" customHeight="1">
      <c r="D462" s="484"/>
      <c r="E462" s="485"/>
      <c r="F462" s="485"/>
      <c r="G462" s="119"/>
      <c r="J462" s="485"/>
      <c r="K462" s="485"/>
      <c r="L462" s="485"/>
      <c r="M462" s="485"/>
      <c r="N462" s="485"/>
      <c r="O462" s="485"/>
    </row>
    <row r="463" ht="14.25" customHeight="1">
      <c r="D463" s="484"/>
      <c r="E463" s="485"/>
      <c r="F463" s="485"/>
      <c r="G463" s="119"/>
      <c r="J463" s="485"/>
      <c r="K463" s="485"/>
      <c r="L463" s="485"/>
      <c r="M463" s="485"/>
      <c r="N463" s="485"/>
      <c r="O463" s="485"/>
    </row>
    <row r="464" ht="14.25" customHeight="1">
      <c r="D464" s="484"/>
      <c r="E464" s="485"/>
      <c r="F464" s="485"/>
      <c r="G464" s="119"/>
      <c r="J464" s="485"/>
      <c r="K464" s="485"/>
      <c r="L464" s="485"/>
      <c r="M464" s="485"/>
      <c r="N464" s="485"/>
      <c r="O464" s="485"/>
    </row>
    <row r="465" ht="14.25" customHeight="1">
      <c r="D465" s="484"/>
      <c r="E465" s="485"/>
      <c r="F465" s="485"/>
      <c r="G465" s="119"/>
      <c r="J465" s="485"/>
      <c r="K465" s="485"/>
      <c r="L465" s="485"/>
      <c r="M465" s="485"/>
      <c r="N465" s="485"/>
      <c r="O465" s="485"/>
    </row>
    <row r="466" ht="14.25" customHeight="1">
      <c r="D466" s="484"/>
      <c r="E466" s="485"/>
      <c r="F466" s="485"/>
      <c r="G466" s="119"/>
      <c r="J466" s="485"/>
      <c r="K466" s="485"/>
      <c r="L466" s="485"/>
      <c r="M466" s="485"/>
      <c r="N466" s="485"/>
      <c r="O466" s="485"/>
    </row>
    <row r="467" ht="14.25" customHeight="1">
      <c r="D467" s="484"/>
      <c r="E467" s="485"/>
      <c r="F467" s="485"/>
      <c r="G467" s="119"/>
      <c r="J467" s="485"/>
      <c r="K467" s="485"/>
      <c r="L467" s="485"/>
      <c r="M467" s="485"/>
      <c r="N467" s="485"/>
      <c r="O467" s="485"/>
    </row>
    <row r="468" ht="14.25" customHeight="1">
      <c r="D468" s="484"/>
      <c r="E468" s="485"/>
      <c r="F468" s="485"/>
      <c r="G468" s="119"/>
      <c r="J468" s="485"/>
      <c r="K468" s="485"/>
      <c r="L468" s="485"/>
      <c r="M468" s="485"/>
      <c r="N468" s="485"/>
      <c r="O468" s="485"/>
    </row>
    <row r="469" ht="14.25" customHeight="1">
      <c r="D469" s="484"/>
      <c r="E469" s="485"/>
      <c r="F469" s="485"/>
      <c r="G469" s="119"/>
      <c r="J469" s="485"/>
      <c r="K469" s="485"/>
      <c r="L469" s="485"/>
      <c r="M469" s="485"/>
      <c r="N469" s="485"/>
      <c r="O469" s="485"/>
    </row>
    <row r="470" ht="14.25" customHeight="1">
      <c r="D470" s="484"/>
      <c r="E470" s="485"/>
      <c r="F470" s="485"/>
      <c r="G470" s="119"/>
      <c r="J470" s="485"/>
      <c r="K470" s="485"/>
      <c r="L470" s="485"/>
      <c r="M470" s="485"/>
      <c r="N470" s="485"/>
      <c r="O470" s="485"/>
    </row>
    <row r="471" ht="14.25" customHeight="1">
      <c r="D471" s="484"/>
      <c r="E471" s="485"/>
      <c r="F471" s="485"/>
      <c r="G471" s="119"/>
      <c r="J471" s="485"/>
      <c r="K471" s="485"/>
      <c r="L471" s="485"/>
      <c r="M471" s="485"/>
      <c r="N471" s="485"/>
      <c r="O471" s="485"/>
    </row>
    <row r="472" ht="14.25" customHeight="1">
      <c r="D472" s="484"/>
      <c r="E472" s="485"/>
      <c r="F472" s="485"/>
      <c r="G472" s="119"/>
      <c r="J472" s="485"/>
      <c r="K472" s="485"/>
      <c r="L472" s="485"/>
      <c r="M472" s="485"/>
      <c r="N472" s="485"/>
      <c r="O472" s="485"/>
    </row>
    <row r="473" ht="14.25" customHeight="1">
      <c r="D473" s="484"/>
      <c r="E473" s="485"/>
      <c r="F473" s="485"/>
      <c r="G473" s="119"/>
      <c r="J473" s="485"/>
      <c r="K473" s="485"/>
      <c r="L473" s="485"/>
      <c r="M473" s="485"/>
      <c r="N473" s="485"/>
      <c r="O473" s="485"/>
    </row>
    <row r="474" ht="14.25" customHeight="1">
      <c r="D474" s="484"/>
      <c r="E474" s="485"/>
      <c r="F474" s="485"/>
      <c r="G474" s="119"/>
      <c r="J474" s="485"/>
      <c r="K474" s="485"/>
      <c r="L474" s="485"/>
      <c r="M474" s="485"/>
      <c r="N474" s="485"/>
      <c r="O474" s="485"/>
    </row>
    <row r="475" ht="14.25" customHeight="1">
      <c r="D475" s="484"/>
      <c r="E475" s="485"/>
      <c r="F475" s="485"/>
      <c r="G475" s="119"/>
      <c r="J475" s="485"/>
      <c r="K475" s="485"/>
      <c r="L475" s="485"/>
      <c r="M475" s="485"/>
      <c r="N475" s="485"/>
      <c r="O475" s="485"/>
    </row>
    <row r="476" ht="14.25" customHeight="1">
      <c r="D476" s="484"/>
      <c r="E476" s="485"/>
      <c r="F476" s="485"/>
      <c r="G476" s="119"/>
      <c r="J476" s="485"/>
      <c r="K476" s="485"/>
      <c r="L476" s="485"/>
      <c r="M476" s="485"/>
      <c r="N476" s="485"/>
      <c r="O476" s="485"/>
    </row>
    <row r="477" ht="14.25" customHeight="1">
      <c r="D477" s="484"/>
      <c r="E477" s="485"/>
      <c r="F477" s="485"/>
      <c r="G477" s="119"/>
      <c r="J477" s="485"/>
      <c r="K477" s="485"/>
      <c r="L477" s="485"/>
      <c r="M477" s="485"/>
      <c r="N477" s="485"/>
      <c r="O477" s="485"/>
    </row>
    <row r="478" ht="14.25" customHeight="1">
      <c r="D478" s="484"/>
      <c r="E478" s="485"/>
      <c r="F478" s="485"/>
      <c r="G478" s="119"/>
      <c r="J478" s="485"/>
      <c r="K478" s="485"/>
      <c r="L478" s="485"/>
      <c r="M478" s="485"/>
      <c r="N478" s="485"/>
      <c r="O478" s="485"/>
    </row>
    <row r="479" ht="14.25" customHeight="1">
      <c r="D479" s="484"/>
      <c r="E479" s="485"/>
      <c r="F479" s="485"/>
      <c r="G479" s="119"/>
      <c r="J479" s="485"/>
      <c r="K479" s="485"/>
      <c r="L479" s="485"/>
      <c r="M479" s="485"/>
      <c r="N479" s="485"/>
      <c r="O479" s="485"/>
    </row>
    <row r="480" ht="14.25" customHeight="1">
      <c r="D480" s="484"/>
      <c r="E480" s="485"/>
      <c r="F480" s="485"/>
      <c r="G480" s="119"/>
      <c r="J480" s="485"/>
      <c r="K480" s="485"/>
      <c r="L480" s="485"/>
      <c r="M480" s="485"/>
      <c r="N480" s="485"/>
      <c r="O480" s="485"/>
    </row>
    <row r="481" ht="14.25" customHeight="1">
      <c r="D481" s="484"/>
      <c r="E481" s="485"/>
      <c r="F481" s="485"/>
      <c r="G481" s="119"/>
      <c r="J481" s="485"/>
      <c r="K481" s="485"/>
      <c r="L481" s="485"/>
      <c r="M481" s="485"/>
      <c r="N481" s="485"/>
      <c r="O481" s="485"/>
    </row>
    <row r="482" ht="14.25" customHeight="1">
      <c r="D482" s="484"/>
      <c r="E482" s="485"/>
      <c r="F482" s="485"/>
      <c r="G482" s="119"/>
      <c r="J482" s="485"/>
      <c r="K482" s="485"/>
      <c r="L482" s="485"/>
      <c r="M482" s="485"/>
      <c r="N482" s="485"/>
      <c r="O482" s="485"/>
    </row>
    <row r="483" ht="14.25" customHeight="1">
      <c r="D483" s="484"/>
      <c r="E483" s="485"/>
      <c r="F483" s="485"/>
      <c r="G483" s="119"/>
      <c r="J483" s="485"/>
      <c r="K483" s="485"/>
      <c r="L483" s="485"/>
      <c r="M483" s="485"/>
      <c r="N483" s="485"/>
      <c r="O483" s="485"/>
    </row>
    <row r="484" ht="14.25" customHeight="1">
      <c r="D484" s="484"/>
      <c r="E484" s="485"/>
      <c r="F484" s="485"/>
      <c r="G484" s="119"/>
      <c r="J484" s="485"/>
      <c r="K484" s="485"/>
      <c r="L484" s="485"/>
      <c r="M484" s="485"/>
      <c r="N484" s="485"/>
      <c r="O484" s="485"/>
    </row>
    <row r="485" ht="14.25" customHeight="1">
      <c r="D485" s="484"/>
      <c r="E485" s="485"/>
      <c r="F485" s="485"/>
      <c r="G485" s="119"/>
      <c r="J485" s="485"/>
      <c r="K485" s="485"/>
      <c r="L485" s="485"/>
      <c r="M485" s="485"/>
      <c r="N485" s="485"/>
      <c r="O485" s="485"/>
    </row>
    <row r="486" ht="14.25" customHeight="1">
      <c r="D486" s="484"/>
      <c r="E486" s="485"/>
      <c r="F486" s="485"/>
      <c r="G486" s="119"/>
      <c r="J486" s="485"/>
      <c r="K486" s="485"/>
      <c r="L486" s="485"/>
      <c r="M486" s="485"/>
      <c r="N486" s="485"/>
      <c r="O486" s="485"/>
    </row>
    <row r="487" ht="14.25" customHeight="1">
      <c r="D487" s="484"/>
      <c r="E487" s="485"/>
      <c r="F487" s="485"/>
      <c r="G487" s="119"/>
      <c r="J487" s="485"/>
      <c r="K487" s="485"/>
      <c r="L487" s="485"/>
      <c r="M487" s="485"/>
      <c r="N487" s="485"/>
      <c r="O487" s="485"/>
    </row>
    <row r="488" ht="14.25" customHeight="1">
      <c r="D488" s="484"/>
      <c r="E488" s="485"/>
      <c r="F488" s="485"/>
      <c r="G488" s="119"/>
      <c r="J488" s="485"/>
      <c r="K488" s="485"/>
      <c r="L488" s="485"/>
      <c r="M488" s="485"/>
      <c r="N488" s="485"/>
      <c r="O488" s="485"/>
    </row>
    <row r="489" ht="14.25" customHeight="1">
      <c r="D489" s="484"/>
      <c r="E489" s="485"/>
      <c r="F489" s="485"/>
      <c r="G489" s="119"/>
      <c r="J489" s="485"/>
      <c r="K489" s="485"/>
      <c r="L489" s="485"/>
      <c r="M489" s="485"/>
      <c r="N489" s="485"/>
      <c r="O489" s="485"/>
    </row>
    <row r="490" ht="14.25" customHeight="1">
      <c r="D490" s="484"/>
      <c r="E490" s="485"/>
      <c r="F490" s="485"/>
      <c r="G490" s="119"/>
      <c r="J490" s="485"/>
      <c r="K490" s="485"/>
      <c r="L490" s="485"/>
      <c r="M490" s="485"/>
      <c r="N490" s="485"/>
      <c r="O490" s="485"/>
    </row>
    <row r="491" ht="14.25" customHeight="1">
      <c r="D491" s="484"/>
      <c r="E491" s="485"/>
      <c r="F491" s="485"/>
      <c r="G491" s="119"/>
      <c r="J491" s="485"/>
      <c r="K491" s="485"/>
      <c r="L491" s="485"/>
      <c r="M491" s="485"/>
      <c r="N491" s="485"/>
      <c r="O491" s="485"/>
    </row>
    <row r="492" ht="14.25" customHeight="1">
      <c r="D492" s="484"/>
      <c r="E492" s="485"/>
      <c r="F492" s="485"/>
      <c r="G492" s="119"/>
      <c r="J492" s="485"/>
      <c r="K492" s="485"/>
      <c r="L492" s="485"/>
      <c r="M492" s="485"/>
      <c r="N492" s="485"/>
      <c r="O492" s="485"/>
    </row>
    <row r="493" ht="14.25" customHeight="1">
      <c r="D493" s="484"/>
      <c r="E493" s="485"/>
      <c r="F493" s="485"/>
      <c r="G493" s="119"/>
      <c r="J493" s="485"/>
      <c r="K493" s="485"/>
      <c r="L493" s="485"/>
      <c r="M493" s="485"/>
      <c r="N493" s="485"/>
      <c r="O493" s="485"/>
    </row>
    <row r="494" ht="14.25" customHeight="1">
      <c r="D494" s="484"/>
      <c r="E494" s="485"/>
      <c r="F494" s="485"/>
      <c r="G494" s="119"/>
      <c r="J494" s="485"/>
      <c r="K494" s="485"/>
      <c r="L494" s="485"/>
      <c r="M494" s="485"/>
      <c r="N494" s="485"/>
      <c r="O494" s="485"/>
    </row>
    <row r="495" ht="14.25" customHeight="1">
      <c r="D495" s="484"/>
      <c r="E495" s="485"/>
      <c r="F495" s="485"/>
      <c r="G495" s="119"/>
      <c r="J495" s="485"/>
      <c r="K495" s="485"/>
      <c r="L495" s="485"/>
      <c r="M495" s="485"/>
      <c r="N495" s="485"/>
      <c r="O495" s="485"/>
    </row>
    <row r="496" ht="14.25" customHeight="1">
      <c r="D496" s="484"/>
      <c r="E496" s="485"/>
      <c r="F496" s="485"/>
      <c r="G496" s="119"/>
      <c r="J496" s="485"/>
      <c r="K496" s="485"/>
      <c r="L496" s="485"/>
      <c r="M496" s="485"/>
      <c r="N496" s="485"/>
      <c r="O496" s="485"/>
    </row>
    <row r="497" ht="14.25" customHeight="1">
      <c r="D497" s="484"/>
      <c r="E497" s="485"/>
      <c r="F497" s="485"/>
      <c r="G497" s="119"/>
      <c r="J497" s="485"/>
      <c r="K497" s="485"/>
      <c r="L497" s="485"/>
      <c r="M497" s="485"/>
      <c r="N497" s="485"/>
      <c r="O497" s="485"/>
    </row>
    <row r="498" ht="14.25" customHeight="1">
      <c r="D498" s="484"/>
      <c r="E498" s="485"/>
      <c r="F498" s="485"/>
      <c r="G498" s="119"/>
      <c r="J498" s="485"/>
      <c r="K498" s="485"/>
      <c r="L498" s="485"/>
      <c r="M498" s="485"/>
      <c r="N498" s="485"/>
      <c r="O498" s="485"/>
    </row>
    <row r="499" ht="14.25" customHeight="1">
      <c r="D499" s="484"/>
      <c r="E499" s="485"/>
      <c r="F499" s="485"/>
      <c r="G499" s="119"/>
      <c r="J499" s="485"/>
      <c r="K499" s="485"/>
      <c r="L499" s="485"/>
      <c r="M499" s="485"/>
      <c r="N499" s="485"/>
      <c r="O499" s="485"/>
    </row>
    <row r="500" ht="14.25" customHeight="1">
      <c r="D500" s="484"/>
      <c r="E500" s="485"/>
      <c r="F500" s="485"/>
      <c r="G500" s="119"/>
      <c r="J500" s="485"/>
      <c r="K500" s="485"/>
      <c r="L500" s="485"/>
      <c r="M500" s="485"/>
      <c r="N500" s="485"/>
      <c r="O500" s="485"/>
    </row>
    <row r="501" ht="14.25" customHeight="1">
      <c r="D501" s="484"/>
      <c r="E501" s="485"/>
      <c r="F501" s="485"/>
      <c r="G501" s="119"/>
      <c r="J501" s="485"/>
      <c r="K501" s="485"/>
      <c r="L501" s="485"/>
      <c r="M501" s="485"/>
      <c r="N501" s="485"/>
      <c r="O501" s="485"/>
    </row>
    <row r="502" ht="14.25" customHeight="1">
      <c r="D502" s="484"/>
      <c r="E502" s="485"/>
      <c r="F502" s="485"/>
      <c r="G502" s="119"/>
      <c r="J502" s="485"/>
      <c r="K502" s="485"/>
      <c r="L502" s="485"/>
      <c r="M502" s="485"/>
      <c r="N502" s="485"/>
      <c r="O502" s="485"/>
    </row>
    <row r="503" ht="14.25" customHeight="1">
      <c r="D503" s="484"/>
      <c r="E503" s="485"/>
      <c r="F503" s="485"/>
      <c r="G503" s="119"/>
      <c r="J503" s="485"/>
      <c r="K503" s="485"/>
      <c r="L503" s="485"/>
      <c r="M503" s="485"/>
      <c r="N503" s="485"/>
      <c r="O503" s="485"/>
    </row>
    <row r="504" ht="14.25" customHeight="1">
      <c r="D504" s="484"/>
      <c r="E504" s="485"/>
      <c r="F504" s="485"/>
      <c r="G504" s="119"/>
      <c r="J504" s="485"/>
      <c r="K504" s="485"/>
      <c r="L504" s="485"/>
      <c r="M504" s="485"/>
      <c r="N504" s="485"/>
      <c r="O504" s="485"/>
    </row>
    <row r="505" ht="14.25" customHeight="1">
      <c r="D505" s="484"/>
      <c r="E505" s="485"/>
      <c r="F505" s="485"/>
      <c r="G505" s="119"/>
      <c r="J505" s="485"/>
      <c r="K505" s="485"/>
      <c r="L505" s="485"/>
      <c r="M505" s="485"/>
      <c r="N505" s="485"/>
      <c r="O505" s="485"/>
    </row>
    <row r="506" ht="14.25" customHeight="1">
      <c r="D506" s="484"/>
      <c r="E506" s="485"/>
      <c r="F506" s="485"/>
      <c r="G506" s="119"/>
      <c r="J506" s="485"/>
      <c r="K506" s="485"/>
      <c r="L506" s="485"/>
      <c r="M506" s="485"/>
      <c r="N506" s="485"/>
      <c r="O506" s="485"/>
    </row>
    <row r="507" ht="14.25" customHeight="1">
      <c r="D507" s="484"/>
      <c r="E507" s="485"/>
      <c r="F507" s="485"/>
      <c r="G507" s="119"/>
      <c r="J507" s="485"/>
      <c r="K507" s="485"/>
      <c r="L507" s="485"/>
      <c r="M507" s="485"/>
      <c r="N507" s="485"/>
      <c r="O507" s="485"/>
    </row>
    <row r="508" ht="14.25" customHeight="1">
      <c r="D508" s="484"/>
      <c r="E508" s="485"/>
      <c r="F508" s="485"/>
      <c r="G508" s="119"/>
      <c r="J508" s="485"/>
      <c r="K508" s="485"/>
      <c r="L508" s="485"/>
      <c r="M508" s="485"/>
      <c r="N508" s="485"/>
      <c r="O508" s="485"/>
    </row>
    <row r="509" ht="14.25" customHeight="1">
      <c r="D509" s="484"/>
      <c r="E509" s="485"/>
      <c r="F509" s="485"/>
      <c r="G509" s="119"/>
      <c r="J509" s="485"/>
      <c r="K509" s="485"/>
      <c r="L509" s="485"/>
      <c r="M509" s="485"/>
      <c r="N509" s="485"/>
      <c r="O509" s="485"/>
    </row>
    <row r="510" ht="14.25" customHeight="1">
      <c r="D510" s="484"/>
      <c r="E510" s="485"/>
      <c r="F510" s="485"/>
      <c r="G510" s="119"/>
      <c r="J510" s="485"/>
      <c r="K510" s="485"/>
      <c r="L510" s="485"/>
      <c r="M510" s="485"/>
      <c r="N510" s="485"/>
      <c r="O510" s="485"/>
    </row>
    <row r="511" ht="14.25" customHeight="1">
      <c r="D511" s="484"/>
      <c r="E511" s="485"/>
      <c r="F511" s="485"/>
      <c r="G511" s="119"/>
      <c r="J511" s="485"/>
      <c r="K511" s="485"/>
      <c r="L511" s="485"/>
      <c r="M511" s="485"/>
      <c r="N511" s="485"/>
      <c r="O511" s="485"/>
    </row>
    <row r="512" ht="14.25" customHeight="1">
      <c r="D512" s="484"/>
      <c r="E512" s="485"/>
      <c r="F512" s="485"/>
      <c r="G512" s="119"/>
      <c r="J512" s="485"/>
      <c r="K512" s="485"/>
      <c r="L512" s="485"/>
      <c r="M512" s="485"/>
      <c r="N512" s="485"/>
      <c r="O512" s="485"/>
    </row>
    <row r="513" ht="14.25" customHeight="1">
      <c r="D513" s="484"/>
      <c r="E513" s="485"/>
      <c r="F513" s="485"/>
      <c r="G513" s="119"/>
      <c r="J513" s="485"/>
      <c r="K513" s="485"/>
      <c r="L513" s="485"/>
      <c r="M513" s="485"/>
      <c r="N513" s="485"/>
      <c r="O513" s="485"/>
    </row>
    <row r="514" ht="14.25" customHeight="1">
      <c r="D514" s="484"/>
      <c r="E514" s="485"/>
      <c r="F514" s="485"/>
      <c r="G514" s="119"/>
      <c r="J514" s="485"/>
      <c r="K514" s="485"/>
      <c r="L514" s="485"/>
      <c r="M514" s="485"/>
      <c r="N514" s="485"/>
      <c r="O514" s="485"/>
    </row>
    <row r="515" ht="14.25" customHeight="1">
      <c r="D515" s="484"/>
      <c r="E515" s="485"/>
      <c r="F515" s="485"/>
      <c r="G515" s="119"/>
      <c r="J515" s="485"/>
      <c r="K515" s="485"/>
      <c r="L515" s="485"/>
      <c r="M515" s="485"/>
      <c r="N515" s="485"/>
      <c r="O515" s="485"/>
    </row>
    <row r="516" ht="14.25" customHeight="1">
      <c r="D516" s="484"/>
      <c r="E516" s="485"/>
      <c r="F516" s="485"/>
      <c r="G516" s="119"/>
      <c r="J516" s="485"/>
      <c r="K516" s="485"/>
      <c r="L516" s="485"/>
      <c r="M516" s="485"/>
      <c r="N516" s="485"/>
      <c r="O516" s="485"/>
    </row>
    <row r="517" ht="14.25" customHeight="1">
      <c r="D517" s="484"/>
      <c r="E517" s="485"/>
      <c r="F517" s="485"/>
      <c r="G517" s="119"/>
      <c r="J517" s="485"/>
      <c r="K517" s="485"/>
      <c r="L517" s="485"/>
      <c r="M517" s="485"/>
      <c r="N517" s="485"/>
      <c r="O517" s="485"/>
    </row>
    <row r="518" ht="14.25" customHeight="1">
      <c r="D518" s="484"/>
      <c r="E518" s="485"/>
      <c r="F518" s="485"/>
      <c r="G518" s="119"/>
      <c r="J518" s="485"/>
      <c r="K518" s="485"/>
      <c r="L518" s="485"/>
      <c r="M518" s="485"/>
      <c r="N518" s="485"/>
      <c r="O518" s="485"/>
    </row>
    <row r="519" ht="14.25" customHeight="1">
      <c r="D519" s="484"/>
      <c r="E519" s="485"/>
      <c r="F519" s="485"/>
      <c r="G519" s="119"/>
      <c r="J519" s="485"/>
      <c r="K519" s="485"/>
      <c r="L519" s="485"/>
      <c r="M519" s="485"/>
      <c r="N519" s="485"/>
      <c r="O519" s="485"/>
    </row>
    <row r="520" ht="14.25" customHeight="1">
      <c r="D520" s="484"/>
      <c r="E520" s="485"/>
      <c r="F520" s="485"/>
      <c r="G520" s="119"/>
      <c r="J520" s="485"/>
      <c r="K520" s="485"/>
      <c r="L520" s="485"/>
      <c r="M520" s="485"/>
      <c r="N520" s="485"/>
      <c r="O520" s="485"/>
    </row>
    <row r="521" ht="14.25" customHeight="1">
      <c r="D521" s="484"/>
      <c r="E521" s="485"/>
      <c r="F521" s="485"/>
      <c r="G521" s="119"/>
      <c r="J521" s="485"/>
      <c r="K521" s="485"/>
      <c r="L521" s="485"/>
      <c r="M521" s="485"/>
      <c r="N521" s="485"/>
      <c r="O521" s="485"/>
    </row>
    <row r="522" ht="14.25" customHeight="1">
      <c r="D522" s="484"/>
      <c r="E522" s="485"/>
      <c r="F522" s="485"/>
      <c r="G522" s="119"/>
      <c r="J522" s="485"/>
      <c r="K522" s="485"/>
      <c r="L522" s="485"/>
      <c r="M522" s="485"/>
      <c r="N522" s="485"/>
      <c r="O522" s="485"/>
    </row>
    <row r="523" ht="14.25" customHeight="1">
      <c r="D523" s="484"/>
      <c r="E523" s="485"/>
      <c r="F523" s="485"/>
      <c r="G523" s="119"/>
      <c r="J523" s="485"/>
      <c r="K523" s="485"/>
      <c r="L523" s="485"/>
      <c r="M523" s="485"/>
      <c r="N523" s="485"/>
      <c r="O523" s="485"/>
    </row>
    <row r="524" ht="14.25" customHeight="1">
      <c r="D524" s="484"/>
      <c r="E524" s="485"/>
      <c r="F524" s="485"/>
      <c r="G524" s="119"/>
      <c r="J524" s="485"/>
      <c r="K524" s="485"/>
      <c r="L524" s="485"/>
      <c r="M524" s="485"/>
      <c r="N524" s="485"/>
      <c r="O524" s="485"/>
    </row>
    <row r="525" ht="14.25" customHeight="1">
      <c r="D525" s="484"/>
      <c r="E525" s="485"/>
      <c r="F525" s="485"/>
      <c r="G525" s="119"/>
      <c r="J525" s="485"/>
      <c r="K525" s="485"/>
      <c r="L525" s="485"/>
      <c r="M525" s="485"/>
      <c r="N525" s="485"/>
      <c r="O525" s="485"/>
    </row>
    <row r="526" ht="14.25" customHeight="1">
      <c r="D526" s="484"/>
      <c r="E526" s="485"/>
      <c r="F526" s="485"/>
      <c r="G526" s="119"/>
      <c r="J526" s="485"/>
      <c r="K526" s="485"/>
      <c r="L526" s="485"/>
      <c r="M526" s="485"/>
      <c r="N526" s="485"/>
      <c r="O526" s="485"/>
    </row>
    <row r="527" ht="14.25" customHeight="1">
      <c r="D527" s="484"/>
      <c r="E527" s="485"/>
      <c r="F527" s="485"/>
      <c r="G527" s="119"/>
      <c r="J527" s="485"/>
      <c r="K527" s="485"/>
      <c r="L527" s="485"/>
      <c r="M527" s="485"/>
      <c r="N527" s="485"/>
      <c r="O527" s="485"/>
    </row>
    <row r="528" ht="14.25" customHeight="1">
      <c r="D528" s="484"/>
      <c r="E528" s="485"/>
      <c r="F528" s="485"/>
      <c r="G528" s="119"/>
      <c r="J528" s="485"/>
      <c r="K528" s="485"/>
      <c r="L528" s="485"/>
      <c r="M528" s="485"/>
      <c r="N528" s="485"/>
      <c r="O528" s="485"/>
    </row>
    <row r="529" ht="14.25" customHeight="1">
      <c r="D529" s="484"/>
      <c r="E529" s="485"/>
      <c r="F529" s="485"/>
      <c r="G529" s="119"/>
      <c r="J529" s="485"/>
      <c r="K529" s="485"/>
      <c r="L529" s="485"/>
      <c r="M529" s="485"/>
      <c r="N529" s="485"/>
      <c r="O529" s="485"/>
    </row>
    <row r="530" ht="14.25" customHeight="1">
      <c r="D530" s="484"/>
      <c r="E530" s="485"/>
      <c r="F530" s="485"/>
      <c r="G530" s="119"/>
      <c r="J530" s="485"/>
      <c r="K530" s="485"/>
      <c r="L530" s="485"/>
      <c r="M530" s="485"/>
      <c r="N530" s="485"/>
      <c r="O530" s="485"/>
    </row>
    <row r="531" ht="14.25" customHeight="1">
      <c r="D531" s="484"/>
      <c r="E531" s="485"/>
      <c r="F531" s="485"/>
      <c r="G531" s="119"/>
      <c r="J531" s="485"/>
      <c r="K531" s="485"/>
      <c r="L531" s="485"/>
      <c r="M531" s="485"/>
      <c r="N531" s="485"/>
      <c r="O531" s="485"/>
    </row>
    <row r="532" ht="14.25" customHeight="1">
      <c r="D532" s="484"/>
      <c r="E532" s="485"/>
      <c r="F532" s="485"/>
      <c r="G532" s="119"/>
      <c r="J532" s="485"/>
      <c r="K532" s="485"/>
      <c r="L532" s="485"/>
      <c r="M532" s="485"/>
      <c r="N532" s="485"/>
      <c r="O532" s="485"/>
    </row>
    <row r="533" ht="14.25" customHeight="1">
      <c r="D533" s="484"/>
      <c r="E533" s="485"/>
      <c r="F533" s="485"/>
      <c r="G533" s="119"/>
      <c r="J533" s="485"/>
      <c r="K533" s="485"/>
      <c r="L533" s="485"/>
      <c r="M533" s="485"/>
      <c r="N533" s="485"/>
      <c r="O533" s="485"/>
    </row>
    <row r="534" ht="14.25" customHeight="1">
      <c r="D534" s="484"/>
      <c r="E534" s="485"/>
      <c r="F534" s="485"/>
      <c r="G534" s="119"/>
      <c r="J534" s="485"/>
      <c r="K534" s="485"/>
      <c r="L534" s="485"/>
      <c r="M534" s="485"/>
      <c r="N534" s="485"/>
      <c r="O534" s="485"/>
    </row>
    <row r="535" ht="14.25" customHeight="1">
      <c r="D535" s="484"/>
      <c r="E535" s="485"/>
      <c r="F535" s="485"/>
      <c r="G535" s="119"/>
      <c r="J535" s="485"/>
      <c r="K535" s="485"/>
      <c r="L535" s="485"/>
      <c r="M535" s="485"/>
      <c r="N535" s="485"/>
      <c r="O535" s="485"/>
    </row>
    <row r="536" ht="14.25" customHeight="1">
      <c r="D536" s="484"/>
      <c r="E536" s="485"/>
      <c r="F536" s="485"/>
      <c r="G536" s="119"/>
      <c r="J536" s="485"/>
      <c r="K536" s="485"/>
      <c r="L536" s="485"/>
      <c r="M536" s="485"/>
      <c r="N536" s="485"/>
      <c r="O536" s="485"/>
    </row>
    <row r="537" ht="14.25" customHeight="1">
      <c r="D537" s="484"/>
      <c r="E537" s="485"/>
      <c r="F537" s="485"/>
      <c r="G537" s="119"/>
      <c r="J537" s="485"/>
      <c r="K537" s="485"/>
      <c r="L537" s="485"/>
      <c r="M537" s="485"/>
      <c r="N537" s="485"/>
      <c r="O537" s="485"/>
    </row>
    <row r="538" ht="14.25" customHeight="1">
      <c r="D538" s="484"/>
      <c r="E538" s="485"/>
      <c r="F538" s="485"/>
      <c r="G538" s="119"/>
      <c r="J538" s="485"/>
      <c r="K538" s="485"/>
      <c r="L538" s="485"/>
      <c r="M538" s="485"/>
      <c r="N538" s="485"/>
      <c r="O538" s="485"/>
    </row>
    <row r="539" ht="14.25" customHeight="1">
      <c r="D539" s="484"/>
      <c r="E539" s="485"/>
      <c r="F539" s="485"/>
      <c r="G539" s="119"/>
      <c r="J539" s="485"/>
      <c r="K539" s="485"/>
      <c r="L539" s="485"/>
      <c r="M539" s="485"/>
      <c r="N539" s="485"/>
      <c r="O539" s="485"/>
    </row>
    <row r="540" ht="14.25" customHeight="1">
      <c r="D540" s="484"/>
      <c r="E540" s="485"/>
      <c r="F540" s="485"/>
      <c r="G540" s="119"/>
      <c r="J540" s="485"/>
      <c r="K540" s="485"/>
      <c r="L540" s="485"/>
      <c r="M540" s="485"/>
      <c r="N540" s="485"/>
      <c r="O540" s="485"/>
    </row>
    <row r="541" ht="14.25" customHeight="1">
      <c r="D541" s="484"/>
      <c r="E541" s="485"/>
      <c r="F541" s="485"/>
      <c r="G541" s="119"/>
      <c r="J541" s="485"/>
      <c r="K541" s="485"/>
      <c r="L541" s="485"/>
      <c r="M541" s="485"/>
      <c r="N541" s="485"/>
      <c r="O541" s="485"/>
    </row>
    <row r="542" ht="14.25" customHeight="1">
      <c r="D542" s="484"/>
      <c r="E542" s="485"/>
      <c r="F542" s="485"/>
      <c r="G542" s="119"/>
      <c r="J542" s="485"/>
      <c r="K542" s="485"/>
      <c r="L542" s="485"/>
      <c r="M542" s="485"/>
      <c r="N542" s="485"/>
      <c r="O542" s="485"/>
    </row>
    <row r="543" ht="14.25" customHeight="1">
      <c r="D543" s="484"/>
      <c r="E543" s="485"/>
      <c r="F543" s="485"/>
      <c r="G543" s="119"/>
      <c r="J543" s="485"/>
      <c r="K543" s="485"/>
      <c r="L543" s="485"/>
      <c r="M543" s="485"/>
      <c r="N543" s="485"/>
      <c r="O543" s="485"/>
    </row>
    <row r="544" ht="14.25" customHeight="1">
      <c r="D544" s="484"/>
      <c r="E544" s="485"/>
      <c r="F544" s="485"/>
      <c r="G544" s="119"/>
      <c r="J544" s="485"/>
      <c r="K544" s="485"/>
      <c r="L544" s="485"/>
      <c r="M544" s="485"/>
      <c r="N544" s="485"/>
      <c r="O544" s="485"/>
    </row>
    <row r="545" ht="14.25" customHeight="1">
      <c r="D545" s="484"/>
      <c r="E545" s="485"/>
      <c r="F545" s="485"/>
      <c r="G545" s="119"/>
      <c r="J545" s="485"/>
      <c r="K545" s="485"/>
      <c r="L545" s="485"/>
      <c r="M545" s="485"/>
      <c r="N545" s="485"/>
      <c r="O545" s="485"/>
    </row>
    <row r="546" ht="14.25" customHeight="1">
      <c r="D546" s="484"/>
      <c r="E546" s="485"/>
      <c r="F546" s="485"/>
      <c r="G546" s="119"/>
      <c r="J546" s="485"/>
      <c r="K546" s="485"/>
      <c r="L546" s="485"/>
      <c r="M546" s="485"/>
      <c r="N546" s="485"/>
      <c r="O546" s="485"/>
    </row>
    <row r="547" ht="14.25" customHeight="1">
      <c r="D547" s="484"/>
      <c r="E547" s="485"/>
      <c r="F547" s="485"/>
      <c r="G547" s="119"/>
      <c r="J547" s="485"/>
      <c r="K547" s="485"/>
      <c r="L547" s="485"/>
      <c r="M547" s="485"/>
      <c r="N547" s="485"/>
      <c r="O547" s="485"/>
    </row>
    <row r="548" ht="14.25" customHeight="1">
      <c r="D548" s="484"/>
      <c r="E548" s="485"/>
      <c r="F548" s="485"/>
      <c r="G548" s="119"/>
      <c r="J548" s="485"/>
      <c r="K548" s="485"/>
      <c r="L548" s="485"/>
      <c r="M548" s="485"/>
      <c r="N548" s="485"/>
      <c r="O548" s="485"/>
    </row>
    <row r="549" ht="14.25" customHeight="1">
      <c r="D549" s="484"/>
      <c r="E549" s="485"/>
      <c r="F549" s="485"/>
      <c r="G549" s="119"/>
      <c r="J549" s="485"/>
      <c r="K549" s="485"/>
      <c r="L549" s="485"/>
      <c r="M549" s="485"/>
      <c r="N549" s="485"/>
      <c r="O549" s="485"/>
    </row>
    <row r="550" ht="14.25" customHeight="1">
      <c r="D550" s="484"/>
      <c r="E550" s="485"/>
      <c r="F550" s="485"/>
      <c r="G550" s="119"/>
      <c r="J550" s="485"/>
      <c r="K550" s="485"/>
      <c r="L550" s="485"/>
      <c r="M550" s="485"/>
      <c r="N550" s="485"/>
      <c r="O550" s="485"/>
    </row>
    <row r="551" ht="14.25" customHeight="1">
      <c r="D551" s="484"/>
      <c r="E551" s="485"/>
      <c r="F551" s="485"/>
      <c r="G551" s="119"/>
      <c r="J551" s="485"/>
      <c r="K551" s="485"/>
      <c r="L551" s="485"/>
      <c r="M551" s="485"/>
      <c r="N551" s="485"/>
      <c r="O551" s="485"/>
    </row>
    <row r="552" ht="14.25" customHeight="1">
      <c r="D552" s="484"/>
      <c r="E552" s="485"/>
      <c r="F552" s="485"/>
      <c r="G552" s="119"/>
      <c r="J552" s="485"/>
      <c r="K552" s="485"/>
      <c r="L552" s="485"/>
      <c r="M552" s="485"/>
      <c r="N552" s="485"/>
      <c r="O552" s="485"/>
    </row>
    <row r="553" ht="14.25" customHeight="1">
      <c r="D553" s="484"/>
      <c r="E553" s="485"/>
      <c r="F553" s="485"/>
      <c r="G553" s="119"/>
      <c r="J553" s="485"/>
      <c r="K553" s="485"/>
      <c r="L553" s="485"/>
      <c r="M553" s="485"/>
      <c r="N553" s="485"/>
      <c r="O553" s="485"/>
    </row>
    <row r="554" ht="14.25" customHeight="1">
      <c r="D554" s="484"/>
      <c r="E554" s="485"/>
      <c r="F554" s="485"/>
      <c r="G554" s="119"/>
      <c r="J554" s="485"/>
      <c r="K554" s="485"/>
      <c r="L554" s="485"/>
      <c r="M554" s="485"/>
      <c r="N554" s="485"/>
      <c r="O554" s="485"/>
    </row>
    <row r="555" ht="14.25" customHeight="1">
      <c r="D555" s="484"/>
      <c r="E555" s="485"/>
      <c r="F555" s="485"/>
      <c r="G555" s="119"/>
      <c r="J555" s="485"/>
      <c r="K555" s="485"/>
      <c r="L555" s="485"/>
      <c r="M555" s="485"/>
      <c r="N555" s="485"/>
      <c r="O555" s="485"/>
    </row>
    <row r="556" ht="14.25" customHeight="1">
      <c r="D556" s="484"/>
      <c r="E556" s="485"/>
      <c r="F556" s="485"/>
      <c r="G556" s="119"/>
      <c r="J556" s="485"/>
      <c r="K556" s="485"/>
      <c r="L556" s="485"/>
      <c r="M556" s="485"/>
      <c r="N556" s="485"/>
      <c r="O556" s="485"/>
    </row>
    <row r="557" ht="14.25" customHeight="1">
      <c r="D557" s="484"/>
      <c r="E557" s="485"/>
      <c r="F557" s="485"/>
      <c r="G557" s="119"/>
      <c r="J557" s="485"/>
      <c r="K557" s="485"/>
      <c r="L557" s="485"/>
      <c r="M557" s="485"/>
      <c r="N557" s="485"/>
      <c r="O557" s="485"/>
    </row>
    <row r="558" ht="14.25" customHeight="1">
      <c r="D558" s="484"/>
      <c r="E558" s="485"/>
      <c r="F558" s="485"/>
      <c r="G558" s="119"/>
      <c r="J558" s="485"/>
      <c r="K558" s="485"/>
      <c r="L558" s="485"/>
      <c r="M558" s="485"/>
      <c r="N558" s="485"/>
      <c r="O558" s="485"/>
    </row>
    <row r="559" ht="14.25" customHeight="1">
      <c r="D559" s="484"/>
      <c r="E559" s="485"/>
      <c r="F559" s="485"/>
      <c r="G559" s="119"/>
      <c r="J559" s="485"/>
      <c r="K559" s="485"/>
      <c r="L559" s="485"/>
      <c r="M559" s="485"/>
      <c r="N559" s="485"/>
      <c r="O559" s="485"/>
    </row>
    <row r="560" ht="14.25" customHeight="1">
      <c r="D560" s="484"/>
      <c r="E560" s="485"/>
      <c r="F560" s="485"/>
      <c r="G560" s="119"/>
      <c r="J560" s="485"/>
      <c r="K560" s="485"/>
      <c r="L560" s="485"/>
      <c r="M560" s="485"/>
      <c r="N560" s="485"/>
      <c r="O560" s="485"/>
    </row>
    <row r="561" ht="14.25" customHeight="1">
      <c r="D561" s="484"/>
      <c r="E561" s="485"/>
      <c r="F561" s="485"/>
      <c r="G561" s="119"/>
      <c r="J561" s="485"/>
      <c r="K561" s="485"/>
      <c r="L561" s="485"/>
      <c r="M561" s="485"/>
      <c r="N561" s="485"/>
      <c r="O561" s="485"/>
    </row>
    <row r="562" ht="14.25" customHeight="1">
      <c r="D562" s="484"/>
      <c r="E562" s="485"/>
      <c r="F562" s="485"/>
      <c r="G562" s="119"/>
      <c r="J562" s="485"/>
      <c r="K562" s="485"/>
      <c r="L562" s="485"/>
      <c r="M562" s="485"/>
      <c r="N562" s="485"/>
      <c r="O562" s="485"/>
    </row>
    <row r="563" ht="14.25" customHeight="1">
      <c r="D563" s="484"/>
      <c r="E563" s="485"/>
      <c r="F563" s="485"/>
      <c r="G563" s="119"/>
      <c r="J563" s="485"/>
      <c r="K563" s="485"/>
      <c r="L563" s="485"/>
      <c r="M563" s="485"/>
      <c r="N563" s="485"/>
      <c r="O563" s="485"/>
    </row>
    <row r="564" ht="14.25" customHeight="1">
      <c r="D564" s="484"/>
      <c r="E564" s="485"/>
      <c r="F564" s="485"/>
      <c r="G564" s="119"/>
      <c r="J564" s="485"/>
      <c r="K564" s="485"/>
      <c r="L564" s="485"/>
      <c r="M564" s="485"/>
      <c r="N564" s="485"/>
      <c r="O564" s="485"/>
    </row>
    <row r="565" ht="14.25" customHeight="1">
      <c r="D565" s="484"/>
      <c r="E565" s="485"/>
      <c r="F565" s="485"/>
      <c r="G565" s="119"/>
      <c r="J565" s="485"/>
      <c r="K565" s="485"/>
      <c r="L565" s="485"/>
      <c r="M565" s="485"/>
      <c r="N565" s="485"/>
      <c r="O565" s="485"/>
    </row>
    <row r="566" ht="14.25" customHeight="1">
      <c r="D566" s="484"/>
      <c r="E566" s="485"/>
      <c r="F566" s="485"/>
      <c r="G566" s="119"/>
      <c r="J566" s="485"/>
      <c r="K566" s="485"/>
      <c r="L566" s="485"/>
      <c r="M566" s="485"/>
      <c r="N566" s="485"/>
      <c r="O566" s="485"/>
    </row>
    <row r="567" ht="14.25" customHeight="1">
      <c r="D567" s="484"/>
      <c r="E567" s="485"/>
      <c r="F567" s="485"/>
      <c r="G567" s="119"/>
      <c r="J567" s="485"/>
      <c r="K567" s="485"/>
      <c r="L567" s="485"/>
      <c r="M567" s="485"/>
      <c r="N567" s="485"/>
      <c r="O567" s="485"/>
    </row>
    <row r="568" ht="14.25" customHeight="1">
      <c r="D568" s="484"/>
      <c r="E568" s="485"/>
      <c r="F568" s="485"/>
      <c r="G568" s="119"/>
      <c r="J568" s="485"/>
      <c r="K568" s="485"/>
      <c r="L568" s="485"/>
      <c r="M568" s="485"/>
      <c r="N568" s="485"/>
      <c r="O568" s="485"/>
    </row>
    <row r="569" ht="14.25" customHeight="1">
      <c r="D569" s="484"/>
      <c r="E569" s="485"/>
      <c r="F569" s="485"/>
      <c r="G569" s="119"/>
      <c r="J569" s="485"/>
      <c r="K569" s="485"/>
      <c r="L569" s="485"/>
      <c r="M569" s="485"/>
      <c r="N569" s="485"/>
      <c r="O569" s="485"/>
    </row>
    <row r="570" ht="14.25" customHeight="1">
      <c r="D570" s="484"/>
      <c r="E570" s="485"/>
      <c r="F570" s="485"/>
      <c r="G570" s="119"/>
      <c r="J570" s="485"/>
      <c r="K570" s="485"/>
      <c r="L570" s="485"/>
      <c r="M570" s="485"/>
      <c r="N570" s="485"/>
      <c r="O570" s="485"/>
    </row>
    <row r="571" ht="14.25" customHeight="1">
      <c r="D571" s="484"/>
      <c r="E571" s="485"/>
      <c r="F571" s="485"/>
      <c r="G571" s="119"/>
      <c r="J571" s="485"/>
      <c r="K571" s="485"/>
      <c r="L571" s="485"/>
      <c r="M571" s="485"/>
      <c r="N571" s="485"/>
      <c r="O571" s="485"/>
    </row>
    <row r="572" ht="14.25" customHeight="1">
      <c r="D572" s="484"/>
      <c r="E572" s="485"/>
      <c r="F572" s="485"/>
      <c r="G572" s="119"/>
      <c r="J572" s="485"/>
      <c r="K572" s="485"/>
      <c r="L572" s="485"/>
      <c r="M572" s="485"/>
      <c r="N572" s="485"/>
      <c r="O572" s="485"/>
    </row>
    <row r="573" ht="14.25" customHeight="1">
      <c r="D573" s="484"/>
      <c r="E573" s="485"/>
      <c r="F573" s="485"/>
      <c r="G573" s="119"/>
      <c r="J573" s="485"/>
      <c r="K573" s="485"/>
      <c r="L573" s="485"/>
      <c r="M573" s="485"/>
      <c r="N573" s="485"/>
      <c r="O573" s="485"/>
    </row>
    <row r="574" ht="14.25" customHeight="1">
      <c r="D574" s="484"/>
      <c r="E574" s="485"/>
      <c r="F574" s="485"/>
      <c r="G574" s="119"/>
      <c r="J574" s="485"/>
      <c r="K574" s="485"/>
      <c r="L574" s="485"/>
      <c r="M574" s="485"/>
      <c r="N574" s="485"/>
      <c r="O574" s="485"/>
    </row>
    <row r="575" ht="14.25" customHeight="1">
      <c r="D575" s="484"/>
      <c r="E575" s="485"/>
      <c r="F575" s="485"/>
      <c r="G575" s="119"/>
      <c r="J575" s="485"/>
      <c r="K575" s="485"/>
      <c r="L575" s="485"/>
      <c r="M575" s="485"/>
      <c r="N575" s="485"/>
      <c r="O575" s="485"/>
    </row>
    <row r="576" ht="14.25" customHeight="1">
      <c r="D576" s="484"/>
      <c r="E576" s="485"/>
      <c r="F576" s="485"/>
      <c r="G576" s="119"/>
      <c r="J576" s="485"/>
      <c r="K576" s="485"/>
      <c r="L576" s="485"/>
      <c r="M576" s="485"/>
      <c r="N576" s="485"/>
      <c r="O576" s="485"/>
    </row>
    <row r="577" ht="14.25" customHeight="1">
      <c r="D577" s="484"/>
      <c r="E577" s="485"/>
      <c r="F577" s="485"/>
      <c r="G577" s="119"/>
      <c r="J577" s="485"/>
      <c r="K577" s="485"/>
      <c r="L577" s="485"/>
      <c r="M577" s="485"/>
      <c r="N577" s="485"/>
      <c r="O577" s="485"/>
    </row>
    <row r="578" ht="14.25" customHeight="1">
      <c r="D578" s="484"/>
      <c r="E578" s="485"/>
      <c r="F578" s="485"/>
      <c r="G578" s="119"/>
      <c r="J578" s="485"/>
      <c r="K578" s="485"/>
      <c r="L578" s="485"/>
      <c r="M578" s="485"/>
      <c r="N578" s="485"/>
      <c r="O578" s="485"/>
    </row>
    <row r="579" ht="14.25" customHeight="1">
      <c r="D579" s="484"/>
      <c r="E579" s="485"/>
      <c r="F579" s="485"/>
      <c r="G579" s="119"/>
      <c r="J579" s="485"/>
      <c r="K579" s="485"/>
      <c r="L579" s="485"/>
      <c r="M579" s="485"/>
      <c r="N579" s="485"/>
      <c r="O579" s="485"/>
    </row>
    <row r="580" ht="14.25" customHeight="1">
      <c r="D580" s="484"/>
      <c r="E580" s="485"/>
      <c r="F580" s="485"/>
      <c r="G580" s="119"/>
      <c r="J580" s="485"/>
      <c r="K580" s="485"/>
      <c r="L580" s="485"/>
      <c r="M580" s="485"/>
      <c r="N580" s="485"/>
      <c r="O580" s="485"/>
    </row>
    <row r="581" ht="14.25" customHeight="1">
      <c r="D581" s="484"/>
      <c r="E581" s="485"/>
      <c r="F581" s="485"/>
      <c r="G581" s="119"/>
      <c r="J581" s="485"/>
      <c r="K581" s="485"/>
      <c r="L581" s="485"/>
      <c r="M581" s="485"/>
      <c r="N581" s="485"/>
      <c r="O581" s="485"/>
    </row>
    <row r="582" ht="14.25" customHeight="1">
      <c r="D582" s="484"/>
      <c r="E582" s="485"/>
      <c r="F582" s="485"/>
      <c r="G582" s="119"/>
      <c r="J582" s="485"/>
      <c r="K582" s="485"/>
      <c r="L582" s="485"/>
      <c r="M582" s="485"/>
      <c r="N582" s="485"/>
      <c r="O582" s="485"/>
    </row>
    <row r="583" ht="14.25" customHeight="1">
      <c r="D583" s="484"/>
      <c r="E583" s="485"/>
      <c r="F583" s="485"/>
      <c r="G583" s="119"/>
      <c r="J583" s="485"/>
      <c r="K583" s="485"/>
      <c r="L583" s="485"/>
      <c r="M583" s="485"/>
      <c r="N583" s="485"/>
      <c r="O583" s="485"/>
    </row>
    <row r="584" ht="14.25" customHeight="1">
      <c r="D584" s="484"/>
      <c r="E584" s="485"/>
      <c r="F584" s="485"/>
      <c r="G584" s="119"/>
      <c r="J584" s="485"/>
      <c r="K584" s="485"/>
      <c r="L584" s="485"/>
      <c r="M584" s="485"/>
      <c r="N584" s="485"/>
      <c r="O584" s="485"/>
    </row>
    <row r="585" ht="14.25" customHeight="1">
      <c r="D585" s="484"/>
      <c r="E585" s="485"/>
      <c r="F585" s="485"/>
      <c r="G585" s="119"/>
      <c r="J585" s="485"/>
      <c r="K585" s="485"/>
      <c r="L585" s="485"/>
      <c r="M585" s="485"/>
      <c r="N585" s="485"/>
      <c r="O585" s="485"/>
    </row>
    <row r="586" ht="14.25" customHeight="1">
      <c r="D586" s="484"/>
      <c r="E586" s="485"/>
      <c r="F586" s="485"/>
      <c r="G586" s="119"/>
      <c r="J586" s="485"/>
      <c r="K586" s="485"/>
      <c r="L586" s="485"/>
      <c r="M586" s="485"/>
      <c r="N586" s="485"/>
      <c r="O586" s="485"/>
    </row>
    <row r="587" ht="14.25" customHeight="1">
      <c r="D587" s="484"/>
      <c r="E587" s="485"/>
      <c r="F587" s="485"/>
      <c r="G587" s="119"/>
      <c r="J587" s="485"/>
      <c r="K587" s="485"/>
      <c r="L587" s="485"/>
      <c r="M587" s="485"/>
      <c r="N587" s="485"/>
      <c r="O587" s="485"/>
    </row>
    <row r="588" ht="14.25" customHeight="1">
      <c r="D588" s="484"/>
      <c r="E588" s="485"/>
      <c r="F588" s="485"/>
      <c r="G588" s="119"/>
      <c r="J588" s="485"/>
      <c r="K588" s="485"/>
      <c r="L588" s="485"/>
      <c r="M588" s="485"/>
      <c r="N588" s="485"/>
      <c r="O588" s="485"/>
    </row>
    <row r="589" ht="14.25" customHeight="1">
      <c r="D589" s="484"/>
      <c r="E589" s="485"/>
      <c r="F589" s="485"/>
      <c r="G589" s="119"/>
      <c r="J589" s="485"/>
      <c r="K589" s="485"/>
      <c r="L589" s="485"/>
      <c r="M589" s="485"/>
      <c r="N589" s="485"/>
      <c r="O589" s="485"/>
    </row>
    <row r="590" ht="14.25" customHeight="1">
      <c r="D590" s="484"/>
      <c r="E590" s="485"/>
      <c r="F590" s="485"/>
      <c r="G590" s="119"/>
      <c r="J590" s="485"/>
      <c r="K590" s="485"/>
      <c r="L590" s="485"/>
      <c r="M590" s="485"/>
      <c r="N590" s="485"/>
      <c r="O590" s="485"/>
    </row>
    <row r="591" ht="14.25" customHeight="1">
      <c r="D591" s="484"/>
      <c r="E591" s="485"/>
      <c r="F591" s="485"/>
      <c r="G591" s="119"/>
      <c r="J591" s="485"/>
      <c r="K591" s="485"/>
      <c r="L591" s="485"/>
      <c r="M591" s="485"/>
      <c r="N591" s="485"/>
      <c r="O591" s="485"/>
    </row>
    <row r="592" ht="14.25" customHeight="1">
      <c r="D592" s="484"/>
      <c r="E592" s="485"/>
      <c r="F592" s="485"/>
      <c r="G592" s="119"/>
      <c r="J592" s="485"/>
      <c r="K592" s="485"/>
      <c r="L592" s="485"/>
      <c r="M592" s="485"/>
      <c r="N592" s="485"/>
      <c r="O592" s="485"/>
    </row>
    <row r="593" ht="14.25" customHeight="1">
      <c r="D593" s="484"/>
      <c r="E593" s="485"/>
      <c r="F593" s="485"/>
      <c r="G593" s="119"/>
      <c r="J593" s="485"/>
      <c r="K593" s="485"/>
      <c r="L593" s="485"/>
      <c r="M593" s="485"/>
      <c r="N593" s="485"/>
      <c r="O593" s="485"/>
    </row>
    <row r="594" ht="14.25" customHeight="1">
      <c r="D594" s="484"/>
      <c r="E594" s="485"/>
      <c r="F594" s="485"/>
      <c r="G594" s="119"/>
      <c r="J594" s="485"/>
      <c r="K594" s="485"/>
      <c r="L594" s="485"/>
      <c r="M594" s="485"/>
      <c r="N594" s="485"/>
      <c r="O594" s="485"/>
    </row>
    <row r="595" ht="14.25" customHeight="1">
      <c r="D595" s="484"/>
      <c r="E595" s="485"/>
      <c r="F595" s="485"/>
      <c r="G595" s="119"/>
      <c r="J595" s="485"/>
      <c r="K595" s="485"/>
      <c r="L595" s="485"/>
      <c r="M595" s="485"/>
      <c r="N595" s="485"/>
      <c r="O595" s="485"/>
    </row>
    <row r="596" ht="14.25" customHeight="1">
      <c r="D596" s="484"/>
      <c r="E596" s="485"/>
      <c r="F596" s="485"/>
      <c r="G596" s="119"/>
      <c r="J596" s="485"/>
      <c r="K596" s="485"/>
      <c r="L596" s="485"/>
      <c r="M596" s="485"/>
      <c r="N596" s="485"/>
      <c r="O596" s="485"/>
    </row>
    <row r="597" ht="14.25" customHeight="1">
      <c r="D597" s="484"/>
      <c r="E597" s="485"/>
      <c r="F597" s="485"/>
      <c r="G597" s="119"/>
      <c r="J597" s="485"/>
      <c r="K597" s="485"/>
      <c r="L597" s="485"/>
      <c r="M597" s="485"/>
      <c r="N597" s="485"/>
      <c r="O597" s="485"/>
    </row>
    <row r="598" ht="14.25" customHeight="1">
      <c r="D598" s="484"/>
      <c r="E598" s="485"/>
      <c r="F598" s="485"/>
      <c r="G598" s="119"/>
      <c r="J598" s="485"/>
      <c r="K598" s="485"/>
      <c r="L598" s="485"/>
      <c r="M598" s="485"/>
      <c r="N598" s="485"/>
      <c r="O598" s="485"/>
    </row>
    <row r="599" ht="14.25" customHeight="1">
      <c r="D599" s="484"/>
      <c r="E599" s="485"/>
      <c r="F599" s="485"/>
      <c r="G599" s="119"/>
      <c r="J599" s="485"/>
      <c r="K599" s="485"/>
      <c r="L599" s="485"/>
      <c r="M599" s="485"/>
      <c r="N599" s="485"/>
      <c r="O599" s="485"/>
    </row>
    <row r="600" ht="14.25" customHeight="1">
      <c r="D600" s="484"/>
      <c r="E600" s="485"/>
      <c r="F600" s="485"/>
      <c r="G600" s="119"/>
      <c r="J600" s="485"/>
      <c r="K600" s="485"/>
      <c r="L600" s="485"/>
      <c r="M600" s="485"/>
      <c r="N600" s="485"/>
      <c r="O600" s="485"/>
    </row>
    <row r="601" ht="14.25" customHeight="1">
      <c r="D601" s="484"/>
      <c r="E601" s="485"/>
      <c r="F601" s="485"/>
      <c r="G601" s="119"/>
      <c r="J601" s="485"/>
      <c r="K601" s="485"/>
      <c r="L601" s="485"/>
      <c r="M601" s="485"/>
      <c r="N601" s="485"/>
      <c r="O601" s="485"/>
    </row>
    <row r="602" ht="14.25" customHeight="1">
      <c r="D602" s="484"/>
      <c r="E602" s="485"/>
      <c r="F602" s="485"/>
      <c r="G602" s="119"/>
      <c r="J602" s="485"/>
      <c r="K602" s="485"/>
      <c r="L602" s="485"/>
      <c r="M602" s="485"/>
      <c r="N602" s="485"/>
      <c r="O602" s="485"/>
    </row>
    <row r="603" ht="14.25" customHeight="1">
      <c r="D603" s="484"/>
      <c r="E603" s="485"/>
      <c r="F603" s="485"/>
      <c r="G603" s="119"/>
      <c r="J603" s="485"/>
      <c r="K603" s="485"/>
      <c r="L603" s="485"/>
      <c r="M603" s="485"/>
      <c r="N603" s="485"/>
      <c r="O603" s="485"/>
    </row>
    <row r="604" ht="14.25" customHeight="1">
      <c r="D604" s="484"/>
      <c r="E604" s="485"/>
      <c r="F604" s="485"/>
      <c r="G604" s="119"/>
      <c r="J604" s="485"/>
      <c r="K604" s="485"/>
      <c r="L604" s="485"/>
      <c r="M604" s="485"/>
      <c r="N604" s="485"/>
      <c r="O604" s="485"/>
    </row>
    <row r="605" ht="14.25" customHeight="1">
      <c r="D605" s="484"/>
      <c r="E605" s="485"/>
      <c r="F605" s="485"/>
      <c r="G605" s="119"/>
      <c r="J605" s="485"/>
      <c r="K605" s="485"/>
      <c r="L605" s="485"/>
      <c r="M605" s="485"/>
      <c r="N605" s="485"/>
      <c r="O605" s="485"/>
    </row>
    <row r="606" ht="14.25" customHeight="1">
      <c r="D606" s="484"/>
      <c r="E606" s="485"/>
      <c r="F606" s="485"/>
      <c r="G606" s="119"/>
      <c r="J606" s="485"/>
      <c r="K606" s="485"/>
      <c r="L606" s="485"/>
      <c r="M606" s="485"/>
      <c r="N606" s="485"/>
      <c r="O606" s="485"/>
    </row>
    <row r="607" ht="14.25" customHeight="1">
      <c r="D607" s="484"/>
      <c r="E607" s="485"/>
      <c r="F607" s="485"/>
      <c r="G607" s="119"/>
      <c r="J607" s="485"/>
      <c r="K607" s="485"/>
      <c r="L607" s="485"/>
      <c r="M607" s="485"/>
      <c r="N607" s="485"/>
      <c r="O607" s="485"/>
    </row>
    <row r="608" ht="14.25" customHeight="1">
      <c r="D608" s="484"/>
      <c r="E608" s="485"/>
      <c r="F608" s="485"/>
      <c r="G608" s="119"/>
      <c r="J608" s="485"/>
      <c r="K608" s="485"/>
      <c r="L608" s="485"/>
      <c r="M608" s="485"/>
      <c r="N608" s="485"/>
      <c r="O608" s="485"/>
    </row>
    <row r="609" ht="14.25" customHeight="1">
      <c r="D609" s="484"/>
      <c r="E609" s="485"/>
      <c r="F609" s="485"/>
      <c r="G609" s="119"/>
      <c r="J609" s="485"/>
      <c r="K609" s="485"/>
      <c r="L609" s="485"/>
      <c r="M609" s="485"/>
      <c r="N609" s="485"/>
      <c r="O609" s="485"/>
    </row>
    <row r="610" ht="14.25" customHeight="1">
      <c r="D610" s="484"/>
      <c r="E610" s="485"/>
      <c r="F610" s="485"/>
      <c r="G610" s="119"/>
      <c r="J610" s="485"/>
      <c r="K610" s="485"/>
      <c r="L610" s="485"/>
      <c r="M610" s="485"/>
      <c r="N610" s="485"/>
      <c r="O610" s="485"/>
    </row>
    <row r="611" ht="14.25" customHeight="1">
      <c r="D611" s="484"/>
      <c r="E611" s="485"/>
      <c r="F611" s="485"/>
      <c r="G611" s="119"/>
      <c r="J611" s="485"/>
      <c r="K611" s="485"/>
      <c r="L611" s="485"/>
      <c r="M611" s="485"/>
      <c r="N611" s="485"/>
      <c r="O611" s="485"/>
    </row>
    <row r="612" ht="14.25" customHeight="1">
      <c r="D612" s="484"/>
      <c r="E612" s="485"/>
      <c r="F612" s="485"/>
      <c r="G612" s="119"/>
      <c r="J612" s="485"/>
      <c r="K612" s="485"/>
      <c r="L612" s="485"/>
      <c r="M612" s="485"/>
      <c r="N612" s="485"/>
      <c r="O612" s="485"/>
    </row>
    <row r="613" ht="14.25" customHeight="1">
      <c r="D613" s="484"/>
      <c r="E613" s="485"/>
      <c r="F613" s="485"/>
      <c r="G613" s="119"/>
      <c r="J613" s="485"/>
      <c r="K613" s="485"/>
      <c r="L613" s="485"/>
      <c r="M613" s="485"/>
      <c r="N613" s="485"/>
      <c r="O613" s="485"/>
    </row>
    <row r="614" ht="14.25" customHeight="1">
      <c r="D614" s="484"/>
      <c r="E614" s="485"/>
      <c r="F614" s="485"/>
      <c r="G614" s="119"/>
      <c r="J614" s="485"/>
      <c r="K614" s="485"/>
      <c r="L614" s="485"/>
      <c r="M614" s="485"/>
      <c r="N614" s="485"/>
      <c r="O614" s="485"/>
    </row>
    <row r="615" ht="14.25" customHeight="1">
      <c r="D615" s="484"/>
      <c r="E615" s="485"/>
      <c r="F615" s="485"/>
      <c r="G615" s="119"/>
      <c r="J615" s="485"/>
      <c r="K615" s="485"/>
      <c r="L615" s="485"/>
      <c r="M615" s="485"/>
      <c r="N615" s="485"/>
      <c r="O615" s="485"/>
    </row>
    <row r="616" ht="14.25" customHeight="1">
      <c r="D616" s="484"/>
      <c r="E616" s="485"/>
      <c r="F616" s="485"/>
      <c r="G616" s="119"/>
      <c r="J616" s="485"/>
      <c r="K616" s="485"/>
      <c r="L616" s="485"/>
      <c r="M616" s="485"/>
      <c r="N616" s="485"/>
      <c r="O616" s="485"/>
    </row>
    <row r="617" ht="14.25" customHeight="1">
      <c r="D617" s="484"/>
      <c r="E617" s="485"/>
      <c r="F617" s="485"/>
      <c r="G617" s="119"/>
      <c r="J617" s="485"/>
      <c r="K617" s="485"/>
      <c r="L617" s="485"/>
      <c r="M617" s="485"/>
      <c r="N617" s="485"/>
      <c r="O617" s="485"/>
    </row>
    <row r="618" ht="14.25" customHeight="1">
      <c r="D618" s="484"/>
      <c r="E618" s="485"/>
      <c r="F618" s="485"/>
      <c r="G618" s="119"/>
      <c r="J618" s="485"/>
      <c r="K618" s="485"/>
      <c r="L618" s="485"/>
      <c r="M618" s="485"/>
      <c r="N618" s="485"/>
      <c r="O618" s="485"/>
    </row>
    <row r="619" ht="14.25" customHeight="1">
      <c r="D619" s="484"/>
      <c r="E619" s="485"/>
      <c r="F619" s="485"/>
      <c r="G619" s="119"/>
      <c r="J619" s="485"/>
      <c r="K619" s="485"/>
      <c r="L619" s="485"/>
      <c r="M619" s="485"/>
      <c r="N619" s="485"/>
      <c r="O619" s="485"/>
    </row>
    <row r="620" ht="14.25" customHeight="1">
      <c r="D620" s="484"/>
      <c r="E620" s="485"/>
      <c r="F620" s="485"/>
      <c r="G620" s="119"/>
      <c r="J620" s="485"/>
      <c r="K620" s="485"/>
      <c r="L620" s="485"/>
      <c r="M620" s="485"/>
      <c r="N620" s="485"/>
      <c r="O620" s="485"/>
    </row>
    <row r="621" ht="14.25" customHeight="1">
      <c r="D621" s="484"/>
      <c r="E621" s="485"/>
      <c r="F621" s="485"/>
      <c r="G621" s="119"/>
      <c r="J621" s="485"/>
      <c r="K621" s="485"/>
      <c r="L621" s="485"/>
      <c r="M621" s="485"/>
      <c r="N621" s="485"/>
      <c r="O621" s="485"/>
    </row>
    <row r="622" ht="14.25" customHeight="1">
      <c r="D622" s="484"/>
      <c r="E622" s="485"/>
      <c r="F622" s="485"/>
      <c r="G622" s="119"/>
      <c r="J622" s="485"/>
      <c r="K622" s="485"/>
      <c r="L622" s="485"/>
      <c r="M622" s="485"/>
      <c r="N622" s="485"/>
      <c r="O622" s="485"/>
    </row>
    <row r="623" ht="14.25" customHeight="1">
      <c r="D623" s="484"/>
      <c r="E623" s="485"/>
      <c r="F623" s="485"/>
      <c r="G623" s="119"/>
      <c r="J623" s="485"/>
      <c r="K623" s="485"/>
      <c r="L623" s="485"/>
      <c r="M623" s="485"/>
      <c r="N623" s="485"/>
      <c r="O623" s="485"/>
    </row>
    <row r="624" ht="14.25" customHeight="1">
      <c r="D624" s="484"/>
      <c r="E624" s="485"/>
      <c r="F624" s="485"/>
      <c r="G624" s="119"/>
      <c r="J624" s="485"/>
      <c r="K624" s="485"/>
      <c r="L624" s="485"/>
      <c r="M624" s="485"/>
      <c r="N624" s="485"/>
      <c r="O624" s="485"/>
    </row>
    <row r="625" ht="14.25" customHeight="1">
      <c r="D625" s="484"/>
      <c r="E625" s="485"/>
      <c r="F625" s="485"/>
      <c r="G625" s="119"/>
      <c r="J625" s="485"/>
      <c r="K625" s="485"/>
      <c r="L625" s="485"/>
      <c r="M625" s="485"/>
      <c r="N625" s="485"/>
      <c r="O625" s="485"/>
    </row>
    <row r="626" ht="14.25" customHeight="1">
      <c r="D626" s="484"/>
      <c r="E626" s="485"/>
      <c r="F626" s="485"/>
      <c r="G626" s="119"/>
      <c r="J626" s="485"/>
      <c r="K626" s="485"/>
      <c r="L626" s="485"/>
      <c r="M626" s="485"/>
      <c r="N626" s="485"/>
      <c r="O626" s="485"/>
    </row>
    <row r="627" ht="14.25" customHeight="1">
      <c r="D627" s="484"/>
      <c r="E627" s="485"/>
      <c r="F627" s="485"/>
      <c r="G627" s="119"/>
      <c r="J627" s="485"/>
      <c r="K627" s="485"/>
      <c r="L627" s="485"/>
      <c r="M627" s="485"/>
      <c r="N627" s="485"/>
      <c r="O627" s="485"/>
    </row>
    <row r="628" ht="14.25" customHeight="1">
      <c r="D628" s="484"/>
      <c r="E628" s="485"/>
      <c r="F628" s="485"/>
      <c r="G628" s="119"/>
      <c r="J628" s="485"/>
      <c r="K628" s="485"/>
      <c r="L628" s="485"/>
      <c r="M628" s="485"/>
      <c r="N628" s="485"/>
      <c r="O628" s="485"/>
    </row>
    <row r="629" ht="14.25" customHeight="1">
      <c r="D629" s="484"/>
      <c r="E629" s="485"/>
      <c r="F629" s="485"/>
      <c r="G629" s="119"/>
      <c r="J629" s="485"/>
      <c r="K629" s="485"/>
      <c r="L629" s="485"/>
      <c r="M629" s="485"/>
      <c r="N629" s="485"/>
      <c r="O629" s="485"/>
    </row>
  </sheetData>
  <mergeCells count="13">
    <mergeCell ref="I2:J2"/>
    <mergeCell ref="K2:K3"/>
    <mergeCell ref="O2:O3"/>
    <mergeCell ref="P2:P3"/>
    <mergeCell ref="Q2:Q3"/>
    <mergeCell ref="R2:R3"/>
    <mergeCell ref="L1:N2"/>
    <mergeCell ref="O1:R1"/>
    <mergeCell ref="B2:D3"/>
    <mergeCell ref="E2:E3"/>
    <mergeCell ref="F2:F3"/>
    <mergeCell ref="G2:G3"/>
    <mergeCell ref="H2:H3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4.14"/>
    <col customWidth="1" min="2" max="2" width="5.14"/>
    <col customWidth="1" min="3" max="3" width="7.86"/>
    <col customWidth="1" min="4" max="4" width="3.86"/>
    <col customWidth="1" hidden="1" min="5" max="7" width="11.86"/>
    <col customWidth="1" hidden="1" min="8" max="8" width="13.43"/>
    <col customWidth="1" hidden="1" min="9" max="9" width="11.86"/>
    <col customWidth="1" hidden="1" min="10" max="10" width="11.29"/>
    <col customWidth="1" hidden="1" min="11" max="11" width="12.14"/>
    <col customWidth="1" hidden="1" min="12" max="12" width="11.43"/>
    <col customWidth="1" hidden="1" min="13" max="13" width="10.86"/>
    <col customWidth="1" min="14" max="14" width="12.43"/>
    <col customWidth="1" min="15" max="15" width="12.14"/>
    <col customWidth="1" min="16" max="16" width="11.57"/>
    <col customWidth="1" min="17" max="17" width="13.43"/>
    <col customWidth="1" min="18" max="18" width="16.57"/>
    <col customWidth="1" min="19" max="19" width="8.71"/>
    <col customWidth="1" min="20" max="20" width="10.86"/>
    <col customWidth="1" min="21" max="21" width="16.14"/>
    <col customWidth="1" min="22" max="22" width="10.86"/>
    <col customWidth="1" min="23" max="27" width="8.71"/>
  </cols>
  <sheetData>
    <row r="1" ht="14.25" customHeight="1">
      <c r="B1" s="712" t="s">
        <v>356</v>
      </c>
      <c r="C1" s="713"/>
      <c r="D1" s="714"/>
      <c r="E1" s="715"/>
      <c r="F1" s="715"/>
      <c r="G1" s="715"/>
      <c r="H1" s="716"/>
      <c r="I1" s="717"/>
      <c r="J1" s="719"/>
      <c r="K1" s="720"/>
      <c r="L1" s="83" t="s">
        <v>4</v>
      </c>
      <c r="M1" s="30"/>
      <c r="N1" s="31"/>
      <c r="O1" s="721"/>
      <c r="P1" s="723" t="s">
        <v>359</v>
      </c>
      <c r="Q1" s="724"/>
      <c r="R1" s="725"/>
    </row>
    <row r="2" ht="14.25" customHeight="1">
      <c r="A2" s="36"/>
      <c r="B2" s="726" t="s">
        <v>7</v>
      </c>
      <c r="C2" s="727"/>
      <c r="D2" s="728"/>
      <c r="E2" s="729" t="s">
        <v>8</v>
      </c>
      <c r="F2" s="730" t="s">
        <v>9</v>
      </c>
      <c r="G2" s="731" t="s">
        <v>10</v>
      </c>
      <c r="H2" s="729" t="s">
        <v>11</v>
      </c>
      <c r="I2" s="732" t="s">
        <v>12</v>
      </c>
      <c r="J2" s="44"/>
      <c r="K2" s="733" t="s">
        <v>13</v>
      </c>
      <c r="L2" s="46"/>
      <c r="M2" s="47"/>
      <c r="N2" s="48"/>
      <c r="O2" s="734" t="s">
        <v>14</v>
      </c>
      <c r="P2" s="735" t="s">
        <v>15</v>
      </c>
      <c r="Q2" s="736" t="s">
        <v>16</v>
      </c>
      <c r="R2" s="737" t="s">
        <v>11</v>
      </c>
      <c r="S2" s="36"/>
      <c r="T2" s="36"/>
      <c r="U2" s="36"/>
      <c r="V2" s="36"/>
      <c r="W2" s="36"/>
      <c r="X2" s="36"/>
      <c r="Y2" s="36"/>
      <c r="Z2" s="36"/>
      <c r="AA2" s="36"/>
    </row>
    <row r="3" ht="14.25" customHeight="1">
      <c r="A3" s="36"/>
      <c r="B3" s="739"/>
      <c r="C3" s="740"/>
      <c r="D3" s="741"/>
      <c r="E3" s="56"/>
      <c r="F3" s="57"/>
      <c r="G3" s="56"/>
      <c r="H3" s="56"/>
      <c r="I3" s="742" t="s">
        <v>17</v>
      </c>
      <c r="J3" s="742" t="s">
        <v>18</v>
      </c>
      <c r="K3" s="59"/>
      <c r="L3" s="162" t="s">
        <v>18</v>
      </c>
      <c r="M3" s="164" t="s">
        <v>19</v>
      </c>
      <c r="N3" s="743" t="s">
        <v>20</v>
      </c>
      <c r="O3" s="63"/>
      <c r="P3" s="56"/>
      <c r="Q3" s="56"/>
      <c r="R3" s="59"/>
      <c r="S3" s="36"/>
      <c r="T3" s="36"/>
      <c r="U3" s="36"/>
      <c r="V3" s="36"/>
      <c r="W3" s="36"/>
      <c r="X3" s="36"/>
      <c r="Y3" s="36"/>
      <c r="Z3" s="36"/>
      <c r="AA3" s="36"/>
    </row>
    <row r="4" ht="14.25" customHeight="1">
      <c r="B4" s="235" t="s">
        <v>38</v>
      </c>
      <c r="C4" s="241" t="s">
        <v>46</v>
      </c>
      <c r="D4" s="66">
        <v>1.0</v>
      </c>
      <c r="E4" s="237">
        <v>1500.0</v>
      </c>
      <c r="F4" s="67"/>
      <c r="G4" s="67"/>
      <c r="H4" s="68"/>
      <c r="I4" s="237">
        <v>500.0</v>
      </c>
      <c r="J4" s="67"/>
      <c r="K4" s="69">
        <f t="shared" ref="K4:K16" si="1">E4-I4-L4-M4-N4-J4+F4</f>
        <v>0</v>
      </c>
      <c r="L4" s="67"/>
      <c r="M4" s="237">
        <v>1000.0</v>
      </c>
      <c r="N4" s="745"/>
      <c r="O4" s="747">
        <v>-500.0</v>
      </c>
      <c r="P4" s="747"/>
      <c r="Q4" s="747">
        <f t="shared" ref="Q4:Q19" si="2">Q3+N4+O4+P4</f>
        <v>-500</v>
      </c>
      <c r="R4" s="747"/>
    </row>
    <row r="5" ht="14.25" customHeight="1">
      <c r="B5" s="68"/>
      <c r="C5" s="241" t="s">
        <v>29</v>
      </c>
      <c r="D5" s="241">
        <v>1.0</v>
      </c>
      <c r="E5" s="237">
        <v>2200.0</v>
      </c>
      <c r="F5" s="67"/>
      <c r="G5" s="67"/>
      <c r="H5" s="68"/>
      <c r="I5" s="67"/>
      <c r="J5" s="237">
        <v>1000.0</v>
      </c>
      <c r="K5" s="69">
        <f t="shared" si="1"/>
        <v>0</v>
      </c>
      <c r="L5" s="67"/>
      <c r="M5" s="67"/>
      <c r="N5" s="749">
        <v>1200.0</v>
      </c>
      <c r="O5" s="750">
        <v>-500.0</v>
      </c>
      <c r="P5" s="747"/>
      <c r="Q5" s="747">
        <f t="shared" si="2"/>
        <v>200</v>
      </c>
      <c r="R5" s="747"/>
    </row>
    <row r="6" ht="14.25" customHeight="1">
      <c r="B6" s="68"/>
      <c r="C6" s="241" t="s">
        <v>30</v>
      </c>
      <c r="D6" s="241">
        <v>1.0</v>
      </c>
      <c r="E6" s="237">
        <v>2000.0</v>
      </c>
      <c r="F6" s="67"/>
      <c r="G6" s="67"/>
      <c r="H6" s="68"/>
      <c r="I6" s="237">
        <v>700.0</v>
      </c>
      <c r="J6" s="67"/>
      <c r="K6" s="69">
        <f t="shared" si="1"/>
        <v>1</v>
      </c>
      <c r="L6" s="67"/>
      <c r="M6" s="67"/>
      <c r="N6" s="749">
        <v>1299.0</v>
      </c>
      <c r="O6" s="750">
        <v>-500.0</v>
      </c>
      <c r="P6" s="747"/>
      <c r="Q6" s="747">
        <f t="shared" si="2"/>
        <v>999</v>
      </c>
      <c r="R6" s="747"/>
    </row>
    <row r="7" ht="14.25" customHeight="1">
      <c r="B7" s="68"/>
      <c r="C7" s="241" t="s">
        <v>31</v>
      </c>
      <c r="D7" s="241">
        <v>1.0</v>
      </c>
      <c r="E7" s="237">
        <v>2000.0</v>
      </c>
      <c r="F7" s="67"/>
      <c r="G7" s="67"/>
      <c r="H7" s="68"/>
      <c r="I7" s="237">
        <v>1000.0</v>
      </c>
      <c r="J7" s="67"/>
      <c r="K7" s="69">
        <f t="shared" si="1"/>
        <v>0</v>
      </c>
      <c r="L7" s="67"/>
      <c r="M7" s="67"/>
      <c r="N7" s="749">
        <v>1000.0</v>
      </c>
      <c r="O7" s="750">
        <v>-500.0</v>
      </c>
      <c r="P7" s="747"/>
      <c r="Q7" s="747">
        <f t="shared" si="2"/>
        <v>1499</v>
      </c>
      <c r="R7" s="747"/>
    </row>
    <row r="8" ht="14.25" customHeight="1">
      <c r="B8" s="81"/>
      <c r="C8" s="299" t="s">
        <v>32</v>
      </c>
      <c r="D8" s="87"/>
      <c r="E8" s="88"/>
      <c r="F8" s="88"/>
      <c r="G8" s="88"/>
      <c r="H8" s="81"/>
      <c r="I8" s="88"/>
      <c r="J8" s="88"/>
      <c r="K8" s="90">
        <f t="shared" si="1"/>
        <v>0</v>
      </c>
      <c r="L8" s="88"/>
      <c r="M8" s="88"/>
      <c r="N8" s="91"/>
      <c r="O8" s="88"/>
      <c r="P8" s="88"/>
      <c r="Q8" s="88">
        <f t="shared" si="2"/>
        <v>1499</v>
      </c>
      <c r="R8" s="88"/>
    </row>
    <row r="9" ht="14.25" customHeight="1">
      <c r="B9" s="68"/>
      <c r="C9" s="241" t="s">
        <v>120</v>
      </c>
      <c r="D9" s="241">
        <v>2.0</v>
      </c>
      <c r="E9" s="237">
        <v>3300.0</v>
      </c>
      <c r="F9" s="67"/>
      <c r="G9" s="67"/>
      <c r="H9" s="68"/>
      <c r="I9" s="237">
        <v>1500.0</v>
      </c>
      <c r="J9" s="67"/>
      <c r="K9" s="69">
        <f t="shared" si="1"/>
        <v>0</v>
      </c>
      <c r="L9" s="67"/>
      <c r="M9" s="237">
        <v>1800.0</v>
      </c>
      <c r="N9" s="745"/>
      <c r="O9" s="750">
        <v>-500.0</v>
      </c>
      <c r="P9" s="747"/>
      <c r="Q9" s="747">
        <f t="shared" si="2"/>
        <v>999</v>
      </c>
      <c r="R9" s="747"/>
    </row>
    <row r="10" ht="14.25" customHeight="1">
      <c r="B10" s="81"/>
      <c r="C10" s="299" t="s">
        <v>69</v>
      </c>
      <c r="D10" s="87"/>
      <c r="E10" s="88"/>
      <c r="F10" s="88"/>
      <c r="G10" s="88"/>
      <c r="H10" s="81"/>
      <c r="I10" s="88"/>
      <c r="J10" s="88"/>
      <c r="K10" s="90">
        <f t="shared" si="1"/>
        <v>0</v>
      </c>
      <c r="L10" s="88"/>
      <c r="M10" s="88"/>
      <c r="N10" s="91"/>
      <c r="O10" s="88"/>
      <c r="P10" s="88"/>
      <c r="Q10" s="88">
        <f t="shared" si="2"/>
        <v>999</v>
      </c>
      <c r="R10" s="88"/>
    </row>
    <row r="11" ht="14.25" customHeight="1">
      <c r="B11" s="68"/>
      <c r="C11" s="241" t="s">
        <v>68</v>
      </c>
      <c r="D11" s="241">
        <v>1.0</v>
      </c>
      <c r="E11" s="237">
        <v>2000.0</v>
      </c>
      <c r="F11" s="67"/>
      <c r="G11" s="67"/>
      <c r="H11" s="68"/>
      <c r="I11" s="237">
        <v>1000.0</v>
      </c>
      <c r="J11" s="67"/>
      <c r="K11" s="69">
        <f t="shared" si="1"/>
        <v>0</v>
      </c>
      <c r="L11" s="67"/>
      <c r="M11" s="67"/>
      <c r="N11" s="749">
        <v>1000.0</v>
      </c>
      <c r="O11" s="750">
        <v>-500.0</v>
      </c>
      <c r="P11" s="747"/>
      <c r="Q11" s="747">
        <f t="shared" si="2"/>
        <v>1499</v>
      </c>
      <c r="R11" s="747"/>
    </row>
    <row r="12" ht="14.25" customHeight="1">
      <c r="B12" s="68"/>
      <c r="C12" s="241" t="s">
        <v>37</v>
      </c>
      <c r="D12" s="241">
        <v>1.0</v>
      </c>
      <c r="E12" s="237">
        <v>2500.0</v>
      </c>
      <c r="F12" s="67"/>
      <c r="G12" s="237">
        <v>-200.0</v>
      </c>
      <c r="H12" s="68"/>
      <c r="I12" s="237">
        <v>500.0</v>
      </c>
      <c r="J12" s="67"/>
      <c r="K12" s="69">
        <f t="shared" si="1"/>
        <v>0</v>
      </c>
      <c r="L12" s="67"/>
      <c r="M12" s="237">
        <v>2000.0</v>
      </c>
      <c r="N12" s="745"/>
      <c r="O12" s="750">
        <v>-500.0</v>
      </c>
      <c r="P12" s="747"/>
      <c r="Q12" s="747">
        <f t="shared" si="2"/>
        <v>999</v>
      </c>
      <c r="R12" s="747"/>
    </row>
    <row r="13" ht="14.25" customHeight="1">
      <c r="B13" s="68"/>
      <c r="C13" s="241" t="s">
        <v>108</v>
      </c>
      <c r="D13" s="241">
        <v>2.0</v>
      </c>
      <c r="E13" s="237">
        <v>3300.0</v>
      </c>
      <c r="F13" s="67"/>
      <c r="G13" s="67"/>
      <c r="H13" s="68"/>
      <c r="I13" s="67"/>
      <c r="J13" s="67"/>
      <c r="K13" s="69">
        <f t="shared" si="1"/>
        <v>0</v>
      </c>
      <c r="L13" s="67"/>
      <c r="M13" s="237">
        <v>3300.0</v>
      </c>
      <c r="N13" s="745"/>
      <c r="O13" s="750">
        <v>-500.0</v>
      </c>
      <c r="P13" s="747"/>
      <c r="Q13" s="747">
        <f t="shared" si="2"/>
        <v>499</v>
      </c>
      <c r="R13" s="747"/>
    </row>
    <row r="14" ht="14.25" customHeight="1">
      <c r="B14" s="68"/>
      <c r="C14" s="66"/>
      <c r="D14" s="66"/>
      <c r="E14" s="67"/>
      <c r="F14" s="67"/>
      <c r="G14" s="67"/>
      <c r="H14" s="68"/>
      <c r="I14" s="67"/>
      <c r="J14" s="67"/>
      <c r="K14" s="69">
        <f t="shared" si="1"/>
        <v>0</v>
      </c>
      <c r="L14" s="67"/>
      <c r="M14" s="67"/>
      <c r="N14" s="745"/>
      <c r="O14" s="747"/>
      <c r="P14" s="747"/>
      <c r="Q14" s="747">
        <f t="shared" si="2"/>
        <v>499</v>
      </c>
      <c r="R14" s="747"/>
    </row>
    <row r="15" ht="14.25" customHeight="1">
      <c r="B15" s="68"/>
      <c r="C15" s="518"/>
      <c r="D15" s="66"/>
      <c r="E15" s="67"/>
      <c r="F15" s="67"/>
      <c r="G15" s="67"/>
      <c r="H15" s="68"/>
      <c r="I15" s="67"/>
      <c r="J15" s="67"/>
      <c r="K15" s="69">
        <f t="shared" si="1"/>
        <v>0</v>
      </c>
      <c r="L15" s="67"/>
      <c r="M15" s="67"/>
      <c r="N15" s="745"/>
      <c r="O15" s="747"/>
      <c r="P15" s="747"/>
      <c r="Q15" s="747">
        <f t="shared" si="2"/>
        <v>499</v>
      </c>
      <c r="R15" s="747"/>
    </row>
    <row r="16" ht="14.25" customHeight="1">
      <c r="B16" s="68"/>
      <c r="C16" s="241" t="s">
        <v>118</v>
      </c>
      <c r="D16" s="241">
        <v>2.0</v>
      </c>
      <c r="E16" s="237">
        <v>3317.4</v>
      </c>
      <c r="F16" s="67"/>
      <c r="G16" s="67">
        <f>50+400</f>
        <v>450</v>
      </c>
      <c r="H16" s="248" t="s">
        <v>42</v>
      </c>
      <c r="I16" s="67"/>
      <c r="J16" s="67"/>
      <c r="K16" s="69">
        <f t="shared" si="1"/>
        <v>0</v>
      </c>
      <c r="L16" s="237">
        <v>3317.4</v>
      </c>
      <c r="M16" s="67"/>
      <c r="N16" s="745"/>
      <c r="O16" s="747">
        <v>-500.0</v>
      </c>
      <c r="P16" s="747"/>
      <c r="Q16" s="747">
        <f t="shared" si="2"/>
        <v>-1</v>
      </c>
      <c r="R16" s="747"/>
    </row>
    <row r="17" ht="14.25" customHeight="1">
      <c r="B17" s="68"/>
      <c r="C17" s="66"/>
      <c r="D17" s="66"/>
      <c r="E17" s="67"/>
      <c r="F17" s="67"/>
      <c r="G17" s="67"/>
      <c r="H17" s="68"/>
      <c r="I17" s="67"/>
      <c r="J17" s="67"/>
      <c r="K17" s="69"/>
      <c r="L17" s="67"/>
      <c r="M17" s="67"/>
      <c r="N17" s="745"/>
      <c r="O17" s="747"/>
      <c r="P17" s="750">
        <v>-500.0</v>
      </c>
      <c r="Q17" s="747">
        <f t="shared" si="2"/>
        <v>-501</v>
      </c>
      <c r="R17" s="750" t="s">
        <v>367</v>
      </c>
    </row>
    <row r="18" ht="14.25" customHeight="1">
      <c r="B18" s="68"/>
      <c r="C18" s="66"/>
      <c r="D18" s="66"/>
      <c r="E18" s="67"/>
      <c r="F18" s="67"/>
      <c r="G18" s="67"/>
      <c r="H18" s="68"/>
      <c r="I18" s="67"/>
      <c r="J18" s="67"/>
      <c r="K18" s="69"/>
      <c r="L18" s="67"/>
      <c r="M18" s="67"/>
      <c r="N18" s="745"/>
      <c r="O18" s="747"/>
      <c r="P18" s="750">
        <v>-500.0</v>
      </c>
      <c r="Q18" s="747">
        <f t="shared" si="2"/>
        <v>-1001</v>
      </c>
      <c r="R18" s="750" t="s">
        <v>82</v>
      </c>
    </row>
    <row r="19" ht="14.25" customHeight="1">
      <c r="B19" s="373"/>
      <c r="C19" s="760"/>
      <c r="D19" s="760"/>
      <c r="E19" s="377"/>
      <c r="F19" s="377"/>
      <c r="G19" s="377"/>
      <c r="H19" s="373"/>
      <c r="I19" s="377"/>
      <c r="J19" s="377"/>
      <c r="K19" s="344"/>
      <c r="L19" s="377"/>
      <c r="M19" s="377"/>
      <c r="N19" s="761"/>
      <c r="O19" s="762"/>
      <c r="P19" s="763">
        <v>1001.0</v>
      </c>
      <c r="Q19" s="747">
        <f t="shared" si="2"/>
        <v>0</v>
      </c>
      <c r="R19" s="763"/>
    </row>
    <row r="20" ht="14.25" customHeight="1">
      <c r="B20" s="764" t="s">
        <v>38</v>
      </c>
      <c r="C20" s="765" t="s">
        <v>66</v>
      </c>
      <c r="D20" s="765">
        <f t="shared" ref="D20:E20" si="3">sum(D4:D18)</f>
        <v>12</v>
      </c>
      <c r="E20" s="766">
        <f t="shared" si="3"/>
        <v>22117.4</v>
      </c>
      <c r="F20" s="766"/>
      <c r="G20" s="766">
        <f>sum(G4:G18)</f>
        <v>250</v>
      </c>
      <c r="H20" s="765"/>
      <c r="I20" s="766">
        <f t="shared" ref="I20:O20" si="4">sum(I4:I18)</f>
        <v>5200</v>
      </c>
      <c r="J20" s="766">
        <f t="shared" si="4"/>
        <v>1000</v>
      </c>
      <c r="K20" s="766">
        <f t="shared" si="4"/>
        <v>1</v>
      </c>
      <c r="L20" s="766">
        <f t="shared" si="4"/>
        <v>3317.4</v>
      </c>
      <c r="M20" s="766">
        <f t="shared" si="4"/>
        <v>8100</v>
      </c>
      <c r="N20" s="766">
        <f t="shared" si="4"/>
        <v>4499</v>
      </c>
      <c r="O20" s="766">
        <f t="shared" si="4"/>
        <v>-4500</v>
      </c>
      <c r="P20" s="766">
        <f>sum(P4:P19)</f>
        <v>1</v>
      </c>
      <c r="Q20" s="767">
        <f>Q19</f>
        <v>0</v>
      </c>
      <c r="R20" s="768"/>
    </row>
    <row r="21" ht="14.25" customHeight="1">
      <c r="B21" s="235" t="s">
        <v>91</v>
      </c>
      <c r="C21" s="573">
        <v>45691.0</v>
      </c>
      <c r="D21" s="66">
        <v>1.0</v>
      </c>
      <c r="E21" s="237">
        <v>2000.0</v>
      </c>
      <c r="F21" s="67"/>
      <c r="G21" s="67"/>
      <c r="H21" s="68"/>
      <c r="I21" s="237">
        <v>1000.0</v>
      </c>
      <c r="J21" s="67"/>
      <c r="K21" s="69">
        <f t="shared" ref="K21:K27" si="5">E21-I21-L21-M21-N21-J21+F21</f>
        <v>0</v>
      </c>
      <c r="L21" s="67"/>
      <c r="M21" s="237"/>
      <c r="N21" s="749">
        <v>1000.0</v>
      </c>
      <c r="O21" s="750">
        <v>-500.0</v>
      </c>
      <c r="P21" s="747"/>
      <c r="Q21" s="747">
        <f t="shared" ref="Q21:Q41" si="6">Q20+N21+O21+P21</f>
        <v>500</v>
      </c>
      <c r="R21" s="747"/>
    </row>
    <row r="22" ht="14.25" customHeight="1">
      <c r="B22" s="81"/>
      <c r="C22" s="576">
        <v>45720.0</v>
      </c>
      <c r="D22" s="299"/>
      <c r="E22" s="294"/>
      <c r="F22" s="88"/>
      <c r="G22" s="88"/>
      <c r="H22" s="81"/>
      <c r="I22" s="88"/>
      <c r="J22" s="294"/>
      <c r="K22" s="90">
        <f t="shared" si="5"/>
        <v>0</v>
      </c>
      <c r="L22" s="88"/>
      <c r="M22" s="88"/>
      <c r="N22" s="295"/>
      <c r="O22" s="294"/>
      <c r="P22" s="88"/>
      <c r="Q22" s="88">
        <f t="shared" si="6"/>
        <v>500</v>
      </c>
      <c r="R22" s="88"/>
    </row>
    <row r="23" ht="14.25" customHeight="1">
      <c r="B23" s="68"/>
      <c r="C23" s="573">
        <v>45752.0</v>
      </c>
      <c r="D23" s="241">
        <v>1.0</v>
      </c>
      <c r="E23" s="237">
        <v>1999.0</v>
      </c>
      <c r="F23" s="67"/>
      <c r="G23" s="67"/>
      <c r="H23" s="68"/>
      <c r="I23" s="237">
        <v>500.0</v>
      </c>
      <c r="J23" s="67"/>
      <c r="K23" s="69">
        <f t="shared" si="5"/>
        <v>0</v>
      </c>
      <c r="L23" s="67"/>
      <c r="M23" s="67"/>
      <c r="N23" s="749">
        <v>1499.0</v>
      </c>
      <c r="O23" s="750">
        <v>-500.0</v>
      </c>
      <c r="P23" s="747"/>
      <c r="Q23" s="747">
        <f t="shared" si="6"/>
        <v>1499</v>
      </c>
      <c r="R23" s="747"/>
    </row>
    <row r="24" ht="14.25" customHeight="1">
      <c r="B24" s="68"/>
      <c r="C24" s="573">
        <v>45783.0</v>
      </c>
      <c r="D24" s="241">
        <v>1.0</v>
      </c>
      <c r="E24" s="237">
        <v>1600.0</v>
      </c>
      <c r="F24" s="67"/>
      <c r="G24" s="67"/>
      <c r="H24" s="68"/>
      <c r="I24" s="237">
        <v>500.0</v>
      </c>
      <c r="J24" s="67"/>
      <c r="K24" s="69">
        <f t="shared" si="5"/>
        <v>0</v>
      </c>
      <c r="L24" s="67"/>
      <c r="M24" s="67"/>
      <c r="N24" s="749">
        <v>1100.0</v>
      </c>
      <c r="O24" s="750">
        <v>-500.0</v>
      </c>
      <c r="P24" s="747"/>
      <c r="Q24" s="747">
        <f t="shared" si="6"/>
        <v>2099</v>
      </c>
      <c r="R24" s="747"/>
    </row>
    <row r="25" ht="14.25" customHeight="1">
      <c r="B25" s="81"/>
      <c r="C25" s="576">
        <v>45815.0</v>
      </c>
      <c r="D25" s="299"/>
      <c r="E25" s="294"/>
      <c r="F25" s="88"/>
      <c r="G25" s="88"/>
      <c r="H25" s="81"/>
      <c r="I25" s="294"/>
      <c r="J25" s="88"/>
      <c r="K25" s="90">
        <f t="shared" si="5"/>
        <v>0</v>
      </c>
      <c r="L25" s="88"/>
      <c r="M25" s="88"/>
      <c r="N25" s="295"/>
      <c r="O25" s="294"/>
      <c r="P25" s="88"/>
      <c r="Q25" s="88">
        <f t="shared" si="6"/>
        <v>2099</v>
      </c>
      <c r="R25" s="88"/>
    </row>
    <row r="26" ht="14.25" customHeight="1">
      <c r="B26" s="68"/>
      <c r="C26" s="573">
        <v>45847.0</v>
      </c>
      <c r="D26" s="241">
        <v>2.0</v>
      </c>
      <c r="E26" s="237">
        <v>3900.0</v>
      </c>
      <c r="F26" s="67"/>
      <c r="G26" s="237"/>
      <c r="H26" s="68"/>
      <c r="I26" s="237">
        <v>1500.0</v>
      </c>
      <c r="J26" s="67"/>
      <c r="K26" s="69">
        <f t="shared" si="5"/>
        <v>0</v>
      </c>
      <c r="L26" s="67"/>
      <c r="M26" s="237"/>
      <c r="N26" s="749">
        <v>2400.0</v>
      </c>
      <c r="O26" s="750">
        <v>-500.0</v>
      </c>
      <c r="P26" s="747"/>
      <c r="Q26" s="747">
        <f t="shared" si="6"/>
        <v>3999</v>
      </c>
      <c r="R26" s="747"/>
    </row>
    <row r="27" ht="14.25" customHeight="1">
      <c r="B27" s="68"/>
      <c r="C27" s="573">
        <v>45916.0</v>
      </c>
      <c r="D27" s="241">
        <v>7.0</v>
      </c>
      <c r="E27" s="648">
        <v>11900.0</v>
      </c>
      <c r="F27" s="67"/>
      <c r="G27" s="67"/>
      <c r="H27" s="68"/>
      <c r="I27" s="237">
        <v>4000.0</v>
      </c>
      <c r="J27" s="67"/>
      <c r="K27" s="69">
        <f t="shared" si="5"/>
        <v>0</v>
      </c>
      <c r="L27" s="67"/>
      <c r="M27" s="237"/>
      <c r="N27" s="749">
        <v>7900.0</v>
      </c>
      <c r="O27" s="750">
        <v>-500.0</v>
      </c>
      <c r="P27" s="747"/>
      <c r="Q27" s="747">
        <f t="shared" si="6"/>
        <v>11399</v>
      </c>
      <c r="R27" s="747"/>
    </row>
    <row r="28" ht="14.25" customHeight="1">
      <c r="B28" s="81"/>
      <c r="C28" s="299" t="s">
        <v>375</v>
      </c>
      <c r="D28" s="87"/>
      <c r="E28" s="88"/>
      <c r="F28" s="88"/>
      <c r="G28" s="88"/>
      <c r="H28" s="81"/>
      <c r="I28" s="88"/>
      <c r="J28" s="88"/>
      <c r="K28" s="90"/>
      <c r="L28" s="88"/>
      <c r="M28" s="88"/>
      <c r="N28" s="91"/>
      <c r="O28" s="88"/>
      <c r="P28" s="88"/>
      <c r="Q28" s="88">
        <f t="shared" si="6"/>
        <v>11399</v>
      </c>
      <c r="R28" s="88"/>
    </row>
    <row r="29" ht="14.25" customHeight="1">
      <c r="B29" s="68"/>
      <c r="C29" s="241" t="s">
        <v>70</v>
      </c>
      <c r="D29" s="241">
        <v>2.0</v>
      </c>
      <c r="E29" s="237">
        <v>3084.6</v>
      </c>
      <c r="F29" s="67"/>
      <c r="G29" s="67"/>
      <c r="H29" s="68"/>
      <c r="I29" s="67"/>
      <c r="J29" s="67"/>
      <c r="K29" s="69">
        <f t="shared" ref="K29:K34" si="7">E29-I29-L29-M29-N29-J29+F29</f>
        <v>0</v>
      </c>
      <c r="L29" s="237">
        <v>3084.6</v>
      </c>
      <c r="M29" s="67"/>
      <c r="N29" s="745"/>
      <c r="O29" s="750">
        <v>-500.0</v>
      </c>
      <c r="P29" s="747"/>
      <c r="Q29" s="747">
        <f t="shared" si="6"/>
        <v>10899</v>
      </c>
      <c r="R29" s="747"/>
    </row>
    <row r="30" ht="14.25" customHeight="1">
      <c r="B30" s="68"/>
      <c r="C30" s="241" t="s">
        <v>44</v>
      </c>
      <c r="D30" s="241">
        <v>1.0</v>
      </c>
      <c r="E30" s="237">
        <v>1800.0</v>
      </c>
      <c r="F30" s="67"/>
      <c r="G30" s="67"/>
      <c r="H30" s="68"/>
      <c r="I30" s="237"/>
      <c r="J30" s="67"/>
      <c r="K30" s="69">
        <f t="shared" si="7"/>
        <v>0</v>
      </c>
      <c r="L30" s="67"/>
      <c r="M30" s="67"/>
      <c r="N30" s="749">
        <v>1800.0</v>
      </c>
      <c r="O30" s="750">
        <v>-500.0</v>
      </c>
      <c r="P30" s="747"/>
      <c r="Q30" s="747">
        <f t="shared" si="6"/>
        <v>12199</v>
      </c>
      <c r="R30" s="747"/>
    </row>
    <row r="31" ht="14.25" customHeight="1">
      <c r="B31" s="68"/>
      <c r="C31" s="241" t="s">
        <v>45</v>
      </c>
      <c r="D31" s="241">
        <v>1.0</v>
      </c>
      <c r="E31" s="237">
        <v>1800.0</v>
      </c>
      <c r="F31" s="237"/>
      <c r="G31" s="67"/>
      <c r="H31" s="68"/>
      <c r="I31" s="237">
        <v>1000.0</v>
      </c>
      <c r="J31" s="67"/>
      <c r="K31" s="69">
        <f t="shared" si="7"/>
        <v>0</v>
      </c>
      <c r="L31" s="67"/>
      <c r="M31" s="67"/>
      <c r="N31" s="749">
        <v>800.0</v>
      </c>
      <c r="O31" s="750">
        <v>-500.0</v>
      </c>
      <c r="P31" s="747"/>
      <c r="Q31" s="747">
        <f t="shared" si="6"/>
        <v>12499</v>
      </c>
      <c r="R31" s="747"/>
    </row>
    <row r="32" ht="14.25" customHeight="1">
      <c r="B32" s="81"/>
      <c r="C32" s="299" t="s">
        <v>86</v>
      </c>
      <c r="D32" s="87"/>
      <c r="E32" s="88"/>
      <c r="F32" s="88"/>
      <c r="G32" s="88"/>
      <c r="H32" s="81"/>
      <c r="I32" s="88"/>
      <c r="J32" s="88"/>
      <c r="K32" s="90">
        <f t="shared" si="7"/>
        <v>0</v>
      </c>
      <c r="L32" s="88"/>
      <c r="M32" s="88"/>
      <c r="N32" s="91"/>
      <c r="O32" s="88"/>
      <c r="P32" s="88"/>
      <c r="Q32" s="88">
        <f t="shared" si="6"/>
        <v>12499</v>
      </c>
      <c r="R32" s="88"/>
    </row>
    <row r="33" ht="14.25" customHeight="1">
      <c r="B33" s="68"/>
      <c r="C33" s="241" t="s">
        <v>73</v>
      </c>
      <c r="D33" s="241">
        <v>1.0</v>
      </c>
      <c r="E33" s="237">
        <v>2100.0</v>
      </c>
      <c r="F33" s="237">
        <v>350.0</v>
      </c>
      <c r="G33" s="67"/>
      <c r="H33" s="248"/>
      <c r="I33" s="237">
        <v>1200.0</v>
      </c>
      <c r="J33" s="67"/>
      <c r="K33" s="69">
        <f t="shared" si="7"/>
        <v>0</v>
      </c>
      <c r="L33" s="67"/>
      <c r="M33" s="67"/>
      <c r="N33" s="749">
        <v>1250.0</v>
      </c>
      <c r="O33" s="750">
        <v>-500.0</v>
      </c>
      <c r="P33" s="747"/>
      <c r="Q33" s="747">
        <f t="shared" si="6"/>
        <v>13249</v>
      </c>
      <c r="R33" s="747"/>
    </row>
    <row r="34" ht="14.25" customHeight="1">
      <c r="B34" s="68"/>
      <c r="C34" s="241" t="s">
        <v>137</v>
      </c>
      <c r="D34" s="241">
        <v>2.0</v>
      </c>
      <c r="E34" s="237">
        <v>4100.0</v>
      </c>
      <c r="F34" s="67"/>
      <c r="G34" s="67"/>
      <c r="H34" s="68"/>
      <c r="I34" s="237">
        <v>1500.0</v>
      </c>
      <c r="J34" s="67"/>
      <c r="K34" s="69">
        <f t="shared" si="7"/>
        <v>0</v>
      </c>
      <c r="L34" s="67"/>
      <c r="M34" s="67"/>
      <c r="N34" s="749">
        <v>2600.0</v>
      </c>
      <c r="O34" s="750">
        <v>-500.0</v>
      </c>
      <c r="P34" s="750"/>
      <c r="Q34" s="747">
        <f t="shared" si="6"/>
        <v>15349</v>
      </c>
      <c r="R34" s="750"/>
    </row>
    <row r="35" ht="14.25" customHeight="1">
      <c r="B35" s="68"/>
      <c r="C35" s="241" t="s">
        <v>89</v>
      </c>
      <c r="D35" s="241">
        <v>2.0</v>
      </c>
      <c r="E35" s="237">
        <v>3900.0</v>
      </c>
      <c r="F35" s="67"/>
      <c r="G35" s="67"/>
      <c r="H35" s="68"/>
      <c r="I35" s="237">
        <v>1500.0</v>
      </c>
      <c r="J35" s="67"/>
      <c r="K35" s="69"/>
      <c r="L35" s="67"/>
      <c r="M35" s="67"/>
      <c r="N35" s="749">
        <v>2400.0</v>
      </c>
      <c r="O35" s="750">
        <v>-500.0</v>
      </c>
      <c r="P35" s="750"/>
      <c r="Q35" s="747">
        <f t="shared" si="6"/>
        <v>17249</v>
      </c>
      <c r="R35" s="750"/>
    </row>
    <row r="36" ht="14.25" customHeight="1">
      <c r="B36" s="68"/>
      <c r="C36" s="66"/>
      <c r="D36" s="66"/>
      <c r="E36" s="67"/>
      <c r="F36" s="67"/>
      <c r="G36" s="67"/>
      <c r="H36" s="68"/>
      <c r="I36" s="67"/>
      <c r="J36" s="67"/>
      <c r="K36" s="69"/>
      <c r="L36" s="67"/>
      <c r="M36" s="67"/>
      <c r="N36" s="745"/>
      <c r="O36" s="747"/>
      <c r="P36" s="750">
        <v>-849.0</v>
      </c>
      <c r="Q36" s="747">
        <f t="shared" si="6"/>
        <v>16400</v>
      </c>
      <c r="R36" s="750" t="s">
        <v>382</v>
      </c>
    </row>
    <row r="37" ht="14.25" customHeight="1">
      <c r="B37" s="210"/>
      <c r="C37" s="173"/>
      <c r="D37" s="173"/>
      <c r="E37" s="176"/>
      <c r="F37" s="176"/>
      <c r="G37" s="176"/>
      <c r="H37" s="210"/>
      <c r="I37" s="176"/>
      <c r="J37" s="176"/>
      <c r="K37" s="212">
        <f>E37-I37-L37-M37-N37-J37+F37</f>
        <v>0</v>
      </c>
      <c r="L37" s="176"/>
      <c r="M37" s="176"/>
      <c r="N37" s="778"/>
      <c r="O37" s="779"/>
      <c r="P37" s="780">
        <v>-909.4</v>
      </c>
      <c r="Q37" s="779">
        <f t="shared" si="6"/>
        <v>15490.6</v>
      </c>
      <c r="R37" s="780" t="s">
        <v>92</v>
      </c>
    </row>
    <row r="38" ht="14.25" customHeight="1">
      <c r="B38" s="275"/>
      <c r="C38" s="217"/>
      <c r="D38" s="217"/>
      <c r="E38" s="218"/>
      <c r="F38" s="218"/>
      <c r="G38" s="218"/>
      <c r="H38" s="275"/>
      <c r="I38" s="218"/>
      <c r="J38" s="218"/>
      <c r="K38" s="219"/>
      <c r="L38" s="218"/>
      <c r="M38" s="218"/>
      <c r="N38" s="782"/>
      <c r="O38" s="782"/>
      <c r="P38" s="783">
        <v>-3163.61</v>
      </c>
      <c r="Q38" s="779">
        <f t="shared" si="6"/>
        <v>12326.99</v>
      </c>
      <c r="R38" s="783" t="s">
        <v>385</v>
      </c>
      <c r="T38" s="358">
        <v>909.4</v>
      </c>
    </row>
    <row r="39" ht="14.25" customHeight="1">
      <c r="B39" s="275"/>
      <c r="C39" s="217"/>
      <c r="D39" s="217"/>
      <c r="E39" s="218"/>
      <c r="F39" s="218"/>
      <c r="G39" s="218"/>
      <c r="H39" s="275"/>
      <c r="I39" s="218"/>
      <c r="J39" s="218"/>
      <c r="K39" s="219"/>
      <c r="L39" s="218"/>
      <c r="M39" s="218"/>
      <c r="N39" s="782"/>
      <c r="O39" s="782"/>
      <c r="P39" s="783">
        <v>-500.0</v>
      </c>
      <c r="Q39" s="779">
        <f t="shared" si="6"/>
        <v>11826.99</v>
      </c>
      <c r="R39" s="783" t="s">
        <v>76</v>
      </c>
      <c r="T39" s="358"/>
    </row>
    <row r="40" ht="14.25" customHeight="1">
      <c r="B40" s="275"/>
      <c r="C40" s="217"/>
      <c r="D40" s="217"/>
      <c r="E40" s="218"/>
      <c r="F40" s="218"/>
      <c r="G40" s="218"/>
      <c r="H40" s="275"/>
      <c r="I40" s="218"/>
      <c r="J40" s="218"/>
      <c r="K40" s="219"/>
      <c r="L40" s="218"/>
      <c r="M40" s="218"/>
      <c r="N40" s="782"/>
      <c r="O40" s="782"/>
      <c r="P40" s="783">
        <v>-150.0</v>
      </c>
      <c r="Q40" s="779">
        <f t="shared" si="6"/>
        <v>11676.99</v>
      </c>
      <c r="R40" s="783" t="s">
        <v>388</v>
      </c>
      <c r="T40" s="358"/>
    </row>
    <row r="41" ht="14.25" customHeight="1">
      <c r="B41" s="275"/>
      <c r="C41" s="217"/>
      <c r="D41" s="217"/>
      <c r="E41" s="218"/>
      <c r="F41" s="218"/>
      <c r="G41" s="218"/>
      <c r="H41" s="275"/>
      <c r="I41" s="218"/>
      <c r="J41" s="218"/>
      <c r="K41" s="219"/>
      <c r="L41" s="218"/>
      <c r="M41" s="218"/>
      <c r="N41" s="782"/>
      <c r="O41" s="782"/>
      <c r="P41" s="783">
        <v>-11676.99</v>
      </c>
      <c r="Q41" s="779">
        <f t="shared" si="6"/>
        <v>0</v>
      </c>
      <c r="R41" s="783"/>
      <c r="T41" s="358"/>
    </row>
    <row r="42" ht="14.25" customHeight="1">
      <c r="B42" s="764" t="s">
        <v>91</v>
      </c>
      <c r="C42" s="765" t="s">
        <v>66</v>
      </c>
      <c r="D42" s="765">
        <f t="shared" ref="D42:E42" si="8">sum(D21:D37)</f>
        <v>21</v>
      </c>
      <c r="E42" s="766">
        <f t="shared" si="8"/>
        <v>38183.6</v>
      </c>
      <c r="F42" s="766"/>
      <c r="G42" s="766">
        <f>sum(G21:G37)</f>
        <v>0</v>
      </c>
      <c r="H42" s="765"/>
      <c r="I42" s="766">
        <f t="shared" ref="I42:O42" si="9">sum(I21:I37)</f>
        <v>12700</v>
      </c>
      <c r="J42" s="766">
        <f t="shared" si="9"/>
        <v>0</v>
      </c>
      <c r="K42" s="766">
        <f t="shared" si="9"/>
        <v>0</v>
      </c>
      <c r="L42" s="766">
        <f t="shared" si="9"/>
        <v>3084.6</v>
      </c>
      <c r="M42" s="766">
        <f t="shared" si="9"/>
        <v>0</v>
      </c>
      <c r="N42" s="766">
        <f t="shared" si="9"/>
        <v>22749</v>
      </c>
      <c r="O42" s="766">
        <f t="shared" si="9"/>
        <v>-5500</v>
      </c>
      <c r="P42" s="766">
        <f>sum(P21:P38)</f>
        <v>-4922.01</v>
      </c>
      <c r="Q42" s="767">
        <f>Q41</f>
        <v>0</v>
      </c>
      <c r="R42" s="768"/>
      <c r="T42" s="358">
        <v>3163.61</v>
      </c>
    </row>
    <row r="43" ht="14.25" customHeight="1">
      <c r="B43" s="354" t="s">
        <v>112</v>
      </c>
      <c r="C43" s="576">
        <v>45693.0</v>
      </c>
      <c r="D43" s="299"/>
      <c r="E43" s="294"/>
      <c r="F43" s="88"/>
      <c r="G43" s="88"/>
      <c r="H43" s="81"/>
      <c r="I43" s="88"/>
      <c r="J43" s="294"/>
      <c r="K43" s="90">
        <f t="shared" ref="K43:K47" si="10">E43-I43-L43-M43-N43-J43+F43</f>
        <v>0</v>
      </c>
      <c r="L43" s="88"/>
      <c r="M43" s="88"/>
      <c r="N43" s="295"/>
      <c r="O43" s="294"/>
      <c r="P43" s="88"/>
      <c r="Q43" s="194">
        <f t="shared" ref="Q43:Q64" si="11">Q42+N43+O43+P43</f>
        <v>0</v>
      </c>
      <c r="R43" s="88"/>
    </row>
    <row r="44" ht="14.25" customHeight="1">
      <c r="B44" s="248" t="s">
        <v>112</v>
      </c>
      <c r="C44" s="573">
        <v>45784.0</v>
      </c>
      <c r="D44" s="241">
        <v>2.0</v>
      </c>
      <c r="E44" s="237">
        <f>2300+1500</f>
        <v>3800</v>
      </c>
      <c r="F44" s="67"/>
      <c r="G44" s="67"/>
      <c r="H44" s="68"/>
      <c r="I44" s="237">
        <v>1000.0</v>
      </c>
      <c r="J44" s="67"/>
      <c r="K44" s="69">
        <f t="shared" si="10"/>
        <v>0</v>
      </c>
      <c r="L44" s="67"/>
      <c r="M44" s="237">
        <v>1500.0</v>
      </c>
      <c r="N44" s="749">
        <v>1300.0</v>
      </c>
      <c r="O44" s="750">
        <v>-500.0</v>
      </c>
      <c r="P44" s="747"/>
      <c r="Q44" s="747">
        <f t="shared" si="11"/>
        <v>800</v>
      </c>
      <c r="R44" s="747"/>
    </row>
    <row r="45" ht="14.25" customHeight="1">
      <c r="B45" s="81"/>
      <c r="C45" s="576">
        <v>45849.0</v>
      </c>
      <c r="D45" s="299"/>
      <c r="E45" s="294"/>
      <c r="F45" s="88"/>
      <c r="G45" s="88"/>
      <c r="H45" s="81"/>
      <c r="I45" s="294"/>
      <c r="J45" s="88"/>
      <c r="K45" s="90">
        <f t="shared" si="10"/>
        <v>0</v>
      </c>
      <c r="L45" s="88"/>
      <c r="M45" s="88"/>
      <c r="N45" s="295"/>
      <c r="O45" s="294"/>
      <c r="P45" s="88"/>
      <c r="Q45" s="88">
        <f t="shared" si="11"/>
        <v>800</v>
      </c>
      <c r="R45" s="88"/>
    </row>
    <row r="46" ht="14.25" customHeight="1">
      <c r="B46" s="68"/>
      <c r="C46" s="573">
        <v>45973.0</v>
      </c>
      <c r="D46" s="241">
        <v>1.0</v>
      </c>
      <c r="E46" s="237">
        <v>1500.0</v>
      </c>
      <c r="F46" s="67"/>
      <c r="G46" s="237"/>
      <c r="H46" s="68"/>
      <c r="I46" s="237">
        <v>500.0</v>
      </c>
      <c r="J46" s="67"/>
      <c r="K46" s="69">
        <f t="shared" si="10"/>
        <v>0</v>
      </c>
      <c r="L46" s="67"/>
      <c r="M46" s="237"/>
      <c r="N46" s="749">
        <v>1000.0</v>
      </c>
      <c r="O46" s="750">
        <v>-500.0</v>
      </c>
      <c r="P46" s="747"/>
      <c r="Q46" s="747">
        <f t="shared" si="11"/>
        <v>1300</v>
      </c>
      <c r="R46" s="747"/>
    </row>
    <row r="47" ht="14.25" customHeight="1">
      <c r="B47" s="68"/>
      <c r="C47" s="573">
        <v>46004.0</v>
      </c>
      <c r="D47" s="241">
        <v>1.0</v>
      </c>
      <c r="E47" s="647">
        <v>2300.0</v>
      </c>
      <c r="F47" s="67"/>
      <c r="G47" s="67"/>
      <c r="H47" s="68"/>
      <c r="I47" s="237">
        <v>1000.0</v>
      </c>
      <c r="J47" s="67"/>
      <c r="K47" s="69">
        <f t="shared" si="10"/>
        <v>0</v>
      </c>
      <c r="L47" s="67"/>
      <c r="M47" s="237"/>
      <c r="N47" s="749">
        <v>1300.0</v>
      </c>
      <c r="O47" s="750">
        <v>-500.0</v>
      </c>
      <c r="P47" s="747"/>
      <c r="Q47" s="747">
        <f t="shared" si="11"/>
        <v>2100</v>
      </c>
      <c r="R47" s="747"/>
    </row>
    <row r="48" ht="14.25" customHeight="1">
      <c r="B48" s="81"/>
      <c r="C48" s="299" t="s">
        <v>46</v>
      </c>
      <c r="D48" s="87"/>
      <c r="E48" s="88"/>
      <c r="F48" s="88"/>
      <c r="G48" s="88"/>
      <c r="H48" s="81"/>
      <c r="I48" s="88"/>
      <c r="J48" s="88"/>
      <c r="K48" s="90"/>
      <c r="L48" s="88"/>
      <c r="M48" s="88"/>
      <c r="N48" s="91"/>
      <c r="O48" s="88"/>
      <c r="P48" s="88"/>
      <c r="Q48" s="88">
        <f t="shared" si="11"/>
        <v>2100</v>
      </c>
      <c r="R48" s="88"/>
    </row>
    <row r="49" ht="14.25" customHeight="1">
      <c r="B49" s="68"/>
      <c r="C49" s="241" t="s">
        <v>29</v>
      </c>
      <c r="D49" s="241">
        <v>1.0</v>
      </c>
      <c r="E49" s="237">
        <v>1900.0</v>
      </c>
      <c r="F49" s="67"/>
      <c r="G49" s="67"/>
      <c r="H49" s="68"/>
      <c r="I49" s="237">
        <v>900.0</v>
      </c>
      <c r="J49" s="67"/>
      <c r="K49" s="69">
        <f t="shared" ref="K49:K64" si="12">E49-I49-L49-M49-N49-J49+F49</f>
        <v>0</v>
      </c>
      <c r="L49" s="237"/>
      <c r="M49" s="67"/>
      <c r="N49" s="749">
        <v>1000.0</v>
      </c>
      <c r="O49" s="750">
        <v>-500.0</v>
      </c>
      <c r="P49" s="747"/>
      <c r="Q49" s="747">
        <f t="shared" si="11"/>
        <v>2600</v>
      </c>
      <c r="R49" s="747"/>
    </row>
    <row r="50" ht="14.25" customHeight="1">
      <c r="B50" s="81"/>
      <c r="C50" s="299" t="s">
        <v>30</v>
      </c>
      <c r="D50" s="299"/>
      <c r="E50" s="294"/>
      <c r="F50" s="88"/>
      <c r="G50" s="88"/>
      <c r="H50" s="81"/>
      <c r="I50" s="294"/>
      <c r="J50" s="88"/>
      <c r="K50" s="90">
        <f t="shared" si="12"/>
        <v>0</v>
      </c>
      <c r="L50" s="88"/>
      <c r="M50" s="88"/>
      <c r="N50" s="295"/>
      <c r="O50" s="294"/>
      <c r="P50" s="88"/>
      <c r="Q50" s="88">
        <f t="shared" si="11"/>
        <v>2600</v>
      </c>
      <c r="R50" s="88"/>
    </row>
    <row r="51" ht="14.25" customHeight="1">
      <c r="B51" s="68"/>
      <c r="C51" s="241" t="s">
        <v>31</v>
      </c>
      <c r="D51" s="241">
        <v>1.0</v>
      </c>
      <c r="E51" s="237">
        <v>1700.0</v>
      </c>
      <c r="F51" s="237"/>
      <c r="G51" s="67"/>
      <c r="H51" s="68"/>
      <c r="I51" s="237">
        <v>900.0</v>
      </c>
      <c r="J51" s="67"/>
      <c r="K51" s="69">
        <f t="shared" si="12"/>
        <v>0</v>
      </c>
      <c r="L51" s="67"/>
      <c r="M51" s="67"/>
      <c r="N51" s="749">
        <v>800.0</v>
      </c>
      <c r="O51" s="750">
        <v>-500.0</v>
      </c>
      <c r="P51" s="747"/>
      <c r="Q51" s="747">
        <f t="shared" si="11"/>
        <v>2900</v>
      </c>
      <c r="R51" s="747"/>
    </row>
    <row r="52" ht="14.25" customHeight="1">
      <c r="B52" s="787"/>
      <c r="C52" s="644" t="s">
        <v>32</v>
      </c>
      <c r="D52" s="644">
        <v>1.0</v>
      </c>
      <c r="E52" s="788">
        <v>2500.0</v>
      </c>
      <c r="F52" s="789"/>
      <c r="G52" s="789"/>
      <c r="H52" s="787"/>
      <c r="I52" s="788">
        <v>1000.0</v>
      </c>
      <c r="J52" s="789"/>
      <c r="K52" s="790">
        <f t="shared" si="12"/>
        <v>0</v>
      </c>
      <c r="L52" s="789"/>
      <c r="M52" s="789"/>
      <c r="N52" s="749">
        <v>1500.0</v>
      </c>
      <c r="O52" s="750">
        <v>-500.0</v>
      </c>
      <c r="P52" s="747"/>
      <c r="Q52" s="747">
        <f t="shared" si="11"/>
        <v>3900</v>
      </c>
      <c r="R52" s="747"/>
    </row>
    <row r="53" ht="14.25" customHeight="1">
      <c r="B53" s="68"/>
      <c r="C53" s="241" t="s">
        <v>120</v>
      </c>
      <c r="D53" s="241">
        <v>2.0</v>
      </c>
      <c r="E53" s="237">
        <v>4700.0</v>
      </c>
      <c r="F53" s="237"/>
      <c r="G53" s="67"/>
      <c r="H53" s="248"/>
      <c r="I53" s="237">
        <v>1500.0</v>
      </c>
      <c r="J53" s="67"/>
      <c r="K53" s="69">
        <f t="shared" si="12"/>
        <v>0</v>
      </c>
      <c r="L53" s="67"/>
      <c r="M53" s="67"/>
      <c r="N53" s="749">
        <v>3200.0</v>
      </c>
      <c r="O53" s="750">
        <v>-500.0</v>
      </c>
      <c r="P53" s="747"/>
      <c r="Q53" s="747">
        <f t="shared" si="11"/>
        <v>6600</v>
      </c>
      <c r="R53" s="747"/>
    </row>
    <row r="54" ht="14.25" customHeight="1">
      <c r="B54" s="81"/>
      <c r="C54" s="299" t="s">
        <v>35</v>
      </c>
      <c r="D54" s="299"/>
      <c r="E54" s="294"/>
      <c r="F54" s="88"/>
      <c r="G54" s="88"/>
      <c r="H54" s="81"/>
      <c r="I54" s="294"/>
      <c r="J54" s="88"/>
      <c r="K54" s="90">
        <f t="shared" si="12"/>
        <v>0</v>
      </c>
      <c r="L54" s="88"/>
      <c r="M54" s="88"/>
      <c r="N54" s="295"/>
      <c r="O54" s="294"/>
      <c r="P54" s="294"/>
      <c r="Q54" s="88">
        <f t="shared" si="11"/>
        <v>6600</v>
      </c>
      <c r="R54" s="294"/>
    </row>
    <row r="55" ht="14.25" customHeight="1">
      <c r="B55" s="68"/>
      <c r="C55" s="241" t="s">
        <v>37</v>
      </c>
      <c r="D55" s="241">
        <v>1.0</v>
      </c>
      <c r="E55" s="237">
        <v>1600.0</v>
      </c>
      <c r="F55" s="67"/>
      <c r="G55" s="67"/>
      <c r="H55" s="68"/>
      <c r="I55" s="237">
        <v>600.0</v>
      </c>
      <c r="J55" s="67"/>
      <c r="K55" s="69">
        <f t="shared" si="12"/>
        <v>0</v>
      </c>
      <c r="L55" s="67"/>
      <c r="M55" s="67"/>
      <c r="N55" s="749">
        <v>1000.0</v>
      </c>
      <c r="O55" s="750">
        <v>-500.0</v>
      </c>
      <c r="P55" s="750"/>
      <c r="Q55" s="747">
        <f t="shared" si="11"/>
        <v>7100</v>
      </c>
      <c r="R55" s="750"/>
    </row>
    <row r="56" ht="14.25" customHeight="1">
      <c r="B56" s="81"/>
      <c r="C56" s="299" t="s">
        <v>41</v>
      </c>
      <c r="D56" s="87"/>
      <c r="E56" s="88"/>
      <c r="F56" s="88"/>
      <c r="G56" s="88"/>
      <c r="H56" s="81"/>
      <c r="I56" s="88"/>
      <c r="J56" s="88"/>
      <c r="K56" s="90">
        <f t="shared" si="12"/>
        <v>0</v>
      </c>
      <c r="L56" s="88"/>
      <c r="M56" s="88"/>
      <c r="N56" s="91"/>
      <c r="O56" s="88"/>
      <c r="P56" s="294"/>
      <c r="Q56" s="88">
        <f t="shared" si="11"/>
        <v>7100</v>
      </c>
      <c r="R56" s="294"/>
    </row>
    <row r="57" ht="14.25" customHeight="1">
      <c r="B57" s="210"/>
      <c r="C57" s="284" t="s">
        <v>44</v>
      </c>
      <c r="D57" s="284">
        <v>1.0</v>
      </c>
      <c r="E57" s="282">
        <v>2100.0</v>
      </c>
      <c r="F57" s="282">
        <v>450.0</v>
      </c>
      <c r="G57" s="176"/>
      <c r="H57" s="210"/>
      <c r="I57" s="282">
        <v>1000.0</v>
      </c>
      <c r="J57" s="176"/>
      <c r="K57" s="69">
        <f t="shared" si="12"/>
        <v>0</v>
      </c>
      <c r="L57" s="176"/>
      <c r="M57" s="176"/>
      <c r="N57" s="792">
        <v>1550.0</v>
      </c>
      <c r="O57" s="780">
        <v>-500.0</v>
      </c>
      <c r="P57" s="780"/>
      <c r="Q57" s="747">
        <f t="shared" si="11"/>
        <v>8150</v>
      </c>
      <c r="R57" s="780"/>
    </row>
    <row r="58" ht="14.25" customHeight="1">
      <c r="B58" s="210"/>
      <c r="C58" s="284" t="s">
        <v>45</v>
      </c>
      <c r="D58" s="284">
        <v>1.0</v>
      </c>
      <c r="E58" s="282">
        <v>1000.0</v>
      </c>
      <c r="F58" s="176"/>
      <c r="G58" s="176"/>
      <c r="H58" s="793" t="s">
        <v>81</v>
      </c>
      <c r="I58" s="282">
        <v>1000.0</v>
      </c>
      <c r="J58" s="176"/>
      <c r="K58" s="69">
        <f t="shared" si="12"/>
        <v>0</v>
      </c>
      <c r="L58" s="176"/>
      <c r="M58" s="176"/>
      <c r="N58" s="778"/>
      <c r="O58" s="780"/>
      <c r="P58" s="780"/>
      <c r="Q58" s="747">
        <f t="shared" si="11"/>
        <v>8150</v>
      </c>
      <c r="R58" s="780" t="s">
        <v>81</v>
      </c>
    </row>
    <row r="59" ht="14.25" customHeight="1">
      <c r="B59" s="210"/>
      <c r="C59" s="284" t="s">
        <v>86</v>
      </c>
      <c r="D59" s="284">
        <v>2.0</v>
      </c>
      <c r="E59" s="282">
        <v>4100.0</v>
      </c>
      <c r="F59" s="176"/>
      <c r="G59" s="176"/>
      <c r="H59" s="210"/>
      <c r="I59" s="282">
        <v>1500.0</v>
      </c>
      <c r="J59" s="176"/>
      <c r="K59" s="69">
        <f t="shared" si="12"/>
        <v>0</v>
      </c>
      <c r="L59" s="176"/>
      <c r="M59" s="176"/>
      <c r="N59" s="792">
        <v>2600.0</v>
      </c>
      <c r="O59" s="780">
        <v>-500.0</v>
      </c>
      <c r="P59" s="780"/>
      <c r="Q59" s="747">
        <f t="shared" si="11"/>
        <v>10250</v>
      </c>
      <c r="R59" s="780"/>
    </row>
    <row r="60" ht="14.25" customHeight="1">
      <c r="B60" s="210"/>
      <c r="C60" s="284" t="s">
        <v>88</v>
      </c>
      <c r="D60" s="284">
        <v>2.0</v>
      </c>
      <c r="E60" s="282">
        <v>3200.0</v>
      </c>
      <c r="F60" s="282">
        <v>450.0</v>
      </c>
      <c r="G60" s="176"/>
      <c r="H60" s="210"/>
      <c r="I60" s="282">
        <v>1500.0</v>
      </c>
      <c r="J60" s="176"/>
      <c r="K60" s="69">
        <f t="shared" si="12"/>
        <v>0</v>
      </c>
      <c r="L60" s="176"/>
      <c r="M60" s="282">
        <v>2150.0</v>
      </c>
      <c r="N60" s="778"/>
      <c r="O60" s="780">
        <v>-500.0</v>
      </c>
      <c r="P60" s="780"/>
      <c r="Q60" s="747">
        <f t="shared" si="11"/>
        <v>9750</v>
      </c>
      <c r="R60" s="780"/>
    </row>
    <row r="61" ht="14.25" customHeight="1">
      <c r="B61" s="210"/>
      <c r="C61" s="284" t="s">
        <v>75</v>
      </c>
      <c r="D61" s="284">
        <v>1.0</v>
      </c>
      <c r="E61" s="282">
        <v>1900.0</v>
      </c>
      <c r="F61" s="176"/>
      <c r="G61" s="176"/>
      <c r="H61" s="210"/>
      <c r="I61" s="282">
        <v>1000.0</v>
      </c>
      <c r="J61" s="176"/>
      <c r="K61" s="69">
        <f t="shared" si="12"/>
        <v>0</v>
      </c>
      <c r="L61" s="176"/>
      <c r="M61" s="176"/>
      <c r="N61" s="792">
        <v>900.0</v>
      </c>
      <c r="O61" s="780">
        <v>-500.0</v>
      </c>
      <c r="P61" s="780"/>
      <c r="Q61" s="747">
        <f t="shared" si="11"/>
        <v>10150</v>
      </c>
      <c r="R61" s="780"/>
    </row>
    <row r="62" ht="14.25" customHeight="1">
      <c r="B62" s="275"/>
      <c r="C62" s="217"/>
      <c r="D62" s="217"/>
      <c r="E62" s="218"/>
      <c r="F62" s="218"/>
      <c r="G62" s="218"/>
      <c r="H62" s="275"/>
      <c r="I62" s="218"/>
      <c r="J62" s="218"/>
      <c r="K62" s="69">
        <f t="shared" si="12"/>
        <v>0</v>
      </c>
      <c r="L62" s="218"/>
      <c r="M62" s="218"/>
      <c r="N62" s="782"/>
      <c r="O62" s="782"/>
      <c r="P62" s="783">
        <v>-1751.42</v>
      </c>
      <c r="Q62" s="747">
        <f t="shared" si="11"/>
        <v>8398.58</v>
      </c>
      <c r="R62" s="780" t="s">
        <v>92</v>
      </c>
      <c r="T62" s="358"/>
    </row>
    <row r="63" ht="14.25" customHeight="1">
      <c r="B63" s="275"/>
      <c r="C63" s="217"/>
      <c r="D63" s="217"/>
      <c r="E63" s="218"/>
      <c r="F63" s="218"/>
      <c r="G63" s="218"/>
      <c r="H63" s="275"/>
      <c r="I63" s="218"/>
      <c r="J63" s="218"/>
      <c r="K63" s="69">
        <f t="shared" si="12"/>
        <v>0</v>
      </c>
      <c r="L63" s="218"/>
      <c r="M63" s="218"/>
      <c r="N63" s="782"/>
      <c r="O63" s="782"/>
      <c r="P63" s="783">
        <v>-2233.53</v>
      </c>
      <c r="Q63" s="747">
        <f t="shared" si="11"/>
        <v>6165.05</v>
      </c>
      <c r="R63" s="783" t="s">
        <v>385</v>
      </c>
      <c r="T63" s="358"/>
    </row>
    <row r="64" ht="14.25" customHeight="1">
      <c r="B64" s="275"/>
      <c r="C64" s="217"/>
      <c r="D64" s="217"/>
      <c r="E64" s="218"/>
      <c r="F64" s="218"/>
      <c r="G64" s="218"/>
      <c r="H64" s="275"/>
      <c r="I64" s="218"/>
      <c r="J64" s="218"/>
      <c r="K64" s="69">
        <f t="shared" si="12"/>
        <v>0</v>
      </c>
      <c r="L64" s="218"/>
      <c r="M64" s="218"/>
      <c r="N64" s="782"/>
      <c r="O64" s="782"/>
      <c r="P64" s="783">
        <v>-6165.05</v>
      </c>
      <c r="Q64" s="747">
        <f t="shared" si="11"/>
        <v>0</v>
      </c>
      <c r="R64" s="783"/>
      <c r="T64" s="358"/>
    </row>
    <row r="65" ht="14.25" customHeight="1">
      <c r="B65" s="764" t="s">
        <v>112</v>
      </c>
      <c r="C65" s="765" t="s">
        <v>66</v>
      </c>
      <c r="D65" s="765">
        <f t="shared" ref="D65:E65" si="13">sum(D43:D61)</f>
        <v>17</v>
      </c>
      <c r="E65" s="766">
        <f t="shared" si="13"/>
        <v>32300</v>
      </c>
      <c r="F65" s="766"/>
      <c r="G65" s="766">
        <f>sum(G43:G61)</f>
        <v>0</v>
      </c>
      <c r="H65" s="765"/>
      <c r="I65" s="766">
        <f t="shared" ref="I65:P65" si="14">sum(I43:I61)</f>
        <v>13400</v>
      </c>
      <c r="J65" s="766">
        <f t="shared" si="14"/>
        <v>0</v>
      </c>
      <c r="K65" s="766">
        <f t="shared" si="14"/>
        <v>0</v>
      </c>
      <c r="L65" s="766">
        <f t="shared" si="14"/>
        <v>0</v>
      </c>
      <c r="M65" s="766">
        <f t="shared" si="14"/>
        <v>3650</v>
      </c>
      <c r="N65" s="766">
        <f t="shared" si="14"/>
        <v>16150</v>
      </c>
      <c r="O65" s="766">
        <f t="shared" si="14"/>
        <v>-6000</v>
      </c>
      <c r="P65" s="766">
        <f t="shared" si="14"/>
        <v>0</v>
      </c>
      <c r="Q65" s="767">
        <f>Q64</f>
        <v>0</v>
      </c>
      <c r="R65" s="768"/>
      <c r="T65" s="358">
        <v>3163.61</v>
      </c>
    </row>
    <row r="66" ht="14.25" customHeight="1">
      <c r="B66" s="235" t="s">
        <v>127</v>
      </c>
      <c r="C66" s="573">
        <v>45660.0</v>
      </c>
      <c r="D66" s="241">
        <v>2.0</v>
      </c>
      <c r="E66" s="237">
        <v>3500.0</v>
      </c>
      <c r="F66" s="67"/>
      <c r="G66" s="67"/>
      <c r="H66" s="68"/>
      <c r="I66" s="237">
        <v>1500.0</v>
      </c>
      <c r="J66" s="67"/>
      <c r="K66" s="69">
        <f t="shared" ref="K66:K69" si="15">E66-I66-L66-M66-N66-J66+F66</f>
        <v>0</v>
      </c>
      <c r="L66" s="67"/>
      <c r="M66" s="237"/>
      <c r="N66" s="749">
        <v>2000.0</v>
      </c>
      <c r="O66" s="750">
        <v>-500.0</v>
      </c>
      <c r="P66" s="747"/>
      <c r="Q66" s="747">
        <f>+N66+O66+P66</f>
        <v>1500</v>
      </c>
      <c r="R66" s="747"/>
    </row>
    <row r="67" ht="14.25" customHeight="1">
      <c r="B67" s="68"/>
      <c r="C67" s="573">
        <v>45721.0</v>
      </c>
      <c r="D67" s="241">
        <v>2.0</v>
      </c>
      <c r="E67" s="237">
        <v>3317.4</v>
      </c>
      <c r="F67" s="67"/>
      <c r="G67" s="237"/>
      <c r="H67" s="68"/>
      <c r="I67" s="237"/>
      <c r="J67" s="237">
        <v>3317.4</v>
      </c>
      <c r="K67" s="69">
        <f t="shared" si="15"/>
        <v>0</v>
      </c>
      <c r="L67" s="67"/>
      <c r="M67" s="237"/>
      <c r="N67" s="749"/>
      <c r="O67" s="750">
        <v>-500.0</v>
      </c>
      <c r="P67" s="747"/>
      <c r="Q67" s="747">
        <f t="shared" ref="Q67:Q84" si="16">Q66+N67+O67+P67</f>
        <v>1000</v>
      </c>
      <c r="R67" s="747"/>
    </row>
    <row r="68" ht="14.25" customHeight="1">
      <c r="B68" s="81"/>
      <c r="C68" s="576">
        <v>45787.0</v>
      </c>
      <c r="D68" s="299"/>
      <c r="E68" s="294"/>
      <c r="F68" s="88"/>
      <c r="G68" s="294"/>
      <c r="H68" s="81"/>
      <c r="I68" s="294"/>
      <c r="J68" s="88"/>
      <c r="K68" s="90">
        <f t="shared" si="15"/>
        <v>0</v>
      </c>
      <c r="L68" s="88"/>
      <c r="M68" s="294"/>
      <c r="N68" s="295"/>
      <c r="O68" s="294"/>
      <c r="P68" s="88"/>
      <c r="Q68" s="88">
        <f t="shared" si="16"/>
        <v>1000</v>
      </c>
      <c r="R68" s="88"/>
    </row>
    <row r="69" ht="14.25" customHeight="1">
      <c r="B69" s="68"/>
      <c r="C69" s="573">
        <v>45942.0</v>
      </c>
      <c r="D69" s="241">
        <v>2.0</v>
      </c>
      <c r="E69" s="647">
        <v>4400.0</v>
      </c>
      <c r="F69" s="67"/>
      <c r="G69" s="67"/>
      <c r="H69" s="68"/>
      <c r="I69" s="237">
        <v>1500.0</v>
      </c>
      <c r="J69" s="67"/>
      <c r="K69" s="69">
        <f t="shared" si="15"/>
        <v>0</v>
      </c>
      <c r="L69" s="67"/>
      <c r="M69" s="237"/>
      <c r="N69" s="749">
        <v>2900.0</v>
      </c>
      <c r="O69" s="750">
        <v>-500.0</v>
      </c>
      <c r="P69" s="747"/>
      <c r="Q69" s="747">
        <f t="shared" si="16"/>
        <v>3400</v>
      </c>
      <c r="R69" s="747"/>
    </row>
    <row r="70" ht="14.25" customHeight="1">
      <c r="B70" s="81"/>
      <c r="C70" s="576">
        <v>46004.0</v>
      </c>
      <c r="D70" s="87"/>
      <c r="E70" s="88"/>
      <c r="F70" s="88"/>
      <c r="G70" s="88"/>
      <c r="H70" s="81"/>
      <c r="I70" s="88"/>
      <c r="J70" s="88"/>
      <c r="K70" s="90"/>
      <c r="L70" s="88"/>
      <c r="M70" s="88"/>
      <c r="N70" s="91"/>
      <c r="O70" s="88"/>
      <c r="P70" s="88"/>
      <c r="Q70" s="88">
        <f t="shared" si="16"/>
        <v>3400</v>
      </c>
      <c r="R70" s="88"/>
    </row>
    <row r="71" ht="14.25" customHeight="1">
      <c r="B71" s="68"/>
      <c r="C71" s="241" t="s">
        <v>117</v>
      </c>
      <c r="D71" s="241">
        <v>2.0</v>
      </c>
      <c r="E71" s="237">
        <v>3300.0</v>
      </c>
      <c r="F71" s="67"/>
      <c r="G71" s="67"/>
      <c r="H71" s="68"/>
      <c r="I71" s="237">
        <v>1500.0</v>
      </c>
      <c r="J71" s="67"/>
      <c r="K71" s="69">
        <f t="shared" ref="K71:K84" si="17">E71-I71-L71-M71-N71-J71+F71</f>
        <v>0</v>
      </c>
      <c r="L71" s="237"/>
      <c r="M71" s="67"/>
      <c r="N71" s="749">
        <v>1800.0</v>
      </c>
      <c r="O71" s="750">
        <v>-500.0</v>
      </c>
      <c r="P71" s="747"/>
      <c r="Q71" s="747">
        <f t="shared" si="16"/>
        <v>4700</v>
      </c>
      <c r="R71" s="747"/>
    </row>
    <row r="72" ht="14.25" customHeight="1">
      <c r="B72" s="81"/>
      <c r="C72" s="299" t="s">
        <v>54</v>
      </c>
      <c r="D72" s="299"/>
      <c r="E72" s="294"/>
      <c r="F72" s="88"/>
      <c r="G72" s="88"/>
      <c r="H72" s="81"/>
      <c r="I72" s="294"/>
      <c r="J72" s="88"/>
      <c r="K72" s="90">
        <f t="shared" si="17"/>
        <v>0</v>
      </c>
      <c r="L72" s="88"/>
      <c r="M72" s="88"/>
      <c r="N72" s="295"/>
      <c r="O72" s="294"/>
      <c r="P72" s="88"/>
      <c r="Q72" s="88">
        <f t="shared" si="16"/>
        <v>4700</v>
      </c>
      <c r="R72" s="88"/>
    </row>
    <row r="73" ht="14.25" customHeight="1">
      <c r="B73" s="68"/>
      <c r="C73" s="241" t="s">
        <v>56</v>
      </c>
      <c r="D73" s="241">
        <v>2.0</v>
      </c>
      <c r="E73" s="237">
        <v>4300.0</v>
      </c>
      <c r="F73" s="237"/>
      <c r="G73" s="67"/>
      <c r="H73" s="68"/>
      <c r="I73" s="237">
        <v>1500.0</v>
      </c>
      <c r="J73" s="67"/>
      <c r="K73" s="69">
        <f t="shared" si="17"/>
        <v>0</v>
      </c>
      <c r="L73" s="67"/>
      <c r="M73" s="67"/>
      <c r="N73" s="749">
        <v>2800.0</v>
      </c>
      <c r="O73" s="750">
        <v>-500.0</v>
      </c>
      <c r="P73" s="747"/>
      <c r="Q73" s="747">
        <f t="shared" si="16"/>
        <v>7000</v>
      </c>
      <c r="R73" s="747"/>
    </row>
    <row r="74" ht="14.25" customHeight="1">
      <c r="B74" s="787"/>
      <c r="C74" s="644" t="s">
        <v>34</v>
      </c>
      <c r="D74" s="644">
        <v>1.0</v>
      </c>
      <c r="E74" s="788">
        <v>1600.0</v>
      </c>
      <c r="F74" s="789"/>
      <c r="G74" s="789"/>
      <c r="H74" s="787"/>
      <c r="I74" s="788"/>
      <c r="J74" s="789"/>
      <c r="K74" s="790">
        <f t="shared" si="17"/>
        <v>0</v>
      </c>
      <c r="L74" s="789"/>
      <c r="M74" s="789"/>
      <c r="N74" s="749">
        <v>1600.0</v>
      </c>
      <c r="O74" s="750">
        <v>-500.0</v>
      </c>
      <c r="P74" s="747"/>
      <c r="Q74" s="747">
        <f t="shared" si="16"/>
        <v>8100</v>
      </c>
      <c r="R74" s="747"/>
    </row>
    <row r="75" ht="14.25" customHeight="1">
      <c r="B75" s="68"/>
      <c r="C75" s="241" t="s">
        <v>69</v>
      </c>
      <c r="D75" s="241">
        <v>1.0</v>
      </c>
      <c r="E75" s="237">
        <v>1600.0</v>
      </c>
      <c r="F75" s="237"/>
      <c r="G75" s="67"/>
      <c r="H75" s="248"/>
      <c r="I75" s="237">
        <v>1000.0</v>
      </c>
      <c r="J75" s="67"/>
      <c r="K75" s="69">
        <f t="shared" si="17"/>
        <v>0</v>
      </c>
      <c r="L75" s="67"/>
      <c r="M75" s="67"/>
      <c r="N75" s="749">
        <v>600.0</v>
      </c>
      <c r="O75" s="750">
        <v>-500.0</v>
      </c>
      <c r="P75" s="747"/>
      <c r="Q75" s="747">
        <f t="shared" si="16"/>
        <v>8200</v>
      </c>
      <c r="R75" s="747"/>
    </row>
    <row r="76" ht="14.25" customHeight="1">
      <c r="B76" s="81"/>
      <c r="C76" s="299" t="s">
        <v>68</v>
      </c>
      <c r="D76" s="299"/>
      <c r="E76" s="294"/>
      <c r="F76" s="88"/>
      <c r="G76" s="88"/>
      <c r="H76" s="81"/>
      <c r="I76" s="294"/>
      <c r="J76" s="88"/>
      <c r="K76" s="90">
        <f t="shared" si="17"/>
        <v>0</v>
      </c>
      <c r="L76" s="88"/>
      <c r="M76" s="88"/>
      <c r="N76" s="295"/>
      <c r="O76" s="294"/>
      <c r="P76" s="294"/>
      <c r="Q76" s="88">
        <f t="shared" si="16"/>
        <v>8200</v>
      </c>
      <c r="R76" s="294"/>
    </row>
    <row r="77" ht="14.25" customHeight="1">
      <c r="B77" s="68"/>
      <c r="C77" s="241" t="s">
        <v>70</v>
      </c>
      <c r="D77" s="241">
        <v>2.0</v>
      </c>
      <c r="E77" s="237">
        <v>3600.0</v>
      </c>
      <c r="F77" s="67"/>
      <c r="G77" s="67"/>
      <c r="H77" s="68"/>
      <c r="I77" s="237">
        <v>1500.0</v>
      </c>
      <c r="J77" s="67"/>
      <c r="K77" s="69">
        <f t="shared" si="17"/>
        <v>0</v>
      </c>
      <c r="L77" s="67"/>
      <c r="M77" s="67"/>
      <c r="N77" s="749">
        <v>2100.0</v>
      </c>
      <c r="O77" s="750">
        <v>-500.0</v>
      </c>
      <c r="P77" s="750"/>
      <c r="Q77" s="747">
        <f t="shared" si="16"/>
        <v>9800</v>
      </c>
      <c r="R77" s="750"/>
    </row>
    <row r="78" ht="14.25" customHeight="1">
      <c r="B78" s="210"/>
      <c r="C78" s="284" t="s">
        <v>44</v>
      </c>
      <c r="D78" s="284">
        <v>1.0</v>
      </c>
      <c r="E78" s="282">
        <f>3000-450</f>
        <v>2550</v>
      </c>
      <c r="F78" s="282">
        <v>450.0</v>
      </c>
      <c r="G78" s="176"/>
      <c r="H78" s="210"/>
      <c r="I78" s="282">
        <v>1250.0</v>
      </c>
      <c r="J78" s="176"/>
      <c r="K78" s="69">
        <f t="shared" si="17"/>
        <v>0</v>
      </c>
      <c r="L78" s="176"/>
      <c r="M78" s="176"/>
      <c r="N78" s="792">
        <v>1750.0</v>
      </c>
      <c r="O78" s="780">
        <v>-500.0</v>
      </c>
      <c r="P78" s="780"/>
      <c r="Q78" s="747">
        <f t="shared" si="16"/>
        <v>11050</v>
      </c>
      <c r="R78" s="780"/>
    </row>
    <row r="79" ht="14.25" customHeight="1">
      <c r="B79" s="802"/>
      <c r="C79" s="308" t="s">
        <v>201</v>
      </c>
      <c r="D79" s="308"/>
      <c r="E79" s="309"/>
      <c r="F79" s="309"/>
      <c r="G79" s="194"/>
      <c r="H79" s="802"/>
      <c r="I79" s="309"/>
      <c r="J79" s="194"/>
      <c r="K79" s="90">
        <f t="shared" si="17"/>
        <v>0</v>
      </c>
      <c r="L79" s="194"/>
      <c r="M79" s="194"/>
      <c r="N79" s="804"/>
      <c r="O79" s="309"/>
      <c r="P79" s="309"/>
      <c r="Q79" s="88">
        <f t="shared" si="16"/>
        <v>11050</v>
      </c>
      <c r="R79" s="309"/>
    </row>
    <row r="80" ht="14.25" customHeight="1">
      <c r="B80" s="210"/>
      <c r="C80" s="284" t="s">
        <v>88</v>
      </c>
      <c r="D80" s="284">
        <v>2.0</v>
      </c>
      <c r="E80" s="282">
        <v>3400.0</v>
      </c>
      <c r="F80" s="176"/>
      <c r="G80" s="176"/>
      <c r="H80" s="793"/>
      <c r="I80" s="282">
        <v>1500.0</v>
      </c>
      <c r="J80" s="176"/>
      <c r="K80" s="69">
        <f t="shared" si="17"/>
        <v>0</v>
      </c>
      <c r="L80" s="176"/>
      <c r="M80" s="176"/>
      <c r="N80" s="792">
        <v>1900.0</v>
      </c>
      <c r="O80" s="780">
        <v>-500.0</v>
      </c>
      <c r="P80" s="780"/>
      <c r="Q80" s="747">
        <f t="shared" si="16"/>
        <v>12450</v>
      </c>
      <c r="R80" s="780"/>
    </row>
    <row r="81" ht="14.25" customHeight="1">
      <c r="B81" s="210"/>
      <c r="C81" s="284" t="s">
        <v>130</v>
      </c>
      <c r="D81" s="284">
        <v>2.0</v>
      </c>
      <c r="E81" s="282">
        <v>6000.0</v>
      </c>
      <c r="F81" s="176"/>
      <c r="G81" s="176"/>
      <c r="H81" s="210"/>
      <c r="I81" s="282">
        <v>1500.0</v>
      </c>
      <c r="J81" s="176"/>
      <c r="K81" s="69">
        <f t="shared" si="17"/>
        <v>0</v>
      </c>
      <c r="L81" s="176"/>
      <c r="M81" s="282">
        <v>1700.0</v>
      </c>
      <c r="N81" s="792">
        <f>2800</f>
        <v>2800</v>
      </c>
      <c r="O81" s="780">
        <v>-500.0</v>
      </c>
      <c r="P81" s="780"/>
      <c r="Q81" s="747">
        <f t="shared" si="16"/>
        <v>14750</v>
      </c>
      <c r="R81" s="780"/>
    </row>
    <row r="82" ht="14.25" customHeight="1">
      <c r="B82" s="275"/>
      <c r="C82" s="217"/>
      <c r="D82" s="217"/>
      <c r="E82" s="218"/>
      <c r="F82" s="218"/>
      <c r="G82" s="218"/>
      <c r="H82" s="275"/>
      <c r="I82" s="218"/>
      <c r="J82" s="218"/>
      <c r="K82" s="69">
        <f t="shared" si="17"/>
        <v>0</v>
      </c>
      <c r="L82" s="218"/>
      <c r="M82" s="218"/>
      <c r="N82" s="782"/>
      <c r="O82" s="782"/>
      <c r="P82" s="783">
        <v>-634.16</v>
      </c>
      <c r="Q82" s="747">
        <f t="shared" si="16"/>
        <v>14115.84</v>
      </c>
      <c r="R82" s="780" t="s">
        <v>92</v>
      </c>
      <c r="T82" s="358"/>
    </row>
    <row r="83" ht="14.25" customHeight="1">
      <c r="B83" s="275"/>
      <c r="C83" s="217"/>
      <c r="D83" s="217"/>
      <c r="E83" s="218"/>
      <c r="F83" s="218"/>
      <c r="G83" s="218"/>
      <c r="H83" s="275"/>
      <c r="I83" s="218"/>
      <c r="J83" s="218"/>
      <c r="K83" s="69">
        <f t="shared" si="17"/>
        <v>0</v>
      </c>
      <c r="L83" s="218"/>
      <c r="M83" s="218"/>
      <c r="N83" s="782"/>
      <c r="O83" s="782"/>
      <c r="P83" s="783">
        <v>-3379.22</v>
      </c>
      <c r="Q83" s="747">
        <f t="shared" si="16"/>
        <v>10736.62</v>
      </c>
      <c r="R83" s="783" t="s">
        <v>385</v>
      </c>
      <c r="T83" s="358"/>
    </row>
    <row r="84" ht="14.25" customHeight="1">
      <c r="B84" s="275"/>
      <c r="C84" s="217"/>
      <c r="D84" s="217"/>
      <c r="E84" s="218"/>
      <c r="F84" s="218"/>
      <c r="G84" s="218"/>
      <c r="H84" s="275"/>
      <c r="I84" s="218"/>
      <c r="J84" s="218"/>
      <c r="K84" s="69">
        <f t="shared" si="17"/>
        <v>0</v>
      </c>
      <c r="L84" s="218"/>
      <c r="M84" s="218"/>
      <c r="N84" s="782"/>
      <c r="O84" s="782"/>
      <c r="P84" s="783">
        <v>-10736.62</v>
      </c>
      <c r="Q84" s="747">
        <f t="shared" si="16"/>
        <v>0</v>
      </c>
      <c r="R84" s="783"/>
      <c r="T84" s="358"/>
    </row>
    <row r="85" ht="14.25" customHeight="1">
      <c r="B85" s="764" t="s">
        <v>141</v>
      </c>
      <c r="C85" s="765" t="s">
        <v>66</v>
      </c>
      <c r="D85" s="765">
        <f t="shared" ref="D85:E85" si="18">sum(D66:D81)</f>
        <v>19</v>
      </c>
      <c r="E85" s="766">
        <f t="shared" si="18"/>
        <v>37567.4</v>
      </c>
      <c r="F85" s="766"/>
      <c r="G85" s="766">
        <f>sum(G66:G81)</f>
        <v>0</v>
      </c>
      <c r="H85" s="765"/>
      <c r="I85" s="766">
        <f t="shared" ref="I85:P85" si="19">sum(I66:I81)</f>
        <v>12750</v>
      </c>
      <c r="J85" s="766">
        <f t="shared" si="19"/>
        <v>3317.4</v>
      </c>
      <c r="K85" s="766">
        <f t="shared" si="19"/>
        <v>0</v>
      </c>
      <c r="L85" s="766">
        <f t="shared" si="19"/>
        <v>0</v>
      </c>
      <c r="M85" s="766">
        <f t="shared" si="19"/>
        <v>1700</v>
      </c>
      <c r="N85" s="766">
        <f t="shared" si="19"/>
        <v>20250</v>
      </c>
      <c r="O85" s="766">
        <f t="shared" si="19"/>
        <v>-5500</v>
      </c>
      <c r="P85" s="766">
        <f t="shared" si="19"/>
        <v>0</v>
      </c>
      <c r="Q85" s="767">
        <f t="shared" ref="Q85:Q86" si="20">Q84</f>
        <v>0</v>
      </c>
      <c r="R85" s="768"/>
      <c r="T85" s="358">
        <v>3163.61</v>
      </c>
    </row>
    <row r="86" ht="14.25" customHeight="1">
      <c r="B86" s="183" t="s">
        <v>154</v>
      </c>
      <c r="C86" s="576">
        <v>45694.0</v>
      </c>
      <c r="D86" s="299"/>
      <c r="E86" s="294"/>
      <c r="F86" s="88"/>
      <c r="G86" s="88"/>
      <c r="H86" s="81"/>
      <c r="I86" s="294"/>
      <c r="J86" s="88"/>
      <c r="K86" s="90">
        <f t="shared" ref="K86:K107" si="21">E86-I86-L86-M86-N86-J86+F86</f>
        <v>0</v>
      </c>
      <c r="L86" s="88"/>
      <c r="M86" s="88"/>
      <c r="N86" s="295"/>
      <c r="O86" s="294"/>
      <c r="P86" s="294"/>
      <c r="Q86" s="88">
        <f t="shared" si="20"/>
        <v>0</v>
      </c>
      <c r="R86" s="294"/>
    </row>
    <row r="87" ht="14.25" customHeight="1">
      <c r="B87" s="68"/>
      <c r="C87" s="573">
        <v>45815.0</v>
      </c>
      <c r="D87" s="241">
        <v>1.0</v>
      </c>
      <c r="E87" s="237">
        <v>2200.0</v>
      </c>
      <c r="F87" s="67"/>
      <c r="G87" s="67"/>
      <c r="H87" s="68"/>
      <c r="I87" s="237">
        <v>1000.0</v>
      </c>
      <c r="J87" s="67"/>
      <c r="K87" s="69">
        <f t="shared" si="21"/>
        <v>0</v>
      </c>
      <c r="L87" s="67"/>
      <c r="M87" s="67"/>
      <c r="N87" s="749">
        <v>1200.0</v>
      </c>
      <c r="O87" s="750">
        <v>-500.0</v>
      </c>
      <c r="P87" s="750"/>
      <c r="Q87" s="747">
        <f t="shared" ref="Q87:Q107" si="22">Q86+N87+O87+P87</f>
        <v>700</v>
      </c>
      <c r="R87" s="750"/>
    </row>
    <row r="88" ht="14.25" customHeight="1">
      <c r="B88" s="210"/>
      <c r="C88" s="301">
        <v>45846.0</v>
      </c>
      <c r="D88" s="284">
        <v>1.0</v>
      </c>
      <c r="E88" s="282">
        <v>2300.0</v>
      </c>
      <c r="F88" s="282"/>
      <c r="G88" s="176"/>
      <c r="H88" s="210"/>
      <c r="I88" s="282">
        <v>1000.0</v>
      </c>
      <c r="J88" s="176"/>
      <c r="K88" s="69">
        <f t="shared" si="21"/>
        <v>0</v>
      </c>
      <c r="L88" s="176"/>
      <c r="M88" s="176"/>
      <c r="N88" s="792">
        <v>1300.0</v>
      </c>
      <c r="O88" s="780">
        <v>-500.0</v>
      </c>
      <c r="P88" s="780"/>
      <c r="Q88" s="747">
        <f t="shared" si="22"/>
        <v>1500</v>
      </c>
      <c r="R88" s="780"/>
    </row>
    <row r="89" ht="14.25" customHeight="1">
      <c r="B89" s="802"/>
      <c r="C89" s="304">
        <v>45881.0</v>
      </c>
      <c r="D89" s="308"/>
      <c r="E89" s="309"/>
      <c r="F89" s="309"/>
      <c r="G89" s="194"/>
      <c r="H89" s="802"/>
      <c r="I89" s="309"/>
      <c r="J89" s="194"/>
      <c r="K89" s="90">
        <f t="shared" si="21"/>
        <v>0</v>
      </c>
      <c r="L89" s="194"/>
      <c r="M89" s="194"/>
      <c r="N89" s="804"/>
      <c r="O89" s="309"/>
      <c r="P89" s="309"/>
      <c r="Q89" s="88">
        <f t="shared" si="22"/>
        <v>1500</v>
      </c>
      <c r="R89" s="309"/>
    </row>
    <row r="90" ht="14.25" customHeight="1">
      <c r="B90" s="210"/>
      <c r="C90" s="301">
        <v>46004.0</v>
      </c>
      <c r="D90" s="284">
        <v>1.0</v>
      </c>
      <c r="E90" s="282">
        <v>2100.0</v>
      </c>
      <c r="F90" s="176"/>
      <c r="G90" s="176"/>
      <c r="H90" s="793"/>
      <c r="I90" s="282">
        <v>1000.0</v>
      </c>
      <c r="J90" s="176"/>
      <c r="K90" s="212">
        <f t="shared" si="21"/>
        <v>0</v>
      </c>
      <c r="L90" s="176"/>
      <c r="M90" s="176"/>
      <c r="N90" s="792">
        <v>1100.0</v>
      </c>
      <c r="O90" s="780">
        <v>-500.0</v>
      </c>
      <c r="P90" s="780"/>
      <c r="Q90" s="779">
        <f t="shared" si="22"/>
        <v>2100</v>
      </c>
      <c r="R90" s="780"/>
    </row>
    <row r="91" ht="14.25" customHeight="1">
      <c r="B91" s="275"/>
      <c r="C91" s="808" t="s">
        <v>117</v>
      </c>
      <c r="D91" s="808">
        <v>1.0</v>
      </c>
      <c r="E91" s="809">
        <v>3900.0</v>
      </c>
      <c r="F91" s="218"/>
      <c r="G91" s="218"/>
      <c r="H91" s="275"/>
      <c r="I91" s="809">
        <v>1500.0</v>
      </c>
      <c r="J91" s="218"/>
      <c r="K91" s="219">
        <f t="shared" si="21"/>
        <v>0</v>
      </c>
      <c r="L91" s="218"/>
      <c r="M91" s="809"/>
      <c r="N91" s="783">
        <v>2400.0</v>
      </c>
      <c r="O91" s="783">
        <v>-500.0</v>
      </c>
      <c r="P91" s="783"/>
      <c r="Q91" s="782">
        <f t="shared" si="22"/>
        <v>4000</v>
      </c>
      <c r="R91" s="792"/>
    </row>
    <row r="92" ht="14.25" customHeight="1">
      <c r="B92" s="810"/>
      <c r="C92" s="811" t="s">
        <v>30</v>
      </c>
      <c r="D92" s="812"/>
      <c r="E92" s="813"/>
      <c r="F92" s="813"/>
      <c r="G92" s="813"/>
      <c r="H92" s="810"/>
      <c r="I92" s="813"/>
      <c r="J92" s="813"/>
      <c r="K92" s="814">
        <f t="shared" si="21"/>
        <v>0</v>
      </c>
      <c r="L92" s="813"/>
      <c r="M92" s="813"/>
      <c r="N92" s="813"/>
      <c r="O92" s="813"/>
      <c r="P92" s="815"/>
      <c r="Q92" s="813">
        <f t="shared" si="22"/>
        <v>4000</v>
      </c>
      <c r="R92" s="804"/>
      <c r="T92" s="358"/>
    </row>
    <row r="93" ht="14.25" customHeight="1">
      <c r="B93" s="275"/>
      <c r="C93" s="808" t="s">
        <v>31</v>
      </c>
      <c r="D93" s="808">
        <v>1.0</v>
      </c>
      <c r="E93" s="809">
        <v>1500.0</v>
      </c>
      <c r="F93" s="218"/>
      <c r="G93" s="218"/>
      <c r="H93" s="275"/>
      <c r="I93" s="809">
        <v>700.0</v>
      </c>
      <c r="J93" s="218"/>
      <c r="K93" s="219">
        <f t="shared" si="21"/>
        <v>0</v>
      </c>
      <c r="L93" s="218"/>
      <c r="M93" s="218"/>
      <c r="N93" s="783">
        <v>800.0</v>
      </c>
      <c r="O93" s="783">
        <v>-500.0</v>
      </c>
      <c r="P93" s="783"/>
      <c r="Q93" s="782">
        <f t="shared" si="22"/>
        <v>4300</v>
      </c>
      <c r="R93" s="792"/>
      <c r="T93" s="358"/>
    </row>
    <row r="94" ht="14.25" customHeight="1">
      <c r="B94" s="275"/>
      <c r="C94" s="808" t="s">
        <v>32</v>
      </c>
      <c r="D94" s="808">
        <v>1.0</v>
      </c>
      <c r="E94" s="809">
        <v>1850.0</v>
      </c>
      <c r="F94" s="218"/>
      <c r="G94" s="218"/>
      <c r="H94" s="275"/>
      <c r="I94" s="809">
        <v>500.0</v>
      </c>
      <c r="J94" s="218"/>
      <c r="K94" s="219">
        <f t="shared" si="21"/>
        <v>0</v>
      </c>
      <c r="L94" s="218"/>
      <c r="M94" s="218"/>
      <c r="N94" s="783">
        <v>1350.0</v>
      </c>
      <c r="O94" s="783">
        <v>-500.0</v>
      </c>
      <c r="P94" s="783"/>
      <c r="Q94" s="782">
        <f t="shared" si="22"/>
        <v>5150</v>
      </c>
      <c r="R94" s="792"/>
      <c r="T94" s="358"/>
    </row>
    <row r="95" ht="14.25" customHeight="1">
      <c r="B95" s="810"/>
      <c r="C95" s="811" t="s">
        <v>33</v>
      </c>
      <c r="D95" s="812"/>
      <c r="E95" s="813"/>
      <c r="F95" s="813"/>
      <c r="G95" s="813"/>
      <c r="H95" s="810"/>
      <c r="I95" s="813"/>
      <c r="J95" s="813"/>
      <c r="K95" s="814">
        <f t="shared" si="21"/>
        <v>0</v>
      </c>
      <c r="L95" s="813"/>
      <c r="M95" s="813"/>
      <c r="N95" s="813"/>
      <c r="O95" s="813"/>
      <c r="P95" s="815"/>
      <c r="Q95" s="813">
        <f t="shared" si="22"/>
        <v>5150</v>
      </c>
      <c r="R95" s="804"/>
      <c r="T95" s="358"/>
    </row>
    <row r="96" ht="14.25" customHeight="1">
      <c r="B96" s="275"/>
      <c r="C96" s="808" t="s">
        <v>34</v>
      </c>
      <c r="D96" s="808">
        <v>1.0</v>
      </c>
      <c r="E96" s="809">
        <v>1700.0</v>
      </c>
      <c r="F96" s="218"/>
      <c r="G96" s="218"/>
      <c r="H96" s="275"/>
      <c r="I96" s="809">
        <v>800.0</v>
      </c>
      <c r="J96" s="218"/>
      <c r="K96" s="219">
        <f t="shared" si="21"/>
        <v>0</v>
      </c>
      <c r="L96" s="218"/>
      <c r="M96" s="218"/>
      <c r="N96" s="783">
        <v>900.0</v>
      </c>
      <c r="O96" s="783">
        <v>-500.0</v>
      </c>
      <c r="P96" s="783"/>
      <c r="Q96" s="782">
        <f t="shared" si="22"/>
        <v>5550</v>
      </c>
      <c r="R96" s="792"/>
      <c r="T96" s="358"/>
    </row>
    <row r="97" ht="14.25" customHeight="1">
      <c r="B97" s="810"/>
      <c r="C97" s="811" t="s">
        <v>69</v>
      </c>
      <c r="D97" s="812"/>
      <c r="E97" s="813"/>
      <c r="F97" s="813"/>
      <c r="G97" s="813"/>
      <c r="H97" s="810"/>
      <c r="I97" s="813"/>
      <c r="J97" s="813"/>
      <c r="K97" s="814">
        <f t="shared" si="21"/>
        <v>0</v>
      </c>
      <c r="L97" s="813"/>
      <c r="M97" s="813"/>
      <c r="N97" s="813"/>
      <c r="O97" s="813"/>
      <c r="P97" s="815"/>
      <c r="Q97" s="813">
        <f t="shared" si="22"/>
        <v>5550</v>
      </c>
      <c r="R97" s="804"/>
      <c r="T97" s="358"/>
    </row>
    <row r="98" ht="14.25" customHeight="1">
      <c r="B98" s="275"/>
      <c r="C98" s="808" t="s">
        <v>68</v>
      </c>
      <c r="D98" s="808">
        <v>1.0</v>
      </c>
      <c r="E98" s="809">
        <v>2300.0</v>
      </c>
      <c r="F98" s="218"/>
      <c r="G98" s="218"/>
      <c r="H98" s="275"/>
      <c r="I98" s="809"/>
      <c r="J98" s="809">
        <v>1000.0</v>
      </c>
      <c r="K98" s="219">
        <f t="shared" si="21"/>
        <v>0</v>
      </c>
      <c r="L98" s="218"/>
      <c r="M98" s="218"/>
      <c r="N98" s="783">
        <v>1300.0</v>
      </c>
      <c r="O98" s="783">
        <v>-500.0</v>
      </c>
      <c r="P98" s="783"/>
      <c r="Q98" s="782">
        <f t="shared" si="22"/>
        <v>6350</v>
      </c>
      <c r="R98" s="792"/>
      <c r="T98" s="358"/>
    </row>
    <row r="99" ht="14.25" customHeight="1">
      <c r="B99" s="810"/>
      <c r="C99" s="811" t="s">
        <v>70</v>
      </c>
      <c r="D99" s="812"/>
      <c r="E99" s="813"/>
      <c r="F99" s="813"/>
      <c r="G99" s="813"/>
      <c r="H99" s="810"/>
      <c r="I99" s="813"/>
      <c r="J99" s="813"/>
      <c r="K99" s="814">
        <f t="shared" si="21"/>
        <v>0</v>
      </c>
      <c r="L99" s="813"/>
      <c r="M99" s="813"/>
      <c r="N99" s="813"/>
      <c r="O99" s="813"/>
      <c r="P99" s="815"/>
      <c r="Q99" s="813">
        <f t="shared" si="22"/>
        <v>6350</v>
      </c>
      <c r="R99" s="804"/>
      <c r="T99" s="358"/>
    </row>
    <row r="100" ht="14.25" customHeight="1">
      <c r="B100" s="275"/>
      <c r="C100" s="808" t="s">
        <v>252</v>
      </c>
      <c r="D100" s="808">
        <v>3.0</v>
      </c>
      <c r="E100" s="809">
        <v>4700.0</v>
      </c>
      <c r="F100" s="218"/>
      <c r="G100" s="218"/>
      <c r="H100" s="275"/>
      <c r="I100" s="809">
        <v>2000.0</v>
      </c>
      <c r="J100" s="218"/>
      <c r="K100" s="219">
        <f t="shared" si="21"/>
        <v>0</v>
      </c>
      <c r="L100" s="218"/>
      <c r="M100" s="809">
        <v>2700.0</v>
      </c>
      <c r="N100" s="782"/>
      <c r="O100" s="783">
        <v>-500.0</v>
      </c>
      <c r="P100" s="783"/>
      <c r="Q100" s="782">
        <f t="shared" si="22"/>
        <v>5850</v>
      </c>
      <c r="R100" s="792"/>
      <c r="T100" s="358"/>
    </row>
    <row r="101" ht="14.25" customHeight="1">
      <c r="B101" s="810"/>
      <c r="C101" s="811" t="s">
        <v>72</v>
      </c>
      <c r="D101" s="812"/>
      <c r="E101" s="813"/>
      <c r="F101" s="813"/>
      <c r="G101" s="813"/>
      <c r="H101" s="810"/>
      <c r="I101" s="813"/>
      <c r="J101" s="813"/>
      <c r="K101" s="814">
        <f t="shared" si="21"/>
        <v>0</v>
      </c>
      <c r="L101" s="813"/>
      <c r="M101" s="813"/>
      <c r="N101" s="813"/>
      <c r="O101" s="813"/>
      <c r="P101" s="815"/>
      <c r="Q101" s="813">
        <f t="shared" si="22"/>
        <v>5850</v>
      </c>
      <c r="R101" s="804"/>
      <c r="T101" s="358"/>
    </row>
    <row r="102" ht="14.25" customHeight="1">
      <c r="B102" s="275"/>
      <c r="C102" s="808" t="s">
        <v>73</v>
      </c>
      <c r="D102" s="808">
        <v>1.0</v>
      </c>
      <c r="E102" s="809">
        <v>2300.0</v>
      </c>
      <c r="F102" s="218"/>
      <c r="G102" s="218"/>
      <c r="H102" s="275"/>
      <c r="I102" s="809">
        <v>1000.0</v>
      </c>
      <c r="J102" s="218"/>
      <c r="K102" s="219">
        <f t="shared" si="21"/>
        <v>0</v>
      </c>
      <c r="L102" s="218"/>
      <c r="M102" s="218"/>
      <c r="N102" s="783">
        <v>1300.0</v>
      </c>
      <c r="O102" s="783">
        <v>-500.0</v>
      </c>
      <c r="P102" s="783"/>
      <c r="Q102" s="782">
        <f t="shared" si="22"/>
        <v>6650</v>
      </c>
      <c r="R102" s="792"/>
      <c r="T102" s="358"/>
    </row>
    <row r="103" ht="14.25" customHeight="1">
      <c r="B103" s="275"/>
      <c r="C103" s="808" t="s">
        <v>49</v>
      </c>
      <c r="D103" s="808">
        <v>1.0</v>
      </c>
      <c r="E103" s="809">
        <v>1950.0</v>
      </c>
      <c r="F103" s="218"/>
      <c r="G103" s="218"/>
      <c r="H103" s="275"/>
      <c r="I103" s="809">
        <v>500.0</v>
      </c>
      <c r="J103" s="218"/>
      <c r="K103" s="219">
        <f t="shared" si="21"/>
        <v>0</v>
      </c>
      <c r="L103" s="218"/>
      <c r="M103" s="218"/>
      <c r="N103" s="783">
        <v>1450.0</v>
      </c>
      <c r="O103" s="783">
        <v>-500.0</v>
      </c>
      <c r="P103" s="783"/>
      <c r="Q103" s="782">
        <f t="shared" si="22"/>
        <v>7600</v>
      </c>
      <c r="R103" s="792"/>
      <c r="T103" s="358"/>
    </row>
    <row r="104" ht="14.25" customHeight="1">
      <c r="B104" s="810"/>
      <c r="C104" s="811" t="s">
        <v>75</v>
      </c>
      <c r="D104" s="812"/>
      <c r="E104" s="813"/>
      <c r="F104" s="813"/>
      <c r="G104" s="813"/>
      <c r="H104" s="810"/>
      <c r="I104" s="813"/>
      <c r="J104" s="813"/>
      <c r="K104" s="814">
        <f t="shared" si="21"/>
        <v>0</v>
      </c>
      <c r="L104" s="813"/>
      <c r="M104" s="813"/>
      <c r="N104" s="813"/>
      <c r="O104" s="813"/>
      <c r="P104" s="815"/>
      <c r="Q104" s="813">
        <f t="shared" si="22"/>
        <v>7600</v>
      </c>
      <c r="R104" s="804"/>
      <c r="T104" s="358"/>
    </row>
    <row r="105" ht="14.25" customHeight="1">
      <c r="B105" s="275"/>
      <c r="C105" s="217"/>
      <c r="D105" s="217"/>
      <c r="E105" s="218"/>
      <c r="F105" s="218"/>
      <c r="G105" s="218"/>
      <c r="H105" s="275"/>
      <c r="I105" s="218"/>
      <c r="J105" s="218"/>
      <c r="K105" s="219">
        <f t="shared" si="21"/>
        <v>0</v>
      </c>
      <c r="L105" s="218"/>
      <c r="M105" s="218"/>
      <c r="N105" s="782"/>
      <c r="O105" s="782"/>
      <c r="P105" s="783"/>
      <c r="Q105" s="782">
        <f t="shared" si="22"/>
        <v>7600</v>
      </c>
      <c r="R105" s="792" t="s">
        <v>92</v>
      </c>
      <c r="T105" s="358"/>
    </row>
    <row r="106" ht="14.25" customHeight="1">
      <c r="B106" s="275"/>
      <c r="C106" s="217"/>
      <c r="D106" s="217"/>
      <c r="E106" s="218"/>
      <c r="F106" s="218"/>
      <c r="G106" s="218"/>
      <c r="H106" s="275"/>
      <c r="I106" s="218"/>
      <c r="J106" s="218"/>
      <c r="K106" s="186">
        <f t="shared" si="21"/>
        <v>0</v>
      </c>
      <c r="L106" s="218"/>
      <c r="M106" s="218"/>
      <c r="N106" s="782"/>
      <c r="O106" s="782"/>
      <c r="P106" s="783">
        <v>-2303.64</v>
      </c>
      <c r="Q106" s="782">
        <f t="shared" si="22"/>
        <v>5296.36</v>
      </c>
      <c r="R106" s="783" t="s">
        <v>385</v>
      </c>
      <c r="T106" s="358"/>
    </row>
    <row r="107" ht="14.25" customHeight="1">
      <c r="B107" s="275"/>
      <c r="C107" s="217"/>
      <c r="D107" s="217"/>
      <c r="E107" s="218"/>
      <c r="F107" s="218"/>
      <c r="G107" s="218"/>
      <c r="H107" s="275"/>
      <c r="I107" s="218"/>
      <c r="J107" s="218"/>
      <c r="K107" s="186">
        <f t="shared" si="21"/>
        <v>0</v>
      </c>
      <c r="L107" s="218"/>
      <c r="M107" s="218"/>
      <c r="N107" s="782"/>
      <c r="O107" s="782"/>
      <c r="P107" s="783">
        <v>-5296.36</v>
      </c>
      <c r="Q107" s="782">
        <f t="shared" si="22"/>
        <v>0</v>
      </c>
      <c r="R107" s="783" t="s">
        <v>63</v>
      </c>
      <c r="T107" s="358"/>
    </row>
    <row r="108" ht="14.25" customHeight="1">
      <c r="B108" s="764" t="s">
        <v>154</v>
      </c>
      <c r="C108" s="765" t="s">
        <v>66</v>
      </c>
      <c r="D108" s="765">
        <f>sum(D86:D106)</f>
        <v>13</v>
      </c>
      <c r="E108" s="766">
        <f>sum(D87:E106)</f>
        <v>26813</v>
      </c>
      <c r="F108" s="766"/>
      <c r="G108" s="766">
        <f>sum(G76:G91)</f>
        <v>0</v>
      </c>
      <c r="H108" s="765"/>
      <c r="I108" s="766">
        <f t="shared" ref="I108:P108" si="23">sum(H87:I106)</f>
        <v>10000</v>
      </c>
      <c r="J108" s="766">
        <f t="shared" si="23"/>
        <v>11000</v>
      </c>
      <c r="K108" s="766">
        <f t="shared" si="23"/>
        <v>1000</v>
      </c>
      <c r="L108" s="766">
        <f t="shared" si="23"/>
        <v>0</v>
      </c>
      <c r="M108" s="766">
        <f t="shared" si="23"/>
        <v>2700</v>
      </c>
      <c r="N108" s="766">
        <f t="shared" si="23"/>
        <v>15800</v>
      </c>
      <c r="O108" s="766">
        <f t="shared" si="23"/>
        <v>7600</v>
      </c>
      <c r="P108" s="766">
        <f t="shared" si="23"/>
        <v>-7803.64</v>
      </c>
      <c r="Q108" s="767">
        <f>Q107</f>
        <v>0</v>
      </c>
      <c r="R108" s="768"/>
      <c r="T108" s="358">
        <v>3163.61</v>
      </c>
    </row>
    <row r="109" ht="14.25" customHeight="1">
      <c r="B109" s="183" t="s">
        <v>172</v>
      </c>
      <c r="C109" s="576">
        <v>45660.0</v>
      </c>
      <c r="D109" s="299"/>
      <c r="E109" s="294"/>
      <c r="F109" s="88"/>
      <c r="G109" s="88"/>
      <c r="H109" s="81"/>
      <c r="I109" s="294"/>
      <c r="J109" s="88"/>
      <c r="K109" s="90">
        <f t="shared" ref="K109:K120" si="24">E109-I109-L109-M109-N109-J109+F109</f>
        <v>0</v>
      </c>
      <c r="L109" s="88"/>
      <c r="M109" s="88"/>
      <c r="N109" s="295"/>
      <c r="O109" s="294"/>
      <c r="P109" s="294"/>
      <c r="Q109" s="88">
        <f t="shared" ref="Q109:Q125" si="25">Q108+N109+O109+P109</f>
        <v>0</v>
      </c>
      <c r="R109" s="294"/>
    </row>
    <row r="110" ht="14.25" customHeight="1">
      <c r="B110" s="68"/>
      <c r="C110" s="573">
        <v>45721.0</v>
      </c>
      <c r="D110" s="241">
        <v>2.0</v>
      </c>
      <c r="E110" s="237">
        <v>3600.0</v>
      </c>
      <c r="F110" s="67"/>
      <c r="G110" s="67"/>
      <c r="H110" s="68"/>
      <c r="I110" s="237">
        <v>1500.0</v>
      </c>
      <c r="J110" s="67"/>
      <c r="K110" s="69">
        <f t="shared" si="24"/>
        <v>0</v>
      </c>
      <c r="L110" s="67"/>
      <c r="M110" s="67"/>
      <c r="N110" s="749">
        <v>2100.0</v>
      </c>
      <c r="O110" s="750">
        <v>-500.0</v>
      </c>
      <c r="P110" s="750"/>
      <c r="Q110" s="747">
        <f t="shared" si="25"/>
        <v>1600</v>
      </c>
      <c r="R110" s="750"/>
    </row>
    <row r="111" ht="14.25" customHeight="1">
      <c r="B111" s="210"/>
      <c r="C111" s="301">
        <v>45783.0</v>
      </c>
      <c r="D111" s="284">
        <v>1.0</v>
      </c>
      <c r="E111" s="282">
        <v>2300.0</v>
      </c>
      <c r="F111" s="282"/>
      <c r="G111" s="176"/>
      <c r="H111" s="210"/>
      <c r="I111" s="282">
        <v>1000.0</v>
      </c>
      <c r="J111" s="176"/>
      <c r="K111" s="69">
        <f t="shared" si="24"/>
        <v>0</v>
      </c>
      <c r="L111" s="176"/>
      <c r="M111" s="176"/>
      <c r="N111" s="792">
        <v>1300.0</v>
      </c>
      <c r="O111" s="780">
        <v>-500.0</v>
      </c>
      <c r="P111" s="780"/>
      <c r="Q111" s="747">
        <f t="shared" si="25"/>
        <v>2400</v>
      </c>
      <c r="R111" s="780"/>
    </row>
    <row r="112" ht="14.25" customHeight="1">
      <c r="B112" s="210"/>
      <c r="C112" s="301">
        <v>45815.0</v>
      </c>
      <c r="D112" s="284">
        <v>1.0</v>
      </c>
      <c r="E112" s="282">
        <v>1900.0</v>
      </c>
      <c r="F112" s="282"/>
      <c r="G112" s="176"/>
      <c r="H112" s="210"/>
      <c r="I112" s="282">
        <v>1000.0</v>
      </c>
      <c r="J112" s="176"/>
      <c r="K112" s="69">
        <f t="shared" si="24"/>
        <v>0</v>
      </c>
      <c r="L112" s="176"/>
      <c r="M112" s="176"/>
      <c r="N112" s="792">
        <v>900.0</v>
      </c>
      <c r="O112" s="780">
        <v>-500.0</v>
      </c>
      <c r="P112" s="780"/>
      <c r="Q112" s="747">
        <f t="shared" si="25"/>
        <v>2800</v>
      </c>
      <c r="R112" s="780"/>
    </row>
    <row r="113" ht="14.25" customHeight="1">
      <c r="B113" s="802"/>
      <c r="C113" s="304">
        <v>45848.0</v>
      </c>
      <c r="D113" s="308"/>
      <c r="E113" s="309"/>
      <c r="F113" s="309"/>
      <c r="G113" s="194"/>
      <c r="H113" s="802"/>
      <c r="I113" s="309"/>
      <c r="J113" s="194"/>
      <c r="K113" s="90">
        <f t="shared" si="24"/>
        <v>0</v>
      </c>
      <c r="L113" s="194"/>
      <c r="M113" s="194"/>
      <c r="N113" s="804"/>
      <c r="O113" s="309"/>
      <c r="P113" s="309"/>
      <c r="Q113" s="88">
        <f t="shared" si="25"/>
        <v>2800</v>
      </c>
      <c r="R113" s="309"/>
    </row>
    <row r="114" ht="14.25" customHeight="1">
      <c r="B114" s="210"/>
      <c r="C114" s="301">
        <v>45941.0</v>
      </c>
      <c r="D114" s="284">
        <v>1.0</v>
      </c>
      <c r="E114" s="282">
        <v>1900.0</v>
      </c>
      <c r="F114" s="282"/>
      <c r="G114" s="176"/>
      <c r="H114" s="210"/>
      <c r="I114" s="282">
        <v>500.0</v>
      </c>
      <c r="J114" s="176"/>
      <c r="K114" s="69">
        <f t="shared" si="24"/>
        <v>0</v>
      </c>
      <c r="L114" s="176"/>
      <c r="M114" s="282">
        <v>1400.0</v>
      </c>
      <c r="N114" s="792"/>
      <c r="O114" s="780">
        <v>-500.0</v>
      </c>
      <c r="P114" s="780"/>
      <c r="Q114" s="747">
        <f t="shared" si="25"/>
        <v>2300</v>
      </c>
      <c r="R114" s="780"/>
    </row>
    <row r="115" ht="14.25" customHeight="1">
      <c r="B115" s="802"/>
      <c r="C115" s="304">
        <v>45973.0</v>
      </c>
      <c r="D115" s="308"/>
      <c r="E115" s="309"/>
      <c r="F115" s="309"/>
      <c r="G115" s="194"/>
      <c r="H115" s="802"/>
      <c r="I115" s="309"/>
      <c r="J115" s="194"/>
      <c r="K115" s="90">
        <f t="shared" si="24"/>
        <v>0</v>
      </c>
      <c r="L115" s="194"/>
      <c r="M115" s="194"/>
      <c r="N115" s="804"/>
      <c r="O115" s="309"/>
      <c r="P115" s="309"/>
      <c r="Q115" s="88">
        <f t="shared" si="25"/>
        <v>2300</v>
      </c>
      <c r="R115" s="309"/>
    </row>
    <row r="116" ht="14.25" customHeight="1">
      <c r="B116" s="802"/>
      <c r="C116" s="308" t="s">
        <v>126</v>
      </c>
      <c r="D116" s="308"/>
      <c r="E116" s="309">
        <v>3000.0</v>
      </c>
      <c r="F116" s="309"/>
      <c r="G116" s="194"/>
      <c r="H116" s="802"/>
      <c r="I116" s="309">
        <v>3000.0</v>
      </c>
      <c r="J116" s="194"/>
      <c r="K116" s="90">
        <f t="shared" si="24"/>
        <v>0</v>
      </c>
      <c r="L116" s="194"/>
      <c r="M116" s="194"/>
      <c r="N116" s="804"/>
      <c r="O116" s="309"/>
      <c r="P116" s="309"/>
      <c r="Q116" s="88">
        <f t="shared" si="25"/>
        <v>2300</v>
      </c>
      <c r="R116" s="309" t="s">
        <v>81</v>
      </c>
    </row>
    <row r="117" ht="14.25" customHeight="1">
      <c r="B117" s="802"/>
      <c r="C117" s="308" t="s">
        <v>164</v>
      </c>
      <c r="D117" s="308"/>
      <c r="E117" s="309"/>
      <c r="F117" s="309"/>
      <c r="G117" s="194"/>
      <c r="H117" s="802"/>
      <c r="I117" s="309"/>
      <c r="J117" s="194"/>
      <c r="K117" s="90">
        <f t="shared" si="24"/>
        <v>0</v>
      </c>
      <c r="L117" s="194"/>
      <c r="M117" s="194"/>
      <c r="N117" s="804"/>
      <c r="O117" s="309"/>
      <c r="P117" s="309"/>
      <c r="Q117" s="88">
        <f t="shared" si="25"/>
        <v>2300</v>
      </c>
      <c r="R117" s="309"/>
    </row>
    <row r="118" ht="14.25" customHeight="1">
      <c r="B118" s="210"/>
      <c r="C118" s="284" t="s">
        <v>99</v>
      </c>
      <c r="D118" s="284">
        <v>2.0</v>
      </c>
      <c r="E118" s="282">
        <v>4300.0</v>
      </c>
      <c r="F118" s="282"/>
      <c r="G118" s="176"/>
      <c r="H118" s="210"/>
      <c r="I118" s="282">
        <v>1500.0</v>
      </c>
      <c r="J118" s="176"/>
      <c r="K118" s="69">
        <f t="shared" si="24"/>
        <v>0</v>
      </c>
      <c r="L118" s="176"/>
      <c r="M118" s="176"/>
      <c r="N118" s="792">
        <v>2800.0</v>
      </c>
      <c r="O118" s="780">
        <v>-500.0</v>
      </c>
      <c r="P118" s="780"/>
      <c r="Q118" s="747">
        <f t="shared" si="25"/>
        <v>4600</v>
      </c>
      <c r="R118" s="780"/>
    </row>
    <row r="119" ht="14.25" customHeight="1">
      <c r="B119" s="802"/>
      <c r="C119" s="308" t="s">
        <v>143</v>
      </c>
      <c r="D119" s="308"/>
      <c r="E119" s="309"/>
      <c r="F119" s="309"/>
      <c r="G119" s="194"/>
      <c r="H119" s="802"/>
      <c r="I119" s="309"/>
      <c r="J119" s="194"/>
      <c r="K119" s="90">
        <f t="shared" si="24"/>
        <v>0</v>
      </c>
      <c r="L119" s="194"/>
      <c r="M119" s="194"/>
      <c r="N119" s="804"/>
      <c r="O119" s="309"/>
      <c r="P119" s="309"/>
      <c r="Q119" s="88">
        <f t="shared" si="25"/>
        <v>4600</v>
      </c>
      <c r="R119" s="309"/>
    </row>
    <row r="120" ht="14.25" customHeight="1">
      <c r="B120" s="210"/>
      <c r="C120" s="284" t="s">
        <v>50</v>
      </c>
      <c r="D120" s="284">
        <v>1.0</v>
      </c>
      <c r="E120" s="282">
        <v>1500.0</v>
      </c>
      <c r="F120" s="282">
        <v>400.0</v>
      </c>
      <c r="G120" s="176"/>
      <c r="H120" s="210"/>
      <c r="I120" s="282">
        <v>500.0</v>
      </c>
      <c r="J120" s="176"/>
      <c r="K120" s="69">
        <f t="shared" si="24"/>
        <v>400</v>
      </c>
      <c r="L120" s="176"/>
      <c r="M120" s="176"/>
      <c r="N120" s="792">
        <v>1000.0</v>
      </c>
      <c r="O120" s="780">
        <v>-500.0</v>
      </c>
      <c r="P120" s="780">
        <v>400.0</v>
      </c>
      <c r="Q120" s="747">
        <f t="shared" si="25"/>
        <v>5500</v>
      </c>
      <c r="R120" s="780" t="s">
        <v>43</v>
      </c>
    </row>
    <row r="121" ht="14.25" customHeight="1">
      <c r="B121" s="210"/>
      <c r="C121" s="301"/>
      <c r="D121" s="284"/>
      <c r="E121" s="282"/>
      <c r="F121" s="282"/>
      <c r="G121" s="176"/>
      <c r="H121" s="210"/>
      <c r="I121" s="282"/>
      <c r="J121" s="176"/>
      <c r="K121" s="69"/>
      <c r="L121" s="176"/>
      <c r="M121" s="176"/>
      <c r="N121" s="792"/>
      <c r="O121" s="780"/>
      <c r="P121" s="780">
        <v>-1500.0</v>
      </c>
      <c r="Q121" s="747">
        <f t="shared" si="25"/>
        <v>4000</v>
      </c>
      <c r="R121" s="780" t="s">
        <v>411</v>
      </c>
    </row>
    <row r="122" ht="14.25" customHeight="1">
      <c r="B122" s="210"/>
      <c r="C122" s="301"/>
      <c r="D122" s="284"/>
      <c r="E122" s="282"/>
      <c r="F122" s="282"/>
      <c r="G122" s="176"/>
      <c r="H122" s="210"/>
      <c r="I122" s="282"/>
      <c r="J122" s="176"/>
      <c r="K122" s="69">
        <f t="shared" ref="K122:K124" si="26">E122-I122-L122-M122-N122-J122+F122</f>
        <v>0</v>
      </c>
      <c r="L122" s="176"/>
      <c r="M122" s="176"/>
      <c r="N122" s="792"/>
      <c r="O122" s="780"/>
      <c r="P122" s="780">
        <v>-8500.0</v>
      </c>
      <c r="Q122" s="747">
        <f t="shared" si="25"/>
        <v>-4500</v>
      </c>
      <c r="R122" s="780" t="s">
        <v>412</v>
      </c>
    </row>
    <row r="123" ht="14.25" customHeight="1">
      <c r="B123" s="275"/>
      <c r="C123" s="217"/>
      <c r="D123" s="217"/>
      <c r="E123" s="218"/>
      <c r="F123" s="218"/>
      <c r="G123" s="218"/>
      <c r="H123" s="275"/>
      <c r="I123" s="218"/>
      <c r="J123" s="218"/>
      <c r="K123" s="219">
        <f t="shared" si="26"/>
        <v>0</v>
      </c>
      <c r="L123" s="218"/>
      <c r="M123" s="218"/>
      <c r="N123" s="782"/>
      <c r="O123" s="782"/>
      <c r="P123" s="783">
        <v>-1907.89</v>
      </c>
      <c r="Q123" s="747">
        <f t="shared" si="25"/>
        <v>-6407.89</v>
      </c>
      <c r="R123" s="792" t="s">
        <v>92</v>
      </c>
      <c r="T123" s="358"/>
    </row>
    <row r="124" ht="14.25" customHeight="1">
      <c r="B124" s="275"/>
      <c r="C124" s="217"/>
      <c r="D124" s="217"/>
      <c r="E124" s="218"/>
      <c r="F124" s="218"/>
      <c r="G124" s="218"/>
      <c r="H124" s="275"/>
      <c r="I124" s="218"/>
      <c r="J124" s="218"/>
      <c r="K124" s="344">
        <f t="shared" si="26"/>
        <v>0</v>
      </c>
      <c r="L124" s="218"/>
      <c r="M124" s="218"/>
      <c r="N124" s="782"/>
      <c r="O124" s="782"/>
      <c r="P124" s="783">
        <v>-1416.12</v>
      </c>
      <c r="Q124" s="779">
        <f t="shared" si="25"/>
        <v>-7824.01</v>
      </c>
      <c r="R124" s="783" t="s">
        <v>59</v>
      </c>
      <c r="T124" s="358"/>
    </row>
    <row r="125" ht="14.25" customHeight="1">
      <c r="B125" s="275"/>
      <c r="C125" s="217"/>
      <c r="D125" s="217"/>
      <c r="E125" s="218"/>
      <c r="F125" s="218"/>
      <c r="G125" s="218"/>
      <c r="H125" s="275"/>
      <c r="I125" s="218"/>
      <c r="J125" s="218"/>
      <c r="K125" s="219"/>
      <c r="L125" s="218"/>
      <c r="M125" s="218"/>
      <c r="N125" s="782"/>
      <c r="O125" s="782"/>
      <c r="P125" s="783">
        <v>7824.01</v>
      </c>
      <c r="Q125" s="779">
        <f t="shared" si="25"/>
        <v>0</v>
      </c>
      <c r="R125" s="783"/>
      <c r="T125" s="358"/>
    </row>
    <row r="126" ht="14.25" customHeight="1">
      <c r="B126" s="764" t="s">
        <v>172</v>
      </c>
      <c r="C126" s="765" t="s">
        <v>66</v>
      </c>
      <c r="D126" s="765">
        <f>sum(D109:D124)</f>
        <v>8</v>
      </c>
      <c r="E126" s="766">
        <f>sum(D110:E124)</f>
        <v>18508</v>
      </c>
      <c r="F126" s="766"/>
      <c r="G126" s="766">
        <f>sum(G98:G114)</f>
        <v>0</v>
      </c>
      <c r="H126" s="765"/>
      <c r="I126" s="766">
        <f t="shared" ref="I126:M126" si="27">sum(H110:I124)</f>
        <v>9000</v>
      </c>
      <c r="J126" s="766">
        <f t="shared" si="27"/>
        <v>9000</v>
      </c>
      <c r="K126" s="766">
        <f t="shared" si="27"/>
        <v>400</v>
      </c>
      <c r="L126" s="766">
        <f t="shared" si="27"/>
        <v>400</v>
      </c>
      <c r="M126" s="766">
        <f t="shared" si="27"/>
        <v>1400</v>
      </c>
      <c r="N126" s="766">
        <f t="shared" ref="N126:O126" si="28">SUM(N109:N124)</f>
        <v>8100</v>
      </c>
      <c r="O126" s="766">
        <f t="shared" si="28"/>
        <v>-3000</v>
      </c>
      <c r="P126" s="766">
        <f>sum(P109:P125)</f>
        <v>-5100</v>
      </c>
      <c r="Q126" s="767">
        <f>Q125</f>
        <v>0</v>
      </c>
      <c r="R126" s="768"/>
      <c r="T126" s="358">
        <v>3163.61</v>
      </c>
    </row>
    <row r="127" ht="14.25" customHeight="1">
      <c r="B127" s="354" t="s">
        <v>166</v>
      </c>
      <c r="C127" s="576">
        <v>45659.0</v>
      </c>
      <c r="D127" s="299"/>
      <c r="E127" s="294"/>
      <c r="F127" s="88"/>
      <c r="G127" s="88"/>
      <c r="H127" s="81"/>
      <c r="I127" s="294"/>
      <c r="J127" s="88"/>
      <c r="K127" s="90">
        <f t="shared" ref="K127:K147" si="29">E127-I127-L127-M127-N127-J127+F127</f>
        <v>0</v>
      </c>
      <c r="L127" s="88"/>
      <c r="M127" s="88"/>
      <c r="N127" s="295"/>
      <c r="O127" s="294"/>
      <c r="P127" s="294"/>
      <c r="Q127" s="88">
        <f t="shared" ref="Q127:Q142" si="30">Q126+N127+O127+P127</f>
        <v>0</v>
      </c>
      <c r="R127" s="294"/>
    </row>
    <row r="128" ht="14.25" customHeight="1">
      <c r="B128" s="64"/>
      <c r="C128" s="573">
        <v>45691.0</v>
      </c>
      <c r="D128" s="241">
        <v>1.0</v>
      </c>
      <c r="E128" s="237">
        <v>2200.0</v>
      </c>
      <c r="F128" s="67"/>
      <c r="G128" s="67"/>
      <c r="H128" s="68"/>
      <c r="I128" s="237">
        <v>1000.0</v>
      </c>
      <c r="J128" s="67"/>
      <c r="K128" s="69">
        <f t="shared" si="29"/>
        <v>0</v>
      </c>
      <c r="L128" s="67"/>
      <c r="M128" s="67"/>
      <c r="N128" s="749">
        <v>1200.0</v>
      </c>
      <c r="O128" s="750">
        <v>-500.0</v>
      </c>
      <c r="P128" s="750"/>
      <c r="Q128" s="747">
        <f t="shared" si="30"/>
        <v>700</v>
      </c>
      <c r="R128" s="750"/>
    </row>
    <row r="129" ht="14.25" customHeight="1">
      <c r="B129" s="81"/>
      <c r="C129" s="576">
        <v>45722.0</v>
      </c>
      <c r="D129" s="299"/>
      <c r="E129" s="294"/>
      <c r="F129" s="88"/>
      <c r="G129" s="88"/>
      <c r="H129" s="81"/>
      <c r="I129" s="294"/>
      <c r="J129" s="88"/>
      <c r="K129" s="90">
        <f t="shared" si="29"/>
        <v>0</v>
      </c>
      <c r="L129" s="88"/>
      <c r="M129" s="88"/>
      <c r="N129" s="295"/>
      <c r="O129" s="294"/>
      <c r="P129" s="294"/>
      <c r="Q129" s="88">
        <f t="shared" si="30"/>
        <v>700</v>
      </c>
      <c r="R129" s="294"/>
    </row>
    <row r="130" ht="14.25" customHeight="1">
      <c r="B130" s="68"/>
      <c r="C130" s="573">
        <v>45815.0</v>
      </c>
      <c r="D130" s="241">
        <v>1.0</v>
      </c>
      <c r="E130" s="237">
        <v>1500.0</v>
      </c>
      <c r="F130" s="67"/>
      <c r="G130" s="67"/>
      <c r="H130" s="68"/>
      <c r="I130" s="237">
        <v>500.0</v>
      </c>
      <c r="J130" s="67"/>
      <c r="K130" s="69">
        <f t="shared" si="29"/>
        <v>0</v>
      </c>
      <c r="L130" s="67"/>
      <c r="M130" s="67"/>
      <c r="N130" s="749">
        <v>1000.0</v>
      </c>
      <c r="O130" s="750">
        <v>-500.0</v>
      </c>
      <c r="P130" s="750"/>
      <c r="Q130" s="747">
        <f t="shared" si="30"/>
        <v>1200</v>
      </c>
      <c r="R130" s="750"/>
    </row>
    <row r="131" ht="14.25" customHeight="1">
      <c r="B131" s="81"/>
      <c r="C131" s="576">
        <v>45846.0</v>
      </c>
      <c r="D131" s="299"/>
      <c r="E131" s="294"/>
      <c r="F131" s="88"/>
      <c r="G131" s="88"/>
      <c r="H131" s="81"/>
      <c r="I131" s="294"/>
      <c r="J131" s="88"/>
      <c r="K131" s="90">
        <f t="shared" si="29"/>
        <v>0</v>
      </c>
      <c r="L131" s="88"/>
      <c r="M131" s="88"/>
      <c r="N131" s="295"/>
      <c r="O131" s="294"/>
      <c r="P131" s="294"/>
      <c r="Q131" s="88">
        <f t="shared" si="30"/>
        <v>1200</v>
      </c>
      <c r="R131" s="294"/>
    </row>
    <row r="132" ht="14.25" customHeight="1">
      <c r="B132" s="68"/>
      <c r="C132" s="573">
        <v>45879.0</v>
      </c>
      <c r="D132" s="241">
        <v>2.0</v>
      </c>
      <c r="E132" s="237">
        <v>4400.0</v>
      </c>
      <c r="F132" s="67"/>
      <c r="G132" s="67"/>
      <c r="H132" s="68"/>
      <c r="I132" s="237">
        <v>1500.0</v>
      </c>
      <c r="J132" s="67"/>
      <c r="K132" s="69">
        <f t="shared" si="29"/>
        <v>0</v>
      </c>
      <c r="L132" s="67"/>
      <c r="M132" s="67"/>
      <c r="N132" s="749">
        <v>2900.0</v>
      </c>
      <c r="O132" s="750">
        <v>-500.0</v>
      </c>
      <c r="P132" s="750"/>
      <c r="Q132" s="747">
        <f t="shared" si="30"/>
        <v>3600</v>
      </c>
      <c r="R132" s="750"/>
    </row>
    <row r="133" ht="14.25" customHeight="1">
      <c r="B133" s="81"/>
      <c r="C133" s="576">
        <v>45946.0</v>
      </c>
      <c r="D133" s="299"/>
      <c r="E133" s="294"/>
      <c r="F133" s="88"/>
      <c r="G133" s="88"/>
      <c r="H133" s="81"/>
      <c r="I133" s="294"/>
      <c r="J133" s="88"/>
      <c r="K133" s="90">
        <f t="shared" si="29"/>
        <v>0</v>
      </c>
      <c r="L133" s="88"/>
      <c r="M133" s="88"/>
      <c r="N133" s="295"/>
      <c r="O133" s="294"/>
      <c r="P133" s="294"/>
      <c r="Q133" s="88">
        <f t="shared" si="30"/>
        <v>3600</v>
      </c>
      <c r="R133" s="294"/>
    </row>
    <row r="134" ht="14.25" customHeight="1">
      <c r="B134" s="68"/>
      <c r="C134" s="241" t="s">
        <v>31</v>
      </c>
      <c r="D134" s="241">
        <v>1.0</v>
      </c>
      <c r="E134" s="237">
        <v>2300.0</v>
      </c>
      <c r="F134" s="67"/>
      <c r="G134" s="67"/>
      <c r="H134" s="68"/>
      <c r="I134" s="237">
        <v>1000.0</v>
      </c>
      <c r="J134" s="67"/>
      <c r="K134" s="69">
        <f t="shared" si="29"/>
        <v>0</v>
      </c>
      <c r="L134" s="67"/>
      <c r="M134" s="67"/>
      <c r="N134" s="749">
        <v>1300.0</v>
      </c>
      <c r="O134" s="750">
        <v>-500.0</v>
      </c>
      <c r="P134" s="750"/>
      <c r="Q134" s="747">
        <f t="shared" si="30"/>
        <v>4400</v>
      </c>
      <c r="R134" s="750"/>
    </row>
    <row r="135" ht="14.25" customHeight="1">
      <c r="B135" s="81"/>
      <c r="C135" s="299" t="s">
        <v>32</v>
      </c>
      <c r="D135" s="299"/>
      <c r="E135" s="294"/>
      <c r="F135" s="88"/>
      <c r="G135" s="88"/>
      <c r="H135" s="81"/>
      <c r="I135" s="294"/>
      <c r="J135" s="88"/>
      <c r="K135" s="90">
        <f t="shared" si="29"/>
        <v>0</v>
      </c>
      <c r="L135" s="88"/>
      <c r="M135" s="88"/>
      <c r="N135" s="295"/>
      <c r="O135" s="294"/>
      <c r="P135" s="294"/>
      <c r="Q135" s="88">
        <f t="shared" si="30"/>
        <v>4400</v>
      </c>
      <c r="R135" s="294"/>
    </row>
    <row r="136" ht="14.25" customHeight="1">
      <c r="B136" s="68"/>
      <c r="C136" s="241" t="s">
        <v>120</v>
      </c>
      <c r="D136" s="241">
        <v>2.0</v>
      </c>
      <c r="E136" s="237">
        <v>3000.0</v>
      </c>
      <c r="F136" s="67"/>
      <c r="G136" s="67"/>
      <c r="H136" s="68"/>
      <c r="I136" s="237">
        <v>1500.0</v>
      </c>
      <c r="J136" s="67"/>
      <c r="K136" s="69">
        <f t="shared" si="29"/>
        <v>0</v>
      </c>
      <c r="L136" s="67"/>
      <c r="M136" s="67"/>
      <c r="N136" s="749">
        <v>1500.0</v>
      </c>
      <c r="O136" s="750">
        <v>-500.0</v>
      </c>
      <c r="P136" s="750"/>
      <c r="Q136" s="747">
        <f t="shared" si="30"/>
        <v>5400</v>
      </c>
      <c r="R136" s="750"/>
    </row>
    <row r="137" ht="14.25" customHeight="1">
      <c r="B137" s="68"/>
      <c r="C137" s="241" t="s">
        <v>69</v>
      </c>
      <c r="D137" s="241">
        <v>1.0</v>
      </c>
      <c r="E137" s="237">
        <v>1500.0</v>
      </c>
      <c r="F137" s="67"/>
      <c r="G137" s="67"/>
      <c r="H137" s="68"/>
      <c r="I137" s="237">
        <v>500.0</v>
      </c>
      <c r="J137" s="67"/>
      <c r="K137" s="69">
        <f t="shared" si="29"/>
        <v>0</v>
      </c>
      <c r="L137" s="67"/>
      <c r="M137" s="67"/>
      <c r="N137" s="749">
        <v>1000.0</v>
      </c>
      <c r="O137" s="750">
        <v>-500.0</v>
      </c>
      <c r="P137" s="750"/>
      <c r="Q137" s="747">
        <f t="shared" si="30"/>
        <v>5900</v>
      </c>
      <c r="R137" s="750"/>
    </row>
    <row r="138" ht="14.25" customHeight="1">
      <c r="B138" s="68"/>
      <c r="C138" s="241" t="s">
        <v>78</v>
      </c>
      <c r="D138" s="241">
        <v>2.0</v>
      </c>
      <c r="E138" s="237">
        <v>3200.0</v>
      </c>
      <c r="F138" s="67"/>
      <c r="G138" s="67"/>
      <c r="H138" s="68"/>
      <c r="I138" s="237">
        <v>1500.0</v>
      </c>
      <c r="J138" s="67"/>
      <c r="K138" s="69">
        <f t="shared" si="29"/>
        <v>0</v>
      </c>
      <c r="L138" s="67"/>
      <c r="M138" s="67"/>
      <c r="N138" s="749">
        <v>1700.0</v>
      </c>
      <c r="O138" s="750">
        <v>-500.0</v>
      </c>
      <c r="P138" s="750"/>
      <c r="Q138" s="747">
        <f t="shared" si="30"/>
        <v>7100</v>
      </c>
      <c r="R138" s="750"/>
    </row>
    <row r="139" ht="14.25" customHeight="1">
      <c r="B139" s="210"/>
      <c r="C139" s="284" t="s">
        <v>41</v>
      </c>
      <c r="D139" s="284">
        <v>1.0</v>
      </c>
      <c r="E139" s="282">
        <v>2300.0</v>
      </c>
      <c r="F139" s="282">
        <v>350.0</v>
      </c>
      <c r="G139" s="176"/>
      <c r="H139" s="210"/>
      <c r="I139" s="282">
        <v>1000.0</v>
      </c>
      <c r="J139" s="176"/>
      <c r="K139" s="69">
        <f t="shared" si="29"/>
        <v>0</v>
      </c>
      <c r="L139" s="176"/>
      <c r="M139" s="282">
        <v>1650.0</v>
      </c>
      <c r="N139" s="792"/>
      <c r="O139" s="780">
        <v>-500.0</v>
      </c>
      <c r="P139" s="780"/>
      <c r="Q139" s="747">
        <f t="shared" si="30"/>
        <v>6600</v>
      </c>
      <c r="R139" s="780"/>
    </row>
    <row r="140" ht="14.25" customHeight="1">
      <c r="B140" s="210"/>
      <c r="C140" s="284" t="s">
        <v>44</v>
      </c>
      <c r="D140" s="284">
        <v>1.0</v>
      </c>
      <c r="E140" s="282">
        <v>2650.0</v>
      </c>
      <c r="F140" s="176"/>
      <c r="G140" s="176"/>
      <c r="H140" s="210"/>
      <c r="I140" s="282">
        <v>1000.0</v>
      </c>
      <c r="J140" s="176"/>
      <c r="K140" s="69">
        <f t="shared" si="29"/>
        <v>0</v>
      </c>
      <c r="L140" s="176"/>
      <c r="M140" s="176"/>
      <c r="N140" s="792">
        <v>1650.0</v>
      </c>
      <c r="O140" s="780">
        <v>-500.0</v>
      </c>
      <c r="P140" s="780"/>
      <c r="Q140" s="747">
        <f t="shared" si="30"/>
        <v>7750</v>
      </c>
      <c r="R140" s="780"/>
    </row>
    <row r="141" ht="14.25" customHeight="1">
      <c r="B141" s="802"/>
      <c r="C141" s="308" t="s">
        <v>99</v>
      </c>
      <c r="D141" s="308"/>
      <c r="E141" s="309"/>
      <c r="F141" s="194"/>
      <c r="G141" s="194"/>
      <c r="H141" s="802"/>
      <c r="I141" s="309"/>
      <c r="J141" s="194"/>
      <c r="K141" s="90">
        <f t="shared" si="29"/>
        <v>0</v>
      </c>
      <c r="L141" s="194"/>
      <c r="M141" s="194"/>
      <c r="N141" s="804"/>
      <c r="O141" s="309"/>
      <c r="P141" s="309"/>
      <c r="Q141" s="88">
        <f t="shared" si="30"/>
        <v>7750</v>
      </c>
      <c r="R141" s="309"/>
    </row>
    <row r="142" ht="14.25" customHeight="1">
      <c r="B142" s="210"/>
      <c r="C142" s="284" t="s">
        <v>72</v>
      </c>
      <c r="D142" s="284">
        <v>1.0</v>
      </c>
      <c r="E142" s="282">
        <v>2000.0</v>
      </c>
      <c r="F142" s="176"/>
      <c r="G142" s="176"/>
      <c r="H142" s="210"/>
      <c r="I142" s="282">
        <v>1000.0</v>
      </c>
      <c r="J142" s="176"/>
      <c r="K142" s="69">
        <f t="shared" si="29"/>
        <v>0</v>
      </c>
      <c r="L142" s="176"/>
      <c r="M142" s="176"/>
      <c r="N142" s="792">
        <v>1000.0</v>
      </c>
      <c r="O142" s="780">
        <v>-500.0</v>
      </c>
      <c r="P142" s="780"/>
      <c r="Q142" s="747">
        <f t="shared" si="30"/>
        <v>8250</v>
      </c>
      <c r="R142" s="780"/>
    </row>
    <row r="143" ht="14.25" customHeight="1">
      <c r="B143" s="210"/>
      <c r="C143" s="284" t="s">
        <v>88</v>
      </c>
      <c r="D143" s="284">
        <v>2.0</v>
      </c>
      <c r="E143" s="282">
        <v>3200.0</v>
      </c>
      <c r="F143" s="282"/>
      <c r="G143" s="176"/>
      <c r="H143" s="210"/>
      <c r="I143" s="282">
        <v>1500.0</v>
      </c>
      <c r="J143" s="176"/>
      <c r="K143" s="69">
        <f t="shared" si="29"/>
        <v>0</v>
      </c>
      <c r="L143" s="176"/>
      <c r="M143" s="282">
        <v>1700.0</v>
      </c>
      <c r="N143" s="792"/>
      <c r="O143" s="780">
        <v>-500.0</v>
      </c>
      <c r="P143" s="780"/>
      <c r="Q143" s="747">
        <f>Q142+N143+O143+K131</f>
        <v>7750</v>
      </c>
      <c r="R143" s="780"/>
    </row>
    <row r="144" ht="14.25" customHeight="1">
      <c r="B144" s="210"/>
      <c r="C144" s="284" t="s">
        <v>50</v>
      </c>
      <c r="D144" s="284">
        <v>1.0</v>
      </c>
      <c r="E144" s="282">
        <v>2300.0</v>
      </c>
      <c r="F144" s="282"/>
      <c r="G144" s="176"/>
      <c r="H144" s="210"/>
      <c r="I144" s="282">
        <v>1000.0</v>
      </c>
      <c r="J144" s="176"/>
      <c r="K144" s="69">
        <f t="shared" si="29"/>
        <v>0</v>
      </c>
      <c r="L144" s="176"/>
      <c r="M144" s="176"/>
      <c r="N144" s="792">
        <v>1300.0</v>
      </c>
      <c r="O144" s="780">
        <v>-500.0</v>
      </c>
      <c r="P144" s="780"/>
      <c r="Q144" s="747">
        <f t="shared" ref="Q144:Q147" si="31">Q143+N144+O144+P144</f>
        <v>8550</v>
      </c>
      <c r="R144" s="780"/>
    </row>
    <row r="145" ht="14.25" customHeight="1">
      <c r="B145" s="210"/>
      <c r="C145" s="301"/>
      <c r="D145" s="284"/>
      <c r="E145" s="282"/>
      <c r="F145" s="282"/>
      <c r="G145" s="176"/>
      <c r="H145" s="210"/>
      <c r="I145" s="282"/>
      <c r="J145" s="176"/>
      <c r="K145" s="69">
        <f t="shared" si="29"/>
        <v>0</v>
      </c>
      <c r="L145" s="176"/>
      <c r="M145" s="176"/>
      <c r="N145" s="792"/>
      <c r="O145" s="780"/>
      <c r="P145" s="780">
        <v>200.0</v>
      </c>
      <c r="Q145" s="747">
        <f t="shared" si="31"/>
        <v>8750</v>
      </c>
      <c r="R145" s="780" t="s">
        <v>417</v>
      </c>
    </row>
    <row r="146" ht="14.25" customHeight="1">
      <c r="B146" s="210"/>
      <c r="C146" s="301"/>
      <c r="D146" s="284"/>
      <c r="E146" s="282"/>
      <c r="F146" s="282"/>
      <c r="G146" s="176"/>
      <c r="H146" s="210"/>
      <c r="I146" s="282"/>
      <c r="J146" s="176"/>
      <c r="K146" s="69">
        <f t="shared" si="29"/>
        <v>0</v>
      </c>
      <c r="L146" s="176"/>
      <c r="M146" s="176"/>
      <c r="N146" s="792"/>
      <c r="O146" s="780"/>
      <c r="P146" s="783">
        <v>-1394.67</v>
      </c>
      <c r="Q146" s="747">
        <f t="shared" si="31"/>
        <v>7355.33</v>
      </c>
      <c r="R146" s="792" t="s">
        <v>92</v>
      </c>
    </row>
    <row r="147" ht="14.25" customHeight="1">
      <c r="B147" s="210"/>
      <c r="C147" s="301"/>
      <c r="D147" s="284"/>
      <c r="E147" s="282"/>
      <c r="F147" s="282"/>
      <c r="G147" s="176"/>
      <c r="H147" s="210"/>
      <c r="I147" s="282"/>
      <c r="J147" s="176"/>
      <c r="K147" s="69">
        <f t="shared" si="29"/>
        <v>0</v>
      </c>
      <c r="L147" s="176"/>
      <c r="M147" s="176"/>
      <c r="N147" s="792"/>
      <c r="O147" s="780"/>
      <c r="P147" s="783">
        <v>-7355.33</v>
      </c>
      <c r="Q147" s="747">
        <f t="shared" si="31"/>
        <v>0</v>
      </c>
      <c r="R147" s="792"/>
    </row>
    <row r="148" ht="14.25" customHeight="1">
      <c r="B148" s="764" t="s">
        <v>166</v>
      </c>
      <c r="C148" s="765" t="s">
        <v>66</v>
      </c>
      <c r="D148" s="765">
        <f>sum(D127:D146)</f>
        <v>16</v>
      </c>
      <c r="E148" s="766">
        <f>sum(D128:E146)</f>
        <v>30566</v>
      </c>
      <c r="F148" s="766"/>
      <c r="G148" s="766">
        <f>sum(G115:G132)</f>
        <v>0</v>
      </c>
      <c r="H148" s="765"/>
      <c r="I148" s="766">
        <f t="shared" ref="I148:M148" si="32">sum(H128:I146)</f>
        <v>13000</v>
      </c>
      <c r="J148" s="766">
        <f t="shared" si="32"/>
        <v>13000</v>
      </c>
      <c r="K148" s="766">
        <f t="shared" si="32"/>
        <v>0</v>
      </c>
      <c r="L148" s="766">
        <f t="shared" si="32"/>
        <v>0</v>
      </c>
      <c r="M148" s="766">
        <f t="shared" si="32"/>
        <v>3350</v>
      </c>
      <c r="N148" s="766">
        <f t="shared" ref="N148:O148" si="33">SUM(N127:N146)</f>
        <v>14550</v>
      </c>
      <c r="O148" s="766">
        <f t="shared" si="33"/>
        <v>-6000</v>
      </c>
      <c r="P148" s="766">
        <f>sum(P127:P147)</f>
        <v>-8550</v>
      </c>
      <c r="Q148" s="767">
        <f>sum(N148:P148)</f>
        <v>0</v>
      </c>
      <c r="R148" s="768"/>
      <c r="T148" s="358"/>
    </row>
    <row r="149" ht="14.25" customHeight="1">
      <c r="B149" s="354" t="s">
        <v>179</v>
      </c>
      <c r="C149" s="576">
        <v>45659.0</v>
      </c>
      <c r="D149" s="299"/>
      <c r="E149" s="294"/>
      <c r="F149" s="88"/>
      <c r="G149" s="88"/>
      <c r="H149" s="81"/>
      <c r="I149" s="294"/>
      <c r="J149" s="88"/>
      <c r="K149" s="90">
        <f t="shared" ref="K149:K165" si="34">E149-I149-L149-M149-N149-J149+F149</f>
        <v>0</v>
      </c>
      <c r="L149" s="88"/>
      <c r="M149" s="88"/>
      <c r="N149" s="295"/>
      <c r="O149" s="294"/>
      <c r="P149" s="294"/>
      <c r="Q149" s="88">
        <f t="shared" ref="Q149:Q165" si="35">Q148+N149+O149+P149</f>
        <v>0</v>
      </c>
      <c r="R149" s="294"/>
    </row>
    <row r="150" ht="14.25" customHeight="1">
      <c r="B150" s="64"/>
      <c r="C150" s="573">
        <v>45692.0</v>
      </c>
      <c r="D150" s="241">
        <v>2.0</v>
      </c>
      <c r="E150" s="237">
        <v>3800.0</v>
      </c>
      <c r="F150" s="237">
        <v>900.0</v>
      </c>
      <c r="G150" s="67"/>
      <c r="H150" s="68"/>
      <c r="I150" s="237">
        <v>1950.0</v>
      </c>
      <c r="J150" s="67"/>
      <c r="K150" s="69">
        <f t="shared" si="34"/>
        <v>0</v>
      </c>
      <c r="L150" s="67"/>
      <c r="M150" s="67"/>
      <c r="N150" s="749">
        <v>2750.0</v>
      </c>
      <c r="O150" s="750">
        <v>-500.0</v>
      </c>
      <c r="P150" s="750"/>
      <c r="Q150" s="747">
        <f t="shared" si="35"/>
        <v>2250</v>
      </c>
      <c r="R150" s="750"/>
    </row>
    <row r="151" ht="14.25" customHeight="1">
      <c r="B151" s="81"/>
      <c r="C151" s="576">
        <v>45753.0</v>
      </c>
      <c r="D151" s="299"/>
      <c r="E151" s="294"/>
      <c r="F151" s="88"/>
      <c r="G151" s="88"/>
      <c r="H151" s="81"/>
      <c r="I151" s="294"/>
      <c r="J151" s="88"/>
      <c r="K151" s="90">
        <f t="shared" si="34"/>
        <v>0</v>
      </c>
      <c r="L151" s="88"/>
      <c r="M151" s="88"/>
      <c r="N151" s="295"/>
      <c r="O151" s="294">
        <v>-500.0</v>
      </c>
      <c r="P151" s="294"/>
      <c r="Q151" s="88">
        <f t="shared" si="35"/>
        <v>1750</v>
      </c>
      <c r="R151" s="294" t="s">
        <v>142</v>
      </c>
    </row>
    <row r="152" ht="14.25" customHeight="1">
      <c r="B152" s="68"/>
      <c r="C152" s="573">
        <v>45815.0</v>
      </c>
      <c r="D152" s="241">
        <v>1.0</v>
      </c>
      <c r="E152" s="237">
        <v>2300.0</v>
      </c>
      <c r="F152" s="67"/>
      <c r="G152" s="67"/>
      <c r="H152" s="68"/>
      <c r="I152" s="237">
        <v>1000.0</v>
      </c>
      <c r="J152" s="67"/>
      <c r="K152" s="69">
        <f t="shared" si="34"/>
        <v>0</v>
      </c>
      <c r="L152" s="67"/>
      <c r="M152" s="67"/>
      <c r="N152" s="749">
        <v>1300.0</v>
      </c>
      <c r="O152" s="750">
        <v>-500.0</v>
      </c>
      <c r="P152" s="750"/>
      <c r="Q152" s="747">
        <f t="shared" si="35"/>
        <v>2550</v>
      </c>
      <c r="R152" s="750"/>
    </row>
    <row r="153" ht="14.25" customHeight="1">
      <c r="B153" s="81"/>
      <c r="C153" s="576">
        <v>45849.0</v>
      </c>
      <c r="D153" s="299"/>
      <c r="E153" s="294"/>
      <c r="F153" s="88"/>
      <c r="G153" s="88"/>
      <c r="H153" s="81"/>
      <c r="I153" s="294"/>
      <c r="J153" s="88"/>
      <c r="K153" s="90">
        <f t="shared" si="34"/>
        <v>0</v>
      </c>
      <c r="L153" s="88"/>
      <c r="M153" s="88"/>
      <c r="N153" s="295"/>
      <c r="O153" s="294"/>
      <c r="P153" s="294"/>
      <c r="Q153" s="88">
        <f t="shared" si="35"/>
        <v>2550</v>
      </c>
      <c r="R153" s="294"/>
    </row>
    <row r="154" ht="14.25" customHeight="1">
      <c r="B154" s="68"/>
      <c r="C154" s="573">
        <v>45973.0</v>
      </c>
      <c r="D154" s="241">
        <v>1.0</v>
      </c>
      <c r="E154" s="237">
        <v>1700.0</v>
      </c>
      <c r="F154" s="67"/>
      <c r="G154" s="67"/>
      <c r="H154" s="68"/>
      <c r="I154" s="237">
        <v>501.0</v>
      </c>
      <c r="J154" s="67"/>
      <c r="K154" s="69">
        <f t="shared" si="34"/>
        <v>0</v>
      </c>
      <c r="L154" s="67"/>
      <c r="M154" s="67"/>
      <c r="N154" s="749">
        <v>1199.0</v>
      </c>
      <c r="O154" s="750">
        <v>-500.0</v>
      </c>
      <c r="P154" s="750"/>
      <c r="Q154" s="747">
        <f t="shared" si="35"/>
        <v>3249</v>
      </c>
      <c r="R154" s="750"/>
    </row>
    <row r="155" ht="14.25" customHeight="1">
      <c r="B155" s="68"/>
      <c r="C155" s="573">
        <v>46005.0</v>
      </c>
      <c r="D155" s="241">
        <v>2.0</v>
      </c>
      <c r="E155" s="237">
        <v>4200.0</v>
      </c>
      <c r="F155" s="67"/>
      <c r="G155" s="67"/>
      <c r="H155" s="68"/>
      <c r="I155" s="237">
        <v>1500.0</v>
      </c>
      <c r="J155" s="67"/>
      <c r="K155" s="69">
        <f t="shared" si="34"/>
        <v>0</v>
      </c>
      <c r="L155" s="67"/>
      <c r="M155" s="67"/>
      <c r="N155" s="749">
        <v>2700.0</v>
      </c>
      <c r="O155" s="750">
        <v>-500.0</v>
      </c>
      <c r="P155" s="750"/>
      <c r="Q155" s="747">
        <f t="shared" si="35"/>
        <v>5449</v>
      </c>
      <c r="R155" s="750"/>
    </row>
    <row r="156" ht="14.25" customHeight="1">
      <c r="B156" s="81"/>
      <c r="C156" s="299" t="s">
        <v>204</v>
      </c>
      <c r="D156" s="299"/>
      <c r="E156" s="294"/>
      <c r="F156" s="88"/>
      <c r="G156" s="88"/>
      <c r="H156" s="81"/>
      <c r="I156" s="294"/>
      <c r="J156" s="88"/>
      <c r="K156" s="90">
        <f t="shared" si="34"/>
        <v>0</v>
      </c>
      <c r="L156" s="88"/>
      <c r="M156" s="88"/>
      <c r="N156" s="295"/>
      <c r="O156" s="294"/>
      <c r="P156" s="294"/>
      <c r="Q156" s="88">
        <f t="shared" si="35"/>
        <v>5449</v>
      </c>
      <c r="R156" s="294"/>
    </row>
    <row r="157" ht="14.25" customHeight="1">
      <c r="B157" s="68"/>
      <c r="C157" s="241" t="s">
        <v>33</v>
      </c>
      <c r="D157" s="241">
        <v>1.0</v>
      </c>
      <c r="E157" s="237">
        <v>1500.0</v>
      </c>
      <c r="F157" s="67"/>
      <c r="G157" s="67"/>
      <c r="H157" s="68"/>
      <c r="I157" s="237">
        <v>500.0</v>
      </c>
      <c r="J157" s="67"/>
      <c r="K157" s="69">
        <f t="shared" si="34"/>
        <v>0</v>
      </c>
      <c r="L157" s="67"/>
      <c r="M157" s="67"/>
      <c r="N157" s="749">
        <v>1000.0</v>
      </c>
      <c r="O157" s="750">
        <v>-500.0</v>
      </c>
      <c r="P157" s="750"/>
      <c r="Q157" s="747">
        <f t="shared" si="35"/>
        <v>5949</v>
      </c>
      <c r="R157" s="750"/>
    </row>
    <row r="158" ht="14.25" customHeight="1">
      <c r="B158" s="81"/>
      <c r="C158" s="299" t="s">
        <v>34</v>
      </c>
      <c r="D158" s="299"/>
      <c r="E158" s="294"/>
      <c r="F158" s="88"/>
      <c r="G158" s="88"/>
      <c r="H158" s="81"/>
      <c r="I158" s="294"/>
      <c r="J158" s="88"/>
      <c r="K158" s="90">
        <f t="shared" si="34"/>
        <v>0</v>
      </c>
      <c r="L158" s="88"/>
      <c r="M158" s="88"/>
      <c r="N158" s="295"/>
      <c r="O158" s="294"/>
      <c r="P158" s="294"/>
      <c r="Q158" s="88">
        <f t="shared" si="35"/>
        <v>5949</v>
      </c>
      <c r="R158" s="294"/>
    </row>
    <row r="159" ht="14.25" customHeight="1">
      <c r="B159" s="68"/>
      <c r="C159" s="241" t="s">
        <v>69</v>
      </c>
      <c r="D159" s="241">
        <v>1.0</v>
      </c>
      <c r="E159" s="237">
        <v>2500.0</v>
      </c>
      <c r="F159" s="67"/>
      <c r="G159" s="67"/>
      <c r="H159" s="68"/>
      <c r="I159" s="237">
        <v>1000.0</v>
      </c>
      <c r="J159" s="67"/>
      <c r="K159" s="69">
        <f t="shared" si="34"/>
        <v>0</v>
      </c>
      <c r="L159" s="67"/>
      <c r="M159" s="67"/>
      <c r="N159" s="749">
        <v>1500.0</v>
      </c>
      <c r="O159" s="750">
        <v>-500.0</v>
      </c>
      <c r="P159" s="750"/>
      <c r="Q159" s="747">
        <f t="shared" si="35"/>
        <v>6949</v>
      </c>
      <c r="R159" s="750"/>
    </row>
    <row r="160" ht="14.25" customHeight="1">
      <c r="B160" s="68"/>
      <c r="C160" s="241" t="s">
        <v>78</v>
      </c>
      <c r="D160" s="241">
        <v>2.0</v>
      </c>
      <c r="E160" s="237">
        <f>2000+1400</f>
        <v>3400</v>
      </c>
      <c r="F160" s="67"/>
      <c r="G160" s="67"/>
      <c r="H160" s="68"/>
      <c r="I160" s="237">
        <v>1000.0</v>
      </c>
      <c r="J160" s="67"/>
      <c r="K160" s="69">
        <f t="shared" si="34"/>
        <v>0</v>
      </c>
      <c r="L160" s="67"/>
      <c r="M160" s="67"/>
      <c r="N160" s="749">
        <v>2400.0</v>
      </c>
      <c r="O160" s="750">
        <v>-500.0</v>
      </c>
      <c r="P160" s="750"/>
      <c r="Q160" s="747">
        <f t="shared" si="35"/>
        <v>8849</v>
      </c>
      <c r="R160" s="750"/>
    </row>
    <row r="161" ht="14.25" customHeight="1">
      <c r="B161" s="81"/>
      <c r="C161" s="299" t="s">
        <v>185</v>
      </c>
      <c r="D161" s="299"/>
      <c r="E161" s="294"/>
      <c r="F161" s="88"/>
      <c r="G161" s="88"/>
      <c r="H161" s="81"/>
      <c r="I161" s="294"/>
      <c r="J161" s="88"/>
      <c r="K161" s="90">
        <f t="shared" si="34"/>
        <v>0</v>
      </c>
      <c r="L161" s="88"/>
      <c r="M161" s="88"/>
      <c r="N161" s="295"/>
      <c r="O161" s="294"/>
      <c r="P161" s="294"/>
      <c r="Q161" s="88">
        <f t="shared" si="35"/>
        <v>8849</v>
      </c>
      <c r="R161" s="294"/>
    </row>
    <row r="162" ht="14.25" customHeight="1">
      <c r="B162" s="210"/>
      <c r="C162" s="284" t="s">
        <v>72</v>
      </c>
      <c r="D162" s="284">
        <v>1.0</v>
      </c>
      <c r="E162" s="282">
        <v>2500.0</v>
      </c>
      <c r="F162" s="176"/>
      <c r="G162" s="176"/>
      <c r="H162" s="210"/>
      <c r="I162" s="282">
        <v>1000.0</v>
      </c>
      <c r="J162" s="176"/>
      <c r="K162" s="69">
        <f t="shared" si="34"/>
        <v>0</v>
      </c>
      <c r="L162" s="176"/>
      <c r="M162" s="176"/>
      <c r="N162" s="792">
        <v>1500.0</v>
      </c>
      <c r="O162" s="780">
        <v>-500.0</v>
      </c>
      <c r="P162" s="780"/>
      <c r="Q162" s="747">
        <f t="shared" si="35"/>
        <v>9849</v>
      </c>
      <c r="R162" s="780"/>
    </row>
    <row r="163" ht="14.25" customHeight="1">
      <c r="B163" s="802"/>
      <c r="C163" s="308" t="s">
        <v>88</v>
      </c>
      <c r="D163" s="308"/>
      <c r="E163" s="309"/>
      <c r="F163" s="194"/>
      <c r="G163" s="194"/>
      <c r="H163" s="802"/>
      <c r="I163" s="309"/>
      <c r="J163" s="194"/>
      <c r="K163" s="90">
        <f t="shared" si="34"/>
        <v>0</v>
      </c>
      <c r="L163" s="194"/>
      <c r="M163" s="194"/>
      <c r="N163" s="804"/>
      <c r="O163" s="309"/>
      <c r="P163" s="309"/>
      <c r="Q163" s="88">
        <f t="shared" si="35"/>
        <v>9849</v>
      </c>
      <c r="R163" s="309"/>
    </row>
    <row r="164" ht="14.25" customHeight="1">
      <c r="B164" s="210"/>
      <c r="C164" s="301"/>
      <c r="D164" s="284"/>
      <c r="E164" s="282"/>
      <c r="F164" s="282"/>
      <c r="G164" s="176"/>
      <c r="H164" s="210"/>
      <c r="I164" s="282"/>
      <c r="J164" s="176"/>
      <c r="K164" s="69">
        <f t="shared" si="34"/>
        <v>0</v>
      </c>
      <c r="L164" s="176"/>
      <c r="M164" s="176"/>
      <c r="N164" s="792"/>
      <c r="O164" s="780"/>
      <c r="P164" s="780"/>
      <c r="Q164" s="747">
        <f t="shared" si="35"/>
        <v>9849</v>
      </c>
      <c r="R164" s="792" t="s">
        <v>92</v>
      </c>
    </row>
    <row r="165" ht="14.25" customHeight="1">
      <c r="B165" s="210"/>
      <c r="C165" s="301"/>
      <c r="D165" s="284"/>
      <c r="E165" s="282"/>
      <c r="F165" s="282"/>
      <c r="G165" s="176"/>
      <c r="H165" s="210"/>
      <c r="I165" s="282"/>
      <c r="J165" s="176"/>
      <c r="K165" s="69">
        <f t="shared" si="34"/>
        <v>0</v>
      </c>
      <c r="L165" s="176"/>
      <c r="M165" s="176"/>
      <c r="N165" s="792"/>
      <c r="O165" s="780"/>
      <c r="P165" s="783">
        <v>-9849.0</v>
      </c>
      <c r="Q165" s="747">
        <f t="shared" si="35"/>
        <v>0</v>
      </c>
      <c r="R165" s="792"/>
    </row>
    <row r="166" ht="14.25" customHeight="1">
      <c r="B166" s="764" t="s">
        <v>179</v>
      </c>
      <c r="C166" s="765" t="s">
        <v>66</v>
      </c>
      <c r="D166" s="765">
        <f>sum(D149:D165)</f>
        <v>11</v>
      </c>
      <c r="E166" s="766">
        <f>sum(D150:E165)</f>
        <v>21911</v>
      </c>
      <c r="F166" s="766"/>
      <c r="G166" s="766">
        <f>sum(G136:G154)</f>
        <v>0</v>
      </c>
      <c r="H166" s="765"/>
      <c r="I166" s="766">
        <f t="shared" ref="I166:M166" si="36">sum(H150:I165)</f>
        <v>8451</v>
      </c>
      <c r="J166" s="766">
        <f t="shared" si="36"/>
        <v>8451</v>
      </c>
      <c r="K166" s="766">
        <f t="shared" si="36"/>
        <v>0</v>
      </c>
      <c r="L166" s="766">
        <f t="shared" si="36"/>
        <v>0</v>
      </c>
      <c r="M166" s="766">
        <f t="shared" si="36"/>
        <v>0</v>
      </c>
      <c r="N166" s="766">
        <f t="shared" ref="N166:O166" si="37">SUM(N149:N165)</f>
        <v>14349</v>
      </c>
      <c r="O166" s="766">
        <f t="shared" si="37"/>
        <v>-4500</v>
      </c>
      <c r="P166" s="766">
        <f>sum(P149:P165)</f>
        <v>-9849</v>
      </c>
      <c r="Q166" s="767">
        <f>sum(N166:P166)</f>
        <v>0</v>
      </c>
      <c r="R166" s="818">
        <f>Q165-Q166</f>
        <v>0</v>
      </c>
    </row>
    <row r="167" ht="14.25" customHeight="1">
      <c r="B167" s="354" t="s">
        <v>186</v>
      </c>
      <c r="C167" s="576">
        <v>45661.0</v>
      </c>
      <c r="D167" s="299"/>
      <c r="E167" s="294"/>
      <c r="F167" s="88"/>
      <c r="G167" s="88"/>
      <c r="H167" s="81"/>
      <c r="I167" s="294"/>
      <c r="J167" s="88"/>
      <c r="K167" s="90">
        <f t="shared" ref="K167:K182" si="38">E167-I167-L167-M167-N167-J167+F167</f>
        <v>0</v>
      </c>
      <c r="L167" s="88"/>
      <c r="M167" s="88"/>
      <c r="N167" s="295"/>
      <c r="O167" s="294"/>
      <c r="P167" s="294"/>
      <c r="Q167" s="88">
        <f t="shared" ref="Q167:Q182" si="39">Q166+N167+O167+P167</f>
        <v>0</v>
      </c>
      <c r="R167" s="294"/>
    </row>
    <row r="168" ht="14.25" customHeight="1">
      <c r="B168" s="64"/>
      <c r="C168" s="573">
        <v>45752.0</v>
      </c>
      <c r="D168" s="241">
        <v>1.0</v>
      </c>
      <c r="E168" s="237">
        <v>2500.0</v>
      </c>
      <c r="F168" s="237"/>
      <c r="G168" s="67"/>
      <c r="H168" s="68"/>
      <c r="I168" s="237">
        <v>1000.0</v>
      </c>
      <c r="J168" s="67"/>
      <c r="K168" s="69">
        <f t="shared" si="38"/>
        <v>0</v>
      </c>
      <c r="L168" s="67"/>
      <c r="M168" s="67"/>
      <c r="N168" s="749">
        <v>1500.0</v>
      </c>
      <c r="O168" s="750">
        <v>-500.0</v>
      </c>
      <c r="P168" s="750"/>
      <c r="Q168" s="747">
        <f t="shared" si="39"/>
        <v>1000</v>
      </c>
      <c r="R168" s="750"/>
    </row>
    <row r="169" ht="14.25" customHeight="1">
      <c r="B169" s="81"/>
      <c r="C169" s="576">
        <v>45788.0</v>
      </c>
      <c r="D169" s="299"/>
      <c r="E169" s="294"/>
      <c r="F169" s="88"/>
      <c r="G169" s="88"/>
      <c r="H169" s="81"/>
      <c r="I169" s="294"/>
      <c r="J169" s="88"/>
      <c r="K169" s="90">
        <f t="shared" si="38"/>
        <v>0</v>
      </c>
      <c r="L169" s="88"/>
      <c r="M169" s="88"/>
      <c r="N169" s="295"/>
      <c r="O169" s="294"/>
      <c r="P169" s="294"/>
      <c r="Q169" s="88">
        <f t="shared" si="39"/>
        <v>1000</v>
      </c>
      <c r="R169" s="294"/>
      <c r="T169" s="174">
        <v>300.0</v>
      </c>
    </row>
    <row r="170" ht="14.25" customHeight="1">
      <c r="B170" s="68"/>
      <c r="C170" s="573">
        <v>45973.0</v>
      </c>
      <c r="D170" s="241">
        <v>1.0</v>
      </c>
      <c r="E170" s="237">
        <v>2500.0</v>
      </c>
      <c r="F170" s="67"/>
      <c r="G170" s="67"/>
      <c r="H170" s="68"/>
      <c r="I170" s="237">
        <v>1000.0</v>
      </c>
      <c r="J170" s="67"/>
      <c r="K170" s="69">
        <f t="shared" si="38"/>
        <v>0</v>
      </c>
      <c r="L170" s="67"/>
      <c r="M170" s="67"/>
      <c r="N170" s="749">
        <v>1500.0</v>
      </c>
      <c r="O170" s="750">
        <v>-500.0</v>
      </c>
      <c r="P170" s="750"/>
      <c r="Q170" s="747">
        <f t="shared" si="39"/>
        <v>2000</v>
      </c>
      <c r="R170" s="750"/>
      <c r="T170" s="206">
        <f>100*30</f>
        <v>3000</v>
      </c>
    </row>
    <row r="171" ht="14.25" customHeight="1">
      <c r="B171" s="81"/>
      <c r="C171" s="576">
        <v>46008.0</v>
      </c>
      <c r="D171" s="299"/>
      <c r="E171" s="294"/>
      <c r="F171" s="88"/>
      <c r="G171" s="88"/>
      <c r="H171" s="81"/>
      <c r="I171" s="294"/>
      <c r="J171" s="88"/>
      <c r="K171" s="90">
        <f t="shared" si="38"/>
        <v>0</v>
      </c>
      <c r="L171" s="88"/>
      <c r="M171" s="88"/>
      <c r="N171" s="295"/>
      <c r="O171" s="294"/>
      <c r="P171" s="294"/>
      <c r="Q171" s="88">
        <f t="shared" si="39"/>
        <v>2000</v>
      </c>
      <c r="R171" s="294"/>
      <c r="T171" s="206">
        <f>500*4</f>
        <v>2000</v>
      </c>
    </row>
    <row r="172" ht="14.25" customHeight="1">
      <c r="B172" s="68"/>
      <c r="C172" s="241" t="s">
        <v>56</v>
      </c>
      <c r="D172" s="241">
        <v>2.0</v>
      </c>
      <c r="E172" s="237">
        <v>4000.0</v>
      </c>
      <c r="F172" s="67"/>
      <c r="G172" s="67"/>
      <c r="H172" s="68"/>
      <c r="I172" s="237">
        <v>1500.0</v>
      </c>
      <c r="J172" s="67"/>
      <c r="K172" s="69">
        <f t="shared" si="38"/>
        <v>0</v>
      </c>
      <c r="L172" s="67"/>
      <c r="M172" s="67"/>
      <c r="N172" s="749">
        <v>2500.0</v>
      </c>
      <c r="O172" s="750">
        <v>-500.0</v>
      </c>
      <c r="P172" s="750"/>
      <c r="Q172" s="747">
        <f t="shared" si="39"/>
        <v>4000</v>
      </c>
      <c r="R172" s="750"/>
      <c r="T172" s="206">
        <f>15*500</f>
        <v>7500</v>
      </c>
    </row>
    <row r="173" ht="14.25" customHeight="1">
      <c r="B173" s="81"/>
      <c r="C173" s="299" t="s">
        <v>188</v>
      </c>
      <c r="D173" s="299"/>
      <c r="E173" s="294"/>
      <c r="F173" s="88"/>
      <c r="G173" s="88"/>
      <c r="H173" s="81"/>
      <c r="I173" s="294"/>
      <c r="J173" s="88"/>
      <c r="K173" s="90">
        <f t="shared" si="38"/>
        <v>0</v>
      </c>
      <c r="L173" s="88"/>
      <c r="M173" s="88"/>
      <c r="N173" s="295"/>
      <c r="O173" s="294"/>
      <c r="P173" s="294"/>
      <c r="Q173" s="88">
        <f t="shared" si="39"/>
        <v>4000</v>
      </c>
      <c r="R173" s="294"/>
      <c r="T173" s="174">
        <v>19000.0</v>
      </c>
    </row>
    <row r="174" ht="14.25" customHeight="1">
      <c r="B174" s="68"/>
      <c r="C174" s="241" t="s">
        <v>45</v>
      </c>
      <c r="D174" s="241">
        <v>1.0</v>
      </c>
      <c r="E174" s="237">
        <v>2500.0</v>
      </c>
      <c r="F174" s="67"/>
      <c r="G174" s="67"/>
      <c r="H174" s="68"/>
      <c r="I174" s="237">
        <v>1000.0</v>
      </c>
      <c r="J174" s="67"/>
      <c r="K174" s="69">
        <f t="shared" si="38"/>
        <v>0</v>
      </c>
      <c r="L174" s="67"/>
      <c r="M174" s="67"/>
      <c r="N174" s="749">
        <v>1500.0</v>
      </c>
      <c r="O174" s="750">
        <v>-500.0</v>
      </c>
      <c r="P174" s="750"/>
      <c r="Q174" s="747">
        <f t="shared" si="39"/>
        <v>5000</v>
      </c>
      <c r="R174" s="750"/>
      <c r="T174" s="174">
        <v>3000.0</v>
      </c>
    </row>
    <row r="175" ht="14.25" customHeight="1">
      <c r="B175" s="81"/>
      <c r="C175" s="299" t="s">
        <v>47</v>
      </c>
      <c r="D175" s="299"/>
      <c r="E175" s="294"/>
      <c r="F175" s="88"/>
      <c r="G175" s="88"/>
      <c r="H175" s="81"/>
      <c r="I175" s="294"/>
      <c r="J175" s="88"/>
      <c r="K175" s="90">
        <f t="shared" si="38"/>
        <v>0</v>
      </c>
      <c r="L175" s="88"/>
      <c r="M175" s="88"/>
      <c r="N175" s="295"/>
      <c r="O175" s="294"/>
      <c r="P175" s="294"/>
      <c r="Q175" s="88">
        <f t="shared" si="39"/>
        <v>5000</v>
      </c>
      <c r="R175" s="294"/>
      <c r="T175" s="174">
        <v>1299.0</v>
      </c>
    </row>
    <row r="176" ht="14.25" customHeight="1">
      <c r="B176" s="68"/>
      <c r="C176" s="241" t="s">
        <v>72</v>
      </c>
      <c r="D176" s="241">
        <v>1.0</v>
      </c>
      <c r="E176" s="237">
        <v>1800.0</v>
      </c>
      <c r="F176" s="67"/>
      <c r="G176" s="67"/>
      <c r="H176" s="68"/>
      <c r="I176" s="237">
        <v>500.0</v>
      </c>
      <c r="J176" s="67"/>
      <c r="K176" s="69">
        <f t="shared" si="38"/>
        <v>0</v>
      </c>
      <c r="L176" s="67"/>
      <c r="M176" s="67"/>
      <c r="N176" s="749">
        <v>1300.0</v>
      </c>
      <c r="O176" s="750">
        <v>-500.0</v>
      </c>
      <c r="P176" s="750">
        <v>400.0</v>
      </c>
      <c r="Q176" s="747">
        <f t="shared" si="39"/>
        <v>6200</v>
      </c>
      <c r="R176" s="750" t="s">
        <v>443</v>
      </c>
      <c r="T176" s="206">
        <f>SUM(T167:T175)</f>
        <v>36099</v>
      </c>
    </row>
    <row r="177" ht="14.25" customHeight="1">
      <c r="B177" s="81"/>
      <c r="C177" s="299" t="s">
        <v>88</v>
      </c>
      <c r="D177" s="299"/>
      <c r="E177" s="294"/>
      <c r="F177" s="88"/>
      <c r="G177" s="88"/>
      <c r="H177" s="81"/>
      <c r="I177" s="294"/>
      <c r="J177" s="88"/>
      <c r="K177" s="90">
        <f t="shared" si="38"/>
        <v>0</v>
      </c>
      <c r="L177" s="88"/>
      <c r="M177" s="88"/>
      <c r="N177" s="295"/>
      <c r="O177" s="294"/>
      <c r="P177" s="294"/>
      <c r="Q177" s="88">
        <f t="shared" si="39"/>
        <v>6200</v>
      </c>
      <c r="R177" s="294"/>
    </row>
    <row r="178" ht="14.25" customHeight="1">
      <c r="B178" s="68"/>
      <c r="C178" s="241" t="s">
        <v>50</v>
      </c>
      <c r="D178" s="241">
        <v>1.0</v>
      </c>
      <c r="E178" s="237">
        <v>2000.0</v>
      </c>
      <c r="F178" s="67"/>
      <c r="G178" s="67"/>
      <c r="H178" s="68"/>
      <c r="I178" s="237">
        <v>1000.0</v>
      </c>
      <c r="J178" s="67"/>
      <c r="K178" s="69">
        <f t="shared" si="38"/>
        <v>0</v>
      </c>
      <c r="L178" s="67"/>
      <c r="M178" s="67"/>
      <c r="N178" s="749">
        <v>1000.0</v>
      </c>
      <c r="O178" s="750">
        <v>-500.0</v>
      </c>
      <c r="P178" s="750"/>
      <c r="Q178" s="747">
        <f t="shared" si="39"/>
        <v>6700</v>
      </c>
      <c r="R178" s="750"/>
    </row>
    <row r="179" ht="14.25" customHeight="1">
      <c r="B179" s="68"/>
      <c r="C179" s="241" t="s">
        <v>52</v>
      </c>
      <c r="D179" s="241">
        <v>1.0</v>
      </c>
      <c r="E179" s="237">
        <v>2850.0</v>
      </c>
      <c r="F179" s="67"/>
      <c r="G179" s="67"/>
      <c r="H179" s="68"/>
      <c r="I179" s="237">
        <v>1000.0</v>
      </c>
      <c r="J179" s="67"/>
      <c r="K179" s="69">
        <f t="shared" si="38"/>
        <v>0</v>
      </c>
      <c r="L179" s="67"/>
      <c r="M179" s="67"/>
      <c r="N179" s="749">
        <v>1850.0</v>
      </c>
      <c r="O179" s="750">
        <v>-500.0</v>
      </c>
      <c r="P179" s="750"/>
      <c r="Q179" s="747">
        <f t="shared" si="39"/>
        <v>8050</v>
      </c>
      <c r="R179" s="750"/>
    </row>
    <row r="180" ht="14.25" customHeight="1">
      <c r="B180" s="210"/>
      <c r="C180" s="284"/>
      <c r="D180" s="284"/>
      <c r="E180" s="282"/>
      <c r="F180" s="176"/>
      <c r="G180" s="176"/>
      <c r="H180" s="210"/>
      <c r="I180" s="282"/>
      <c r="J180" s="176"/>
      <c r="K180" s="69">
        <f t="shared" si="38"/>
        <v>0</v>
      </c>
      <c r="L180" s="176"/>
      <c r="M180" s="176"/>
      <c r="N180" s="792"/>
      <c r="O180" s="780"/>
      <c r="P180" s="780">
        <v>-1188.06</v>
      </c>
      <c r="Q180" s="747">
        <f t="shared" si="39"/>
        <v>6861.94</v>
      </c>
      <c r="R180" s="780" t="s">
        <v>55</v>
      </c>
    </row>
    <row r="181" ht="14.25" customHeight="1">
      <c r="B181" s="210"/>
      <c r="C181" s="284"/>
      <c r="D181" s="284"/>
      <c r="E181" s="282"/>
      <c r="F181" s="176"/>
      <c r="G181" s="176"/>
      <c r="H181" s="210"/>
      <c r="I181" s="282"/>
      <c r="J181" s="176"/>
      <c r="K181" s="69">
        <f t="shared" si="38"/>
        <v>0</v>
      </c>
      <c r="L181" s="176"/>
      <c r="M181" s="176"/>
      <c r="N181" s="792"/>
      <c r="O181" s="780"/>
      <c r="P181" s="780">
        <v>-1080.0</v>
      </c>
      <c r="Q181" s="747">
        <f t="shared" si="39"/>
        <v>5781.94</v>
      </c>
      <c r="R181" s="780" t="s">
        <v>449</v>
      </c>
    </row>
    <row r="182" ht="14.25" customHeight="1">
      <c r="B182" s="210"/>
      <c r="C182" s="301"/>
      <c r="D182" s="284"/>
      <c r="E182" s="282"/>
      <c r="F182" s="282"/>
      <c r="G182" s="176"/>
      <c r="H182" s="210"/>
      <c r="I182" s="282"/>
      <c r="J182" s="176"/>
      <c r="K182" s="69">
        <f t="shared" si="38"/>
        <v>0</v>
      </c>
      <c r="L182" s="176"/>
      <c r="M182" s="176"/>
      <c r="N182" s="792"/>
      <c r="O182" s="780"/>
      <c r="P182" s="783">
        <v>-5781.94</v>
      </c>
      <c r="Q182" s="747">
        <f t="shared" si="39"/>
        <v>0</v>
      </c>
      <c r="R182" s="750"/>
    </row>
    <row r="183" ht="14.25" customHeight="1">
      <c r="B183" s="764" t="s">
        <v>186</v>
      </c>
      <c r="C183" s="765" t="s">
        <v>66</v>
      </c>
      <c r="D183" s="765">
        <f>sum(D167:D182)</f>
        <v>8</v>
      </c>
      <c r="E183" s="766">
        <f>sum(D168:E182)</f>
        <v>18158</v>
      </c>
      <c r="F183" s="766"/>
      <c r="G183" s="766">
        <f>sum(G154:G172)</f>
        <v>0</v>
      </c>
      <c r="H183" s="765"/>
      <c r="I183" s="766">
        <f t="shared" ref="I183:M183" si="40">sum(H168:I182)</f>
        <v>7000</v>
      </c>
      <c r="J183" s="766">
        <f t="shared" si="40"/>
        <v>7000</v>
      </c>
      <c r="K183" s="766">
        <f t="shared" si="40"/>
        <v>0</v>
      </c>
      <c r="L183" s="766">
        <f t="shared" si="40"/>
        <v>0</v>
      </c>
      <c r="M183" s="766">
        <f t="shared" si="40"/>
        <v>0</v>
      </c>
      <c r="N183" s="766">
        <f t="shared" ref="N183:O183" si="41">SUM(N167:N182)</f>
        <v>11150</v>
      </c>
      <c r="O183" s="766">
        <f t="shared" si="41"/>
        <v>-3500</v>
      </c>
      <c r="P183" s="766">
        <f>sum(P167:P182)</f>
        <v>-7650</v>
      </c>
      <c r="Q183" s="767">
        <f>sum(N183:P183)</f>
        <v>0</v>
      </c>
      <c r="R183" s="818">
        <f>Q182-Q183</f>
        <v>0</v>
      </c>
    </row>
    <row r="184" ht="14.25" customHeight="1">
      <c r="B184" s="64" t="s">
        <v>214</v>
      </c>
      <c r="C184" s="573">
        <v>45660.0</v>
      </c>
      <c r="D184" s="241">
        <v>2.0</v>
      </c>
      <c r="E184" s="237">
        <v>4500.0</v>
      </c>
      <c r="F184" s="237">
        <v>900.0</v>
      </c>
      <c r="G184" s="67"/>
      <c r="H184" s="68"/>
      <c r="I184" s="237">
        <v>1950.0</v>
      </c>
      <c r="J184" s="67"/>
      <c r="K184" s="69">
        <f t="shared" ref="K184:K199" si="42">E184-I184-L184-M184-N184-J184+F184</f>
        <v>0</v>
      </c>
      <c r="L184" s="67"/>
      <c r="M184" s="67"/>
      <c r="N184" s="749">
        <v>3450.0</v>
      </c>
      <c r="O184" s="750">
        <v>-500.0</v>
      </c>
      <c r="P184" s="750"/>
      <c r="Q184" s="747">
        <f t="shared" ref="Q184:Q199" si="43">Q183+N184+O184+P184</f>
        <v>2950</v>
      </c>
      <c r="R184" s="750"/>
    </row>
    <row r="185" ht="14.25" customHeight="1">
      <c r="B185" s="81"/>
      <c r="C185" s="576">
        <v>45723.0</v>
      </c>
      <c r="D185" s="299"/>
      <c r="E185" s="294"/>
      <c r="F185" s="88"/>
      <c r="G185" s="88"/>
      <c r="H185" s="81"/>
      <c r="I185" s="294"/>
      <c r="J185" s="88"/>
      <c r="K185" s="90">
        <f t="shared" si="42"/>
        <v>0</v>
      </c>
      <c r="L185" s="88"/>
      <c r="M185" s="88"/>
      <c r="N185" s="295"/>
      <c r="O185" s="294"/>
      <c r="P185" s="294"/>
      <c r="Q185" s="88">
        <f t="shared" si="43"/>
        <v>2950</v>
      </c>
      <c r="R185" s="294"/>
    </row>
    <row r="186" ht="14.25" customHeight="1">
      <c r="B186" s="64"/>
      <c r="C186" s="573">
        <v>45846.0</v>
      </c>
      <c r="D186" s="241">
        <v>1.0</v>
      </c>
      <c r="E186" s="237">
        <v>2000.0</v>
      </c>
      <c r="F186" s="237"/>
      <c r="G186" s="67"/>
      <c r="H186" s="68"/>
      <c r="I186" s="237">
        <v>1000.0</v>
      </c>
      <c r="J186" s="67"/>
      <c r="K186" s="69">
        <f t="shared" si="42"/>
        <v>0</v>
      </c>
      <c r="L186" s="67"/>
      <c r="M186" s="67"/>
      <c r="N186" s="749">
        <v>1000.0</v>
      </c>
      <c r="O186" s="750">
        <v>-500.0</v>
      </c>
      <c r="P186" s="750"/>
      <c r="Q186" s="747">
        <f t="shared" si="43"/>
        <v>3450</v>
      </c>
      <c r="R186" s="750"/>
    </row>
    <row r="187" ht="14.25" customHeight="1">
      <c r="B187" s="81"/>
      <c r="C187" s="576">
        <v>45879.0</v>
      </c>
      <c r="D187" s="299"/>
      <c r="E187" s="294"/>
      <c r="F187" s="88"/>
      <c r="G187" s="88"/>
      <c r="H187" s="81"/>
      <c r="I187" s="294"/>
      <c r="J187" s="88"/>
      <c r="K187" s="90">
        <f t="shared" si="42"/>
        <v>0</v>
      </c>
      <c r="L187" s="88"/>
      <c r="M187" s="88"/>
      <c r="N187" s="295"/>
      <c r="O187" s="294"/>
      <c r="P187" s="294"/>
      <c r="Q187" s="88">
        <f t="shared" si="43"/>
        <v>3450</v>
      </c>
      <c r="R187" s="294"/>
    </row>
    <row r="188" ht="14.25" customHeight="1">
      <c r="B188" s="68"/>
      <c r="C188" s="573">
        <v>45942.0</v>
      </c>
      <c r="D188" s="241">
        <v>2.0</v>
      </c>
      <c r="E188" s="237">
        <v>4700.0</v>
      </c>
      <c r="F188" s="67"/>
      <c r="G188" s="67"/>
      <c r="H188" s="68"/>
      <c r="I188" s="237">
        <v>1500.0</v>
      </c>
      <c r="J188" s="67"/>
      <c r="K188" s="69">
        <f t="shared" si="42"/>
        <v>0</v>
      </c>
      <c r="L188" s="67"/>
      <c r="M188" s="67"/>
      <c r="N188" s="749">
        <v>3200.0</v>
      </c>
      <c r="O188" s="750">
        <v>-500.0</v>
      </c>
      <c r="P188" s="750"/>
      <c r="Q188" s="747">
        <f t="shared" si="43"/>
        <v>6150</v>
      </c>
      <c r="R188" s="750"/>
    </row>
    <row r="189" ht="14.25" customHeight="1">
      <c r="B189" s="81"/>
      <c r="C189" s="576">
        <v>46005.0</v>
      </c>
      <c r="D189" s="299"/>
      <c r="E189" s="294"/>
      <c r="F189" s="88"/>
      <c r="G189" s="88"/>
      <c r="H189" s="81"/>
      <c r="I189" s="294"/>
      <c r="J189" s="88"/>
      <c r="K189" s="90">
        <f t="shared" si="42"/>
        <v>0</v>
      </c>
      <c r="L189" s="88"/>
      <c r="M189" s="88"/>
      <c r="N189" s="295"/>
      <c r="O189" s="294"/>
      <c r="P189" s="294"/>
      <c r="Q189" s="88">
        <f t="shared" si="43"/>
        <v>6150</v>
      </c>
      <c r="R189" s="294"/>
    </row>
    <row r="190" ht="14.25" customHeight="1">
      <c r="B190" s="68"/>
      <c r="C190" s="241" t="s">
        <v>101</v>
      </c>
      <c r="D190" s="241">
        <v>2.0</v>
      </c>
      <c r="E190" s="237">
        <v>5200.0</v>
      </c>
      <c r="F190" s="67"/>
      <c r="G190" s="67"/>
      <c r="H190" s="68"/>
      <c r="I190" s="237">
        <v>1500.0</v>
      </c>
      <c r="J190" s="67"/>
      <c r="K190" s="69">
        <f t="shared" si="42"/>
        <v>0</v>
      </c>
      <c r="L190" s="67"/>
      <c r="M190" s="67"/>
      <c r="N190" s="749">
        <v>3700.0</v>
      </c>
      <c r="O190" s="750">
        <v>-500.0</v>
      </c>
      <c r="P190" s="750"/>
      <c r="Q190" s="747">
        <f t="shared" si="43"/>
        <v>9350</v>
      </c>
      <c r="R190" s="750"/>
    </row>
    <row r="191" ht="14.25" customHeight="1">
      <c r="B191" s="81"/>
      <c r="C191" s="299" t="s">
        <v>470</v>
      </c>
      <c r="D191" s="299"/>
      <c r="E191" s="294"/>
      <c r="F191" s="88"/>
      <c r="G191" s="88"/>
      <c r="H191" s="81"/>
      <c r="I191" s="294"/>
      <c r="J191" s="88"/>
      <c r="K191" s="90">
        <f t="shared" si="42"/>
        <v>0</v>
      </c>
      <c r="L191" s="88"/>
      <c r="M191" s="88"/>
      <c r="N191" s="295"/>
      <c r="O191" s="294"/>
      <c r="P191" s="294"/>
      <c r="Q191" s="88">
        <f t="shared" si="43"/>
        <v>9350</v>
      </c>
      <c r="R191" s="294"/>
    </row>
    <row r="192" ht="14.25" customHeight="1">
      <c r="B192" s="68"/>
      <c r="C192" s="241" t="s">
        <v>78</v>
      </c>
      <c r="D192" s="241">
        <v>2.0</v>
      </c>
      <c r="E192" s="237">
        <v>4500.0</v>
      </c>
      <c r="F192" s="67"/>
      <c r="G192" s="67"/>
      <c r="H192" s="68"/>
      <c r="I192" s="237">
        <v>1500.0</v>
      </c>
      <c r="J192" s="67"/>
      <c r="K192" s="69">
        <f t="shared" si="42"/>
        <v>0</v>
      </c>
      <c r="L192" s="67"/>
      <c r="M192" s="67"/>
      <c r="N192" s="749">
        <v>3000.0</v>
      </c>
      <c r="O192" s="750">
        <v>-500.0</v>
      </c>
      <c r="P192" s="750"/>
      <c r="Q192" s="747">
        <f t="shared" si="43"/>
        <v>11850</v>
      </c>
      <c r="R192" s="750"/>
    </row>
    <row r="193" ht="14.25" customHeight="1">
      <c r="B193" s="81"/>
      <c r="C193" s="299" t="s">
        <v>185</v>
      </c>
      <c r="D193" s="299"/>
      <c r="E193" s="294"/>
      <c r="F193" s="88"/>
      <c r="G193" s="88"/>
      <c r="H193" s="81"/>
      <c r="I193" s="294"/>
      <c r="J193" s="88"/>
      <c r="K193" s="90">
        <f t="shared" si="42"/>
        <v>0</v>
      </c>
      <c r="L193" s="88"/>
      <c r="M193" s="88"/>
      <c r="N193" s="295"/>
      <c r="O193" s="294"/>
      <c r="P193" s="294"/>
      <c r="Q193" s="88">
        <f t="shared" si="43"/>
        <v>11850</v>
      </c>
      <c r="R193" s="294"/>
    </row>
    <row r="194" ht="14.25" customHeight="1">
      <c r="B194" s="68"/>
      <c r="C194" s="241" t="s">
        <v>48</v>
      </c>
      <c r="D194" s="241">
        <v>2.0</v>
      </c>
      <c r="E194" s="237">
        <v>3600.0</v>
      </c>
      <c r="F194" s="67"/>
      <c r="G194" s="67"/>
      <c r="H194" s="68"/>
      <c r="I194" s="237"/>
      <c r="J194" s="237">
        <v>1000.0</v>
      </c>
      <c r="K194" s="69">
        <f t="shared" si="42"/>
        <v>0</v>
      </c>
      <c r="L194" s="67"/>
      <c r="M194" s="67"/>
      <c r="N194" s="749">
        <v>2600.0</v>
      </c>
      <c r="O194" s="750">
        <v>-500.0</v>
      </c>
      <c r="P194" s="750"/>
      <c r="Q194" s="747">
        <f t="shared" si="43"/>
        <v>13950</v>
      </c>
      <c r="R194" s="750"/>
    </row>
    <row r="195" ht="14.25" customHeight="1">
      <c r="B195" s="68"/>
      <c r="C195" s="241" t="s">
        <v>49</v>
      </c>
      <c r="D195" s="241">
        <v>1.0</v>
      </c>
      <c r="E195" s="237">
        <v>2500.0</v>
      </c>
      <c r="F195" s="67"/>
      <c r="G195" s="67"/>
      <c r="H195" s="68"/>
      <c r="I195" s="237">
        <v>1000.0</v>
      </c>
      <c r="J195" s="67"/>
      <c r="K195" s="69">
        <f t="shared" si="42"/>
        <v>0</v>
      </c>
      <c r="L195" s="67"/>
      <c r="M195" s="67"/>
      <c r="N195" s="749">
        <v>1500.0</v>
      </c>
      <c r="O195" s="750">
        <v>-500.0</v>
      </c>
      <c r="P195" s="750"/>
      <c r="Q195" s="747">
        <f t="shared" si="43"/>
        <v>14950</v>
      </c>
      <c r="R195" s="750"/>
    </row>
    <row r="196" ht="14.25" customHeight="1">
      <c r="B196" s="81"/>
      <c r="C196" s="299" t="s">
        <v>75</v>
      </c>
      <c r="D196" s="299"/>
      <c r="E196" s="294"/>
      <c r="F196" s="88"/>
      <c r="G196" s="88"/>
      <c r="H196" s="81"/>
      <c r="I196" s="294"/>
      <c r="J196" s="88"/>
      <c r="K196" s="90">
        <f t="shared" si="42"/>
        <v>0</v>
      </c>
      <c r="L196" s="88"/>
      <c r="M196" s="88"/>
      <c r="N196" s="295"/>
      <c r="O196" s="294"/>
      <c r="P196" s="294"/>
      <c r="Q196" s="88">
        <f t="shared" si="43"/>
        <v>14950</v>
      </c>
      <c r="R196" s="294"/>
    </row>
    <row r="197" ht="14.25" customHeight="1">
      <c r="B197" s="210"/>
      <c r="C197" s="284"/>
      <c r="D197" s="284"/>
      <c r="E197" s="282"/>
      <c r="F197" s="176"/>
      <c r="G197" s="176"/>
      <c r="H197" s="210"/>
      <c r="I197" s="282"/>
      <c r="J197" s="176"/>
      <c r="K197" s="69">
        <f t="shared" si="42"/>
        <v>0</v>
      </c>
      <c r="L197" s="176"/>
      <c r="M197" s="176"/>
      <c r="N197" s="792"/>
      <c r="O197" s="780"/>
      <c r="P197" s="780">
        <v>-2244.99</v>
      </c>
      <c r="Q197" s="747">
        <f t="shared" si="43"/>
        <v>12705.01</v>
      </c>
      <c r="R197" s="780" t="s">
        <v>55</v>
      </c>
    </row>
    <row r="198" ht="14.25" customHeight="1">
      <c r="B198" s="210"/>
      <c r="C198" s="284"/>
      <c r="D198" s="284"/>
      <c r="E198" s="282"/>
      <c r="F198" s="176"/>
      <c r="G198" s="176"/>
      <c r="H198" s="210"/>
      <c r="I198" s="282"/>
      <c r="J198" s="176"/>
      <c r="K198" s="69">
        <f t="shared" si="42"/>
        <v>0</v>
      </c>
      <c r="L198" s="176"/>
      <c r="M198" s="176"/>
      <c r="N198" s="792"/>
      <c r="O198" s="780"/>
      <c r="P198" s="780">
        <v>-1054.04</v>
      </c>
      <c r="Q198" s="747">
        <f t="shared" si="43"/>
        <v>11650.97</v>
      </c>
      <c r="R198" s="780" t="s">
        <v>449</v>
      </c>
    </row>
    <row r="199" ht="14.25" customHeight="1">
      <c r="B199" s="210"/>
      <c r="C199" s="301"/>
      <c r="D199" s="284"/>
      <c r="E199" s="282"/>
      <c r="F199" s="282"/>
      <c r="G199" s="176"/>
      <c r="H199" s="210"/>
      <c r="I199" s="282"/>
      <c r="J199" s="176"/>
      <c r="K199" s="69">
        <f t="shared" si="42"/>
        <v>0</v>
      </c>
      <c r="L199" s="176"/>
      <c r="M199" s="176"/>
      <c r="N199" s="792"/>
      <c r="O199" s="780"/>
      <c r="P199" s="783">
        <v>-11650.97</v>
      </c>
      <c r="Q199" s="747">
        <f t="shared" si="43"/>
        <v>0</v>
      </c>
      <c r="R199" s="792"/>
    </row>
    <row r="200" ht="14.25" customHeight="1">
      <c r="B200" s="764" t="s">
        <v>197</v>
      </c>
      <c r="C200" s="765" t="s">
        <v>66</v>
      </c>
      <c r="D200" s="765">
        <f>sum(D184:D199)</f>
        <v>12</v>
      </c>
      <c r="E200" s="766">
        <f t="shared" ref="E200:P200" si="44">sum(D184:E199)</f>
        <v>27012</v>
      </c>
      <c r="F200" s="766">
        <f t="shared" si="44"/>
        <v>27900</v>
      </c>
      <c r="G200" s="766">
        <f t="shared" si="44"/>
        <v>900</v>
      </c>
      <c r="H200" s="766">
        <f t="shared" si="44"/>
        <v>0</v>
      </c>
      <c r="I200" s="766">
        <f t="shared" si="44"/>
        <v>8450</v>
      </c>
      <c r="J200" s="766">
        <f t="shared" si="44"/>
        <v>9450</v>
      </c>
      <c r="K200" s="766">
        <f t="shared" si="44"/>
        <v>1000</v>
      </c>
      <c r="L200" s="766">
        <f t="shared" si="44"/>
        <v>0</v>
      </c>
      <c r="M200" s="766">
        <f t="shared" si="44"/>
        <v>0</v>
      </c>
      <c r="N200" s="766">
        <f t="shared" si="44"/>
        <v>18450</v>
      </c>
      <c r="O200" s="766">
        <f t="shared" si="44"/>
        <v>14950</v>
      </c>
      <c r="P200" s="766">
        <f t="shared" si="44"/>
        <v>-18450</v>
      </c>
      <c r="Q200" s="767">
        <f>Q199</f>
        <v>0</v>
      </c>
      <c r="R200" s="818">
        <f>Q199-Q200</f>
        <v>0</v>
      </c>
    </row>
    <row r="201" ht="14.25" customHeight="1">
      <c r="B201" s="235" t="s">
        <v>40</v>
      </c>
      <c r="C201" s="573">
        <v>45663.0</v>
      </c>
      <c r="D201" s="241">
        <v>5.0</v>
      </c>
      <c r="E201" s="237">
        <v>13400.0</v>
      </c>
      <c r="F201" s="237"/>
      <c r="G201" s="67"/>
      <c r="H201" s="68"/>
      <c r="I201" s="237">
        <v>3000.0</v>
      </c>
      <c r="J201" s="67"/>
      <c r="K201" s="69">
        <f t="shared" ref="K201:K221" si="45">E201-I201-L201-M201-N201-J201+F201</f>
        <v>0</v>
      </c>
      <c r="L201" s="67"/>
      <c r="M201" s="67"/>
      <c r="N201" s="749">
        <v>10400.0</v>
      </c>
      <c r="O201" s="750">
        <v>-500.0</v>
      </c>
      <c r="P201" s="750"/>
      <c r="Q201" s="747">
        <f t="shared" ref="Q201:Q221" si="46">Q200+N201+O201+P201</f>
        <v>9900</v>
      </c>
      <c r="R201" s="750"/>
    </row>
    <row r="202" ht="14.25" customHeight="1">
      <c r="B202" s="64"/>
      <c r="C202" s="573">
        <v>45815.0</v>
      </c>
      <c r="D202" s="241">
        <v>1.0</v>
      </c>
      <c r="E202" s="237">
        <v>3150.0</v>
      </c>
      <c r="F202" s="237">
        <v>450.0</v>
      </c>
      <c r="G202" s="67"/>
      <c r="H202" s="68"/>
      <c r="I202" s="237">
        <v>1450.0</v>
      </c>
      <c r="J202" s="67"/>
      <c r="K202" s="69">
        <f t="shared" si="45"/>
        <v>0</v>
      </c>
      <c r="L202" s="67"/>
      <c r="M202" s="67"/>
      <c r="N202" s="749">
        <v>2150.0</v>
      </c>
      <c r="O202" s="750">
        <v>-500.0</v>
      </c>
      <c r="P202" s="750"/>
      <c r="Q202" s="747">
        <f t="shared" si="46"/>
        <v>11550</v>
      </c>
      <c r="R202" s="750"/>
    </row>
    <row r="203" ht="14.25" customHeight="1">
      <c r="B203" s="64"/>
      <c r="C203" s="573">
        <v>45846.0</v>
      </c>
      <c r="D203" s="241">
        <v>1.0</v>
      </c>
      <c r="E203" s="237">
        <v>2500.0</v>
      </c>
      <c r="F203" s="237"/>
      <c r="G203" s="67"/>
      <c r="H203" s="68"/>
      <c r="I203" s="237">
        <v>1000.0</v>
      </c>
      <c r="J203" s="67"/>
      <c r="K203" s="69">
        <f t="shared" si="45"/>
        <v>0</v>
      </c>
      <c r="L203" s="67"/>
      <c r="M203" s="67"/>
      <c r="N203" s="749">
        <v>1500.0</v>
      </c>
      <c r="O203" s="750">
        <v>-500.0</v>
      </c>
      <c r="P203" s="750"/>
      <c r="Q203" s="747">
        <f t="shared" si="46"/>
        <v>12550</v>
      </c>
      <c r="R203" s="750"/>
    </row>
    <row r="204" ht="14.25" customHeight="1">
      <c r="B204" s="81"/>
      <c r="C204" s="576">
        <v>45881.0</v>
      </c>
      <c r="D204" s="299"/>
      <c r="E204" s="294"/>
      <c r="F204" s="88"/>
      <c r="G204" s="88"/>
      <c r="H204" s="81"/>
      <c r="I204" s="294"/>
      <c r="J204" s="88"/>
      <c r="K204" s="90">
        <f t="shared" si="45"/>
        <v>0</v>
      </c>
      <c r="L204" s="88"/>
      <c r="M204" s="88"/>
      <c r="N204" s="295"/>
      <c r="O204" s="294"/>
      <c r="P204" s="294"/>
      <c r="Q204" s="88">
        <f t="shared" si="46"/>
        <v>12550</v>
      </c>
      <c r="R204" s="294"/>
    </row>
    <row r="205" ht="14.25" customHeight="1">
      <c r="B205" s="68"/>
      <c r="C205" s="573">
        <v>46004.0</v>
      </c>
      <c r="D205" s="241">
        <v>1.0</v>
      </c>
      <c r="E205" s="237">
        <v>2000.0</v>
      </c>
      <c r="F205" s="237">
        <v>350.0</v>
      </c>
      <c r="G205" s="67"/>
      <c r="H205" s="68"/>
      <c r="I205" s="237">
        <v>1175.0</v>
      </c>
      <c r="J205" s="67"/>
      <c r="K205" s="69">
        <f t="shared" si="45"/>
        <v>0</v>
      </c>
      <c r="L205" s="67"/>
      <c r="M205" s="67"/>
      <c r="N205" s="749">
        <v>1175.0</v>
      </c>
      <c r="O205" s="750">
        <v>-500.0</v>
      </c>
      <c r="P205" s="750"/>
      <c r="Q205" s="747">
        <f t="shared" si="46"/>
        <v>13225</v>
      </c>
      <c r="R205" s="750"/>
    </row>
    <row r="206" ht="14.25" customHeight="1">
      <c r="B206" s="64"/>
      <c r="C206" s="241" t="s">
        <v>46</v>
      </c>
      <c r="D206" s="241">
        <v>1.0</v>
      </c>
      <c r="E206" s="237">
        <v>2500.0</v>
      </c>
      <c r="F206" s="237"/>
      <c r="G206" s="67"/>
      <c r="H206" s="68"/>
      <c r="I206" s="237">
        <v>1000.0</v>
      </c>
      <c r="J206" s="67"/>
      <c r="K206" s="69">
        <f t="shared" si="45"/>
        <v>0</v>
      </c>
      <c r="L206" s="67"/>
      <c r="M206" s="237">
        <v>1500.0</v>
      </c>
      <c r="N206" s="749"/>
      <c r="O206" s="750">
        <v>-500.0</v>
      </c>
      <c r="P206" s="750"/>
      <c r="Q206" s="747">
        <f t="shared" si="46"/>
        <v>12725</v>
      </c>
      <c r="R206" s="750"/>
    </row>
    <row r="207" ht="14.25" customHeight="1">
      <c r="B207" s="81"/>
      <c r="C207" s="299" t="s">
        <v>29</v>
      </c>
      <c r="D207" s="299"/>
      <c r="E207" s="294"/>
      <c r="F207" s="88"/>
      <c r="G207" s="88"/>
      <c r="H207" s="81"/>
      <c r="I207" s="294"/>
      <c r="J207" s="88"/>
      <c r="K207" s="90">
        <f t="shared" si="45"/>
        <v>0</v>
      </c>
      <c r="L207" s="88"/>
      <c r="M207" s="88"/>
      <c r="N207" s="295"/>
      <c r="O207" s="294"/>
      <c r="P207" s="294"/>
      <c r="Q207" s="88">
        <f t="shared" si="46"/>
        <v>12725</v>
      </c>
      <c r="R207" s="294"/>
    </row>
    <row r="208" ht="14.25" customHeight="1">
      <c r="B208" s="68"/>
      <c r="C208" s="241" t="s">
        <v>30</v>
      </c>
      <c r="D208" s="241">
        <v>1.0</v>
      </c>
      <c r="E208" s="237">
        <v>1700.0</v>
      </c>
      <c r="F208" s="67"/>
      <c r="G208" s="67"/>
      <c r="H208" s="68"/>
      <c r="I208" s="237">
        <v>700.0</v>
      </c>
      <c r="J208" s="67"/>
      <c r="K208" s="69">
        <f t="shared" si="45"/>
        <v>0</v>
      </c>
      <c r="L208" s="67"/>
      <c r="M208" s="67"/>
      <c r="N208" s="749">
        <v>1000.0</v>
      </c>
      <c r="O208" s="750">
        <v>-500.0</v>
      </c>
      <c r="P208" s="750"/>
      <c r="Q208" s="747">
        <f t="shared" si="46"/>
        <v>13225</v>
      </c>
      <c r="R208" s="750"/>
    </row>
    <row r="209" ht="14.25" customHeight="1">
      <c r="B209" s="81"/>
      <c r="C209" s="299" t="s">
        <v>102</v>
      </c>
      <c r="D209" s="299"/>
      <c r="E209" s="294"/>
      <c r="F209" s="88"/>
      <c r="G209" s="88"/>
      <c r="H209" s="81"/>
      <c r="I209" s="294"/>
      <c r="J209" s="88"/>
      <c r="K209" s="90">
        <f t="shared" si="45"/>
        <v>0</v>
      </c>
      <c r="L209" s="88"/>
      <c r="M209" s="88"/>
      <c r="N209" s="295"/>
      <c r="O209" s="294"/>
      <c r="P209" s="294"/>
      <c r="Q209" s="88">
        <f t="shared" si="46"/>
        <v>13225</v>
      </c>
      <c r="R209" s="294"/>
    </row>
    <row r="210" ht="14.25" customHeight="1">
      <c r="B210" s="68"/>
      <c r="C210" s="241" t="s">
        <v>120</v>
      </c>
      <c r="D210" s="241">
        <v>2.0</v>
      </c>
      <c r="E210" s="237">
        <v>4000.0</v>
      </c>
      <c r="F210" s="67"/>
      <c r="G210" s="67"/>
      <c r="H210" s="68"/>
      <c r="I210" s="237">
        <v>1500.0</v>
      </c>
      <c r="J210" s="237"/>
      <c r="K210" s="69">
        <f t="shared" si="45"/>
        <v>0</v>
      </c>
      <c r="L210" s="67"/>
      <c r="M210" s="67"/>
      <c r="N210" s="749">
        <v>2500.0</v>
      </c>
      <c r="O210" s="750">
        <v>-500.0</v>
      </c>
      <c r="P210" s="750"/>
      <c r="Q210" s="747">
        <f t="shared" si="46"/>
        <v>15225</v>
      </c>
      <c r="R210" s="750"/>
    </row>
    <row r="211" ht="14.25" customHeight="1">
      <c r="B211" s="68"/>
      <c r="C211" s="241" t="s">
        <v>69</v>
      </c>
      <c r="D211" s="241">
        <v>1.0</v>
      </c>
      <c r="E211" s="237">
        <v>3400.0</v>
      </c>
      <c r="F211" s="67"/>
      <c r="G211" s="67"/>
      <c r="H211" s="68"/>
      <c r="I211" s="237">
        <v>1000.0</v>
      </c>
      <c r="J211" s="237"/>
      <c r="K211" s="69">
        <f t="shared" si="45"/>
        <v>0</v>
      </c>
      <c r="L211" s="67"/>
      <c r="M211" s="67"/>
      <c r="N211" s="749">
        <v>2400.0</v>
      </c>
      <c r="O211" s="750">
        <v>-500.0</v>
      </c>
      <c r="P211" s="750"/>
      <c r="Q211" s="747">
        <f t="shared" si="46"/>
        <v>17125</v>
      </c>
      <c r="R211" s="750"/>
    </row>
    <row r="212" ht="14.25" customHeight="1">
      <c r="B212" s="68"/>
      <c r="C212" s="241" t="s">
        <v>68</v>
      </c>
      <c r="D212" s="241">
        <v>1.0</v>
      </c>
      <c r="E212" s="237">
        <v>2000.0</v>
      </c>
      <c r="F212" s="67"/>
      <c r="G212" s="67"/>
      <c r="H212" s="68"/>
      <c r="I212" s="237">
        <v>1000.0</v>
      </c>
      <c r="J212" s="237"/>
      <c r="K212" s="69">
        <f t="shared" si="45"/>
        <v>0</v>
      </c>
      <c r="L212" s="67"/>
      <c r="M212" s="67"/>
      <c r="N212" s="749">
        <v>1000.0</v>
      </c>
      <c r="O212" s="750">
        <v>-500.0</v>
      </c>
      <c r="P212" s="750"/>
      <c r="Q212" s="747">
        <f t="shared" si="46"/>
        <v>17625</v>
      </c>
      <c r="R212" s="750"/>
    </row>
    <row r="213" ht="14.25" customHeight="1">
      <c r="B213" s="68"/>
      <c r="C213" s="241" t="s">
        <v>37</v>
      </c>
      <c r="D213" s="241">
        <v>1.0</v>
      </c>
      <c r="E213" s="237">
        <v>2200.0</v>
      </c>
      <c r="F213" s="237">
        <v>400.0</v>
      </c>
      <c r="G213" s="67"/>
      <c r="H213" s="68"/>
      <c r="I213" s="237">
        <v>1000.0</v>
      </c>
      <c r="J213" s="67"/>
      <c r="K213" s="69">
        <f t="shared" si="45"/>
        <v>0</v>
      </c>
      <c r="L213" s="67"/>
      <c r="M213" s="67"/>
      <c r="N213" s="749">
        <v>1600.0</v>
      </c>
      <c r="O213" s="750">
        <v>-500.0</v>
      </c>
      <c r="P213" s="750"/>
      <c r="Q213" s="747">
        <f t="shared" si="46"/>
        <v>18725</v>
      </c>
      <c r="R213" s="750"/>
    </row>
    <row r="214" ht="14.25" customHeight="1">
      <c r="B214" s="68"/>
      <c r="C214" s="241" t="s">
        <v>108</v>
      </c>
      <c r="D214" s="241">
        <v>2.0</v>
      </c>
      <c r="E214" s="237">
        <v>5100.0</v>
      </c>
      <c r="F214" s="67"/>
      <c r="G214" s="67"/>
      <c r="H214" s="68"/>
      <c r="I214" s="237">
        <v>2000.0</v>
      </c>
      <c r="J214" s="237"/>
      <c r="K214" s="69">
        <f t="shared" si="45"/>
        <v>0</v>
      </c>
      <c r="L214" s="67"/>
      <c r="M214" s="67"/>
      <c r="N214" s="749">
        <v>3100.0</v>
      </c>
      <c r="O214" s="750">
        <v>-500.0</v>
      </c>
      <c r="P214" s="750"/>
      <c r="Q214" s="747">
        <f t="shared" si="46"/>
        <v>21325</v>
      </c>
      <c r="R214" s="750"/>
    </row>
    <row r="215" ht="14.25" customHeight="1">
      <c r="B215" s="68"/>
      <c r="C215" s="241" t="s">
        <v>201</v>
      </c>
      <c r="D215" s="241">
        <v>3.0</v>
      </c>
      <c r="E215" s="237">
        <v>10700.0</v>
      </c>
      <c r="F215" s="67"/>
      <c r="G215" s="67"/>
      <c r="H215" s="68"/>
      <c r="I215" s="237">
        <v>1500.0</v>
      </c>
      <c r="J215" s="67"/>
      <c r="K215" s="69">
        <f t="shared" si="45"/>
        <v>0</v>
      </c>
      <c r="L215" s="67"/>
      <c r="M215" s="237"/>
      <c r="N215" s="749">
        <v>9200.0</v>
      </c>
      <c r="O215" s="750">
        <v>-500.0</v>
      </c>
      <c r="P215" s="750"/>
      <c r="Q215" s="747">
        <f t="shared" si="46"/>
        <v>30025</v>
      </c>
      <c r="R215" s="750"/>
    </row>
    <row r="216" ht="14.25" customHeight="1">
      <c r="B216" s="68"/>
      <c r="C216" s="241" t="s">
        <v>73</v>
      </c>
      <c r="D216" s="241">
        <v>1.0</v>
      </c>
      <c r="E216" s="237">
        <v>2500.0</v>
      </c>
      <c r="F216" s="67"/>
      <c r="G216" s="67"/>
      <c r="H216" s="68"/>
      <c r="I216" s="237">
        <v>1000.0</v>
      </c>
      <c r="J216" s="237"/>
      <c r="K216" s="69">
        <f t="shared" si="45"/>
        <v>0</v>
      </c>
      <c r="L216" s="67"/>
      <c r="M216" s="67"/>
      <c r="N216" s="749">
        <v>1500.0</v>
      </c>
      <c r="O216" s="750">
        <v>-500.0</v>
      </c>
      <c r="P216" s="750"/>
      <c r="Q216" s="747">
        <f t="shared" si="46"/>
        <v>31025</v>
      </c>
      <c r="R216" s="750"/>
    </row>
    <row r="217" ht="14.25" customHeight="1">
      <c r="B217" s="68"/>
      <c r="C217" s="241" t="s">
        <v>49</v>
      </c>
      <c r="D217" s="241">
        <v>1.0</v>
      </c>
      <c r="E217" s="237">
        <v>2500.0</v>
      </c>
      <c r="F217" s="67"/>
      <c r="G217" s="67"/>
      <c r="H217" s="68"/>
      <c r="I217" s="237">
        <v>1000.0</v>
      </c>
      <c r="J217" s="67"/>
      <c r="K217" s="69">
        <f t="shared" si="45"/>
        <v>0</v>
      </c>
      <c r="L217" s="67"/>
      <c r="M217" s="67"/>
      <c r="N217" s="749">
        <v>1500.0</v>
      </c>
      <c r="O217" s="750">
        <v>-500.0</v>
      </c>
      <c r="P217" s="750"/>
      <c r="Q217" s="747">
        <f t="shared" si="46"/>
        <v>32025</v>
      </c>
      <c r="R217" s="750"/>
    </row>
    <row r="218" ht="14.25" customHeight="1">
      <c r="B218" s="68"/>
      <c r="C218" s="241" t="s">
        <v>75</v>
      </c>
      <c r="D218" s="241">
        <v>2.0</v>
      </c>
      <c r="E218" s="237">
        <v>7249.22</v>
      </c>
      <c r="F218" s="67"/>
      <c r="G218" s="67"/>
      <c r="H218" s="248" t="s">
        <v>42</v>
      </c>
      <c r="I218" s="237"/>
      <c r="J218" s="237"/>
      <c r="K218" s="69">
        <f t="shared" si="45"/>
        <v>0</v>
      </c>
      <c r="L218" s="237">
        <v>7249.22</v>
      </c>
      <c r="M218" s="67"/>
      <c r="N218" s="749"/>
      <c r="O218" s="750">
        <v>-500.0</v>
      </c>
      <c r="P218" s="750"/>
      <c r="Q218" s="747">
        <f t="shared" si="46"/>
        <v>31525</v>
      </c>
      <c r="R218" s="750"/>
    </row>
    <row r="219" ht="14.25" customHeight="1">
      <c r="B219" s="68"/>
      <c r="C219" s="241"/>
      <c r="D219" s="241"/>
      <c r="E219" s="237"/>
      <c r="F219" s="67"/>
      <c r="G219" s="67"/>
      <c r="H219" s="68"/>
      <c r="I219" s="237"/>
      <c r="J219" s="237"/>
      <c r="K219" s="69">
        <f t="shared" si="45"/>
        <v>0</v>
      </c>
      <c r="L219" s="67"/>
      <c r="M219" s="67"/>
      <c r="N219" s="749"/>
      <c r="O219" s="750"/>
      <c r="P219" s="750"/>
      <c r="Q219" s="747">
        <f t="shared" si="46"/>
        <v>31525</v>
      </c>
      <c r="R219" s="750"/>
    </row>
    <row r="220" ht="14.25" customHeight="1">
      <c r="B220" s="210"/>
      <c r="C220" s="284"/>
      <c r="D220" s="284"/>
      <c r="E220" s="282"/>
      <c r="F220" s="176"/>
      <c r="G220" s="176"/>
      <c r="H220" s="210"/>
      <c r="I220" s="282"/>
      <c r="J220" s="176"/>
      <c r="K220" s="69">
        <f t="shared" si="45"/>
        <v>0</v>
      </c>
      <c r="L220" s="176"/>
      <c r="M220" s="176"/>
      <c r="N220" s="792"/>
      <c r="O220" s="780"/>
      <c r="P220" s="780">
        <v>-1371.8</v>
      </c>
      <c r="Q220" s="747">
        <f t="shared" si="46"/>
        <v>30153.2</v>
      </c>
      <c r="R220" s="780" t="s">
        <v>449</v>
      </c>
    </row>
    <row r="221" ht="14.25" customHeight="1">
      <c r="B221" s="210"/>
      <c r="C221" s="301"/>
      <c r="D221" s="284"/>
      <c r="E221" s="282"/>
      <c r="F221" s="282"/>
      <c r="G221" s="176"/>
      <c r="H221" s="210"/>
      <c r="I221" s="282"/>
      <c r="J221" s="176"/>
      <c r="K221" s="69">
        <f t="shared" si="45"/>
        <v>0</v>
      </c>
      <c r="L221" s="176"/>
      <c r="M221" s="176"/>
      <c r="N221" s="792"/>
      <c r="O221" s="780"/>
      <c r="P221" s="783">
        <v>-30153.2</v>
      </c>
      <c r="Q221" s="747">
        <f t="shared" si="46"/>
        <v>0</v>
      </c>
      <c r="R221" s="792"/>
    </row>
    <row r="222" ht="14.25" customHeight="1">
      <c r="B222" s="764" t="s">
        <v>40</v>
      </c>
      <c r="C222" s="765" t="s">
        <v>66</v>
      </c>
      <c r="D222" s="765">
        <f>sum(D201:D221)</f>
        <v>24</v>
      </c>
      <c r="E222" s="766">
        <f t="shared" ref="E222:P222" si="47">sum(D201:E221)</f>
        <v>64923.22</v>
      </c>
      <c r="F222" s="766">
        <f t="shared" si="47"/>
        <v>66099.22</v>
      </c>
      <c r="G222" s="766">
        <f t="shared" si="47"/>
        <v>1200</v>
      </c>
      <c r="H222" s="766">
        <f t="shared" si="47"/>
        <v>0</v>
      </c>
      <c r="I222" s="766">
        <f t="shared" si="47"/>
        <v>18325</v>
      </c>
      <c r="J222" s="766">
        <f t="shared" si="47"/>
        <v>18325</v>
      </c>
      <c r="K222" s="766">
        <f t="shared" si="47"/>
        <v>0</v>
      </c>
      <c r="L222" s="766">
        <f t="shared" si="47"/>
        <v>7249.22</v>
      </c>
      <c r="M222" s="766">
        <f t="shared" si="47"/>
        <v>8749.22</v>
      </c>
      <c r="N222" s="766">
        <f t="shared" si="47"/>
        <v>40525</v>
      </c>
      <c r="O222" s="766">
        <f t="shared" si="47"/>
        <v>31525</v>
      </c>
      <c r="P222" s="766">
        <f t="shared" si="47"/>
        <v>-39025</v>
      </c>
      <c r="Q222" s="767">
        <f>Q221</f>
        <v>0</v>
      </c>
      <c r="R222" s="818">
        <f>Q221-Q222</f>
        <v>0</v>
      </c>
    </row>
    <row r="223" ht="14.25" customHeight="1">
      <c r="B223" s="235" t="s">
        <v>96</v>
      </c>
      <c r="C223" s="573">
        <v>46024.0</v>
      </c>
      <c r="D223" s="241">
        <v>1.0</v>
      </c>
      <c r="E223" s="237">
        <v>2500.0</v>
      </c>
      <c r="F223" s="237"/>
      <c r="G223" s="67"/>
      <c r="H223" s="68"/>
      <c r="I223" s="237">
        <v>1000.0</v>
      </c>
      <c r="J223" s="67"/>
      <c r="K223" s="69">
        <f t="shared" ref="K223:K243" si="48">E223-I223-L223-M223-N223-J223+F223</f>
        <v>0</v>
      </c>
      <c r="L223" s="67"/>
      <c r="M223" s="67"/>
      <c r="N223" s="749">
        <v>1500.0</v>
      </c>
      <c r="O223" s="750">
        <v>-500.0</v>
      </c>
      <c r="P223" s="750"/>
      <c r="Q223" s="747">
        <f t="shared" ref="Q223:Q243" si="49">Q222+N223+O223+P223</f>
        <v>1000</v>
      </c>
      <c r="R223" s="750"/>
    </row>
    <row r="224" ht="14.25" customHeight="1">
      <c r="B224" s="64"/>
      <c r="C224" s="573">
        <v>46056.0</v>
      </c>
      <c r="D224" s="241">
        <v>1.0</v>
      </c>
      <c r="E224" s="237">
        <v>2200.0</v>
      </c>
      <c r="F224" s="237"/>
      <c r="G224" s="67"/>
      <c r="H224" s="68"/>
      <c r="I224" s="237">
        <v>1000.0</v>
      </c>
      <c r="J224" s="67"/>
      <c r="K224" s="69">
        <f t="shared" si="48"/>
        <v>0</v>
      </c>
      <c r="L224" s="67"/>
      <c r="M224" s="67"/>
      <c r="N224" s="749">
        <v>1200.0</v>
      </c>
      <c r="O224" s="750">
        <v>-500.0</v>
      </c>
      <c r="P224" s="750"/>
      <c r="Q224" s="747">
        <f t="shared" si="49"/>
        <v>1700</v>
      </c>
      <c r="R224" s="750"/>
    </row>
    <row r="225" ht="14.25" customHeight="1">
      <c r="B225" s="64"/>
      <c r="C225" s="573">
        <v>46085.0</v>
      </c>
      <c r="D225" s="241">
        <v>1.0</v>
      </c>
      <c r="E225" s="237">
        <v>2500.0</v>
      </c>
      <c r="F225" s="237"/>
      <c r="G225" s="67"/>
      <c r="H225" s="68"/>
      <c r="I225" s="237">
        <v>1000.0</v>
      </c>
      <c r="J225" s="67"/>
      <c r="K225" s="69">
        <f t="shared" si="48"/>
        <v>0</v>
      </c>
      <c r="L225" s="67"/>
      <c r="M225" s="67"/>
      <c r="N225" s="749">
        <v>1500.0</v>
      </c>
      <c r="O225" s="750">
        <v>-500.0</v>
      </c>
      <c r="P225" s="750"/>
      <c r="Q225" s="747">
        <f t="shared" si="49"/>
        <v>2700</v>
      </c>
      <c r="R225" s="750"/>
    </row>
    <row r="226" ht="14.25" customHeight="1">
      <c r="B226" s="81"/>
      <c r="C226" s="576">
        <v>46117.0</v>
      </c>
      <c r="D226" s="299"/>
      <c r="E226" s="294"/>
      <c r="F226" s="88"/>
      <c r="G226" s="88"/>
      <c r="H226" s="81"/>
      <c r="I226" s="294"/>
      <c r="J226" s="88"/>
      <c r="K226" s="90">
        <f t="shared" si="48"/>
        <v>0</v>
      </c>
      <c r="L226" s="88"/>
      <c r="M226" s="88"/>
      <c r="N226" s="295"/>
      <c r="O226" s="294"/>
      <c r="P226" s="294"/>
      <c r="Q226" s="88">
        <f t="shared" si="49"/>
        <v>2700</v>
      </c>
      <c r="R226" s="294"/>
    </row>
    <row r="227" ht="14.25" customHeight="1">
      <c r="B227" s="68"/>
      <c r="C227" s="573">
        <v>46148.0</v>
      </c>
      <c r="D227" s="241">
        <v>1.0</v>
      </c>
      <c r="E227" s="237">
        <v>2000.0</v>
      </c>
      <c r="F227" s="237"/>
      <c r="G227" s="67"/>
      <c r="H227" s="68"/>
      <c r="I227" s="237">
        <v>1000.0</v>
      </c>
      <c r="J227" s="67"/>
      <c r="K227" s="69">
        <f t="shared" si="48"/>
        <v>0</v>
      </c>
      <c r="L227" s="67"/>
      <c r="M227" s="237">
        <v>1000.0</v>
      </c>
      <c r="N227" s="749"/>
      <c r="O227" s="750">
        <v>-500.0</v>
      </c>
      <c r="P227" s="750"/>
      <c r="Q227" s="747">
        <f t="shared" si="49"/>
        <v>2200</v>
      </c>
      <c r="R227" s="750"/>
    </row>
    <row r="228" ht="14.25" customHeight="1">
      <c r="B228" s="81"/>
      <c r="C228" s="576">
        <v>46183.0</v>
      </c>
      <c r="D228" s="299"/>
      <c r="E228" s="294"/>
      <c r="F228" s="88"/>
      <c r="G228" s="88"/>
      <c r="H228" s="81"/>
      <c r="I228" s="294"/>
      <c r="J228" s="88"/>
      <c r="K228" s="90">
        <f t="shared" si="48"/>
        <v>0</v>
      </c>
      <c r="L228" s="88"/>
      <c r="M228" s="88"/>
      <c r="N228" s="295"/>
      <c r="O228" s="294"/>
      <c r="P228" s="294"/>
      <c r="Q228" s="88">
        <f t="shared" si="49"/>
        <v>2200</v>
      </c>
      <c r="R228" s="294"/>
    </row>
    <row r="229" ht="14.25" customHeight="1">
      <c r="B229" s="68"/>
      <c r="C229" s="573">
        <v>46306.0</v>
      </c>
      <c r="D229" s="241">
        <v>1.0</v>
      </c>
      <c r="E229" s="237">
        <v>2500.0</v>
      </c>
      <c r="F229" s="67"/>
      <c r="G229" s="67"/>
      <c r="H229" s="68"/>
      <c r="I229" s="237">
        <v>1000.0</v>
      </c>
      <c r="J229" s="67"/>
      <c r="K229" s="69">
        <f t="shared" si="48"/>
        <v>0</v>
      </c>
      <c r="L229" s="67"/>
      <c r="M229" s="237"/>
      <c r="N229" s="749">
        <v>1500.0</v>
      </c>
      <c r="O229" s="750">
        <v>-500.0</v>
      </c>
      <c r="P229" s="750"/>
      <c r="Q229" s="747">
        <f t="shared" si="49"/>
        <v>3200</v>
      </c>
      <c r="R229" s="750"/>
    </row>
    <row r="230" ht="14.25" customHeight="1">
      <c r="B230" s="81"/>
      <c r="C230" s="576">
        <v>46338.0</v>
      </c>
      <c r="D230" s="299"/>
      <c r="E230" s="294"/>
      <c r="F230" s="88"/>
      <c r="G230" s="88"/>
      <c r="H230" s="81"/>
      <c r="I230" s="294"/>
      <c r="J230" s="88"/>
      <c r="K230" s="90">
        <f t="shared" si="48"/>
        <v>0</v>
      </c>
      <c r="L230" s="88"/>
      <c r="M230" s="88"/>
      <c r="N230" s="295"/>
      <c r="O230" s="294"/>
      <c r="P230" s="294"/>
      <c r="Q230" s="88">
        <f t="shared" si="49"/>
        <v>3200</v>
      </c>
      <c r="R230" s="294"/>
    </row>
    <row r="231" ht="14.25" customHeight="1">
      <c r="B231" s="68"/>
      <c r="C231" s="573">
        <v>46370.0</v>
      </c>
      <c r="D231" s="241">
        <v>2.0</v>
      </c>
      <c r="E231" s="237"/>
      <c r="F231" s="67"/>
      <c r="G231" s="237" t="s">
        <v>42</v>
      </c>
      <c r="H231" s="68"/>
      <c r="I231" s="237"/>
      <c r="J231" s="237"/>
      <c r="K231" s="69">
        <f t="shared" si="48"/>
        <v>0</v>
      </c>
      <c r="L231" s="67"/>
      <c r="M231" s="67"/>
      <c r="N231" s="749"/>
      <c r="O231" s="750">
        <v>-500.0</v>
      </c>
      <c r="P231" s="750"/>
      <c r="Q231" s="747">
        <f t="shared" si="49"/>
        <v>2700</v>
      </c>
      <c r="R231" s="750"/>
    </row>
    <row r="232" ht="14.25" customHeight="1">
      <c r="B232" s="68"/>
      <c r="C232" s="241" t="s">
        <v>29</v>
      </c>
      <c r="D232" s="241">
        <v>1.0</v>
      </c>
      <c r="E232" s="237">
        <v>2000.0</v>
      </c>
      <c r="F232" s="67"/>
      <c r="G232" s="67"/>
      <c r="H232" s="68"/>
      <c r="I232" s="237">
        <v>1000.0</v>
      </c>
      <c r="J232" s="237"/>
      <c r="K232" s="69">
        <f t="shared" si="48"/>
        <v>0</v>
      </c>
      <c r="L232" s="67"/>
      <c r="M232" s="67"/>
      <c r="N232" s="749">
        <v>1000.0</v>
      </c>
      <c r="O232" s="750">
        <v>-500.0</v>
      </c>
      <c r="P232" s="750"/>
      <c r="Q232" s="747">
        <f t="shared" si="49"/>
        <v>3200</v>
      </c>
      <c r="R232" s="750"/>
    </row>
    <row r="233" ht="14.25" customHeight="1">
      <c r="B233" s="81"/>
      <c r="C233" s="299" t="s">
        <v>54</v>
      </c>
      <c r="D233" s="299"/>
      <c r="E233" s="294"/>
      <c r="F233" s="88"/>
      <c r="G233" s="88"/>
      <c r="H233" s="81"/>
      <c r="I233" s="294"/>
      <c r="J233" s="88"/>
      <c r="K233" s="90">
        <f t="shared" si="48"/>
        <v>0</v>
      </c>
      <c r="L233" s="88"/>
      <c r="M233" s="88"/>
      <c r="N233" s="295"/>
      <c r="O233" s="294"/>
      <c r="P233" s="294"/>
      <c r="Q233" s="88">
        <f t="shared" si="49"/>
        <v>3200</v>
      </c>
      <c r="R233" s="294"/>
    </row>
    <row r="234" ht="14.25" customHeight="1">
      <c r="B234" s="68"/>
      <c r="C234" s="241" t="s">
        <v>32</v>
      </c>
      <c r="D234" s="241">
        <v>1.0</v>
      </c>
      <c r="E234" s="237">
        <v>3000.0</v>
      </c>
      <c r="F234" s="67"/>
      <c r="G234" s="67"/>
      <c r="H234" s="68"/>
      <c r="I234" s="237">
        <v>1000.0</v>
      </c>
      <c r="J234" s="237"/>
      <c r="K234" s="69">
        <f t="shared" si="48"/>
        <v>0</v>
      </c>
      <c r="L234" s="67"/>
      <c r="M234" s="67"/>
      <c r="N234" s="749">
        <v>2000.0</v>
      </c>
      <c r="O234" s="750">
        <v>-500.0</v>
      </c>
      <c r="P234" s="750"/>
      <c r="Q234" s="747">
        <f t="shared" si="49"/>
        <v>4700</v>
      </c>
      <c r="R234" s="750"/>
    </row>
    <row r="235" ht="14.25" customHeight="1">
      <c r="B235" s="68"/>
      <c r="C235" s="241" t="s">
        <v>33</v>
      </c>
      <c r="D235" s="241">
        <v>1.0</v>
      </c>
      <c r="E235" s="237">
        <v>2300.0</v>
      </c>
      <c r="F235" s="237">
        <v>450.0</v>
      </c>
      <c r="G235" s="67"/>
      <c r="H235" s="68"/>
      <c r="I235" s="237">
        <v>1225.0</v>
      </c>
      <c r="J235" s="67"/>
      <c r="K235" s="69">
        <f t="shared" si="48"/>
        <v>0</v>
      </c>
      <c r="L235" s="67"/>
      <c r="M235" s="67"/>
      <c r="N235" s="749">
        <v>1525.0</v>
      </c>
      <c r="O235" s="750">
        <v>-500.0</v>
      </c>
      <c r="P235" s="750"/>
      <c r="Q235" s="747">
        <f t="shared" si="49"/>
        <v>5725</v>
      </c>
      <c r="R235" s="750"/>
    </row>
    <row r="236" ht="14.25" customHeight="1">
      <c r="B236" s="81"/>
      <c r="C236" s="299" t="s">
        <v>249</v>
      </c>
      <c r="D236" s="299"/>
      <c r="E236" s="294"/>
      <c r="F236" s="88"/>
      <c r="G236" s="88"/>
      <c r="H236" s="81"/>
      <c r="I236" s="294"/>
      <c r="J236" s="88"/>
      <c r="K236" s="90">
        <f t="shared" si="48"/>
        <v>0</v>
      </c>
      <c r="L236" s="88"/>
      <c r="M236" s="88"/>
      <c r="N236" s="295"/>
      <c r="O236" s="294"/>
      <c r="P236" s="294"/>
      <c r="Q236" s="88">
        <f t="shared" si="49"/>
        <v>5725</v>
      </c>
      <c r="R236" s="294"/>
    </row>
    <row r="237" ht="14.25" customHeight="1">
      <c r="B237" s="68"/>
      <c r="C237" s="241" t="s">
        <v>44</v>
      </c>
      <c r="D237" s="241">
        <v>1.0</v>
      </c>
      <c r="E237" s="237">
        <v>3150.0</v>
      </c>
      <c r="F237" s="67"/>
      <c r="G237" s="67"/>
      <c r="H237" s="68"/>
      <c r="I237" s="237">
        <v>1000.0</v>
      </c>
      <c r="J237" s="67"/>
      <c r="K237" s="69">
        <f t="shared" si="48"/>
        <v>0</v>
      </c>
      <c r="L237" s="67"/>
      <c r="M237" s="237"/>
      <c r="N237" s="749">
        <v>2150.0</v>
      </c>
      <c r="O237" s="750">
        <v>-500.0</v>
      </c>
      <c r="P237" s="750"/>
      <c r="Q237" s="747">
        <f t="shared" si="49"/>
        <v>7375</v>
      </c>
      <c r="R237" s="750"/>
    </row>
    <row r="238" ht="14.25" customHeight="1">
      <c r="B238" s="81"/>
      <c r="C238" s="299" t="s">
        <v>201</v>
      </c>
      <c r="D238" s="299"/>
      <c r="E238" s="294"/>
      <c r="F238" s="88"/>
      <c r="G238" s="88"/>
      <c r="H238" s="81"/>
      <c r="I238" s="294"/>
      <c r="J238" s="88"/>
      <c r="K238" s="90">
        <f t="shared" si="48"/>
        <v>0</v>
      </c>
      <c r="L238" s="88"/>
      <c r="M238" s="88"/>
      <c r="N238" s="295"/>
      <c r="O238" s="294"/>
      <c r="P238" s="294"/>
      <c r="Q238" s="88">
        <f t="shared" si="49"/>
        <v>7375</v>
      </c>
      <c r="R238" s="294"/>
    </row>
    <row r="239" ht="14.25" customHeight="1">
      <c r="B239" s="68"/>
      <c r="C239" s="241" t="s">
        <v>73</v>
      </c>
      <c r="D239" s="241">
        <v>1.0</v>
      </c>
      <c r="E239" s="237">
        <v>2000.0</v>
      </c>
      <c r="F239" s="67"/>
      <c r="G239" s="67"/>
      <c r="H239" s="68"/>
      <c r="I239" s="237">
        <v>1000.0</v>
      </c>
      <c r="J239" s="67"/>
      <c r="K239" s="69">
        <f t="shared" si="48"/>
        <v>0</v>
      </c>
      <c r="L239" s="67"/>
      <c r="M239" s="67"/>
      <c r="N239" s="749">
        <v>1000.0</v>
      </c>
      <c r="O239" s="750">
        <v>-500.0</v>
      </c>
      <c r="P239" s="750"/>
      <c r="Q239" s="747">
        <f t="shared" si="49"/>
        <v>7875</v>
      </c>
      <c r="R239" s="750"/>
    </row>
    <row r="240" ht="14.25" customHeight="1">
      <c r="B240" s="81"/>
      <c r="C240" s="299" t="s">
        <v>137</v>
      </c>
      <c r="D240" s="299"/>
      <c r="E240" s="294"/>
      <c r="F240" s="88"/>
      <c r="G240" s="88"/>
      <c r="H240" s="81"/>
      <c r="I240" s="294"/>
      <c r="J240" s="88"/>
      <c r="K240" s="90">
        <f t="shared" si="48"/>
        <v>0</v>
      </c>
      <c r="L240" s="88"/>
      <c r="M240" s="88"/>
      <c r="N240" s="295"/>
      <c r="O240" s="294"/>
      <c r="P240" s="294"/>
      <c r="Q240" s="88">
        <f t="shared" si="49"/>
        <v>7875</v>
      </c>
      <c r="R240" s="294"/>
    </row>
    <row r="241" ht="14.25" customHeight="1">
      <c r="B241" s="68"/>
      <c r="C241" s="241" t="s">
        <v>52</v>
      </c>
      <c r="D241" s="241">
        <v>1.0</v>
      </c>
      <c r="E241" s="237">
        <v>2850.0</v>
      </c>
      <c r="F241" s="67"/>
      <c r="G241" s="67"/>
      <c r="H241" s="68"/>
      <c r="I241" s="237">
        <v>1000.0</v>
      </c>
      <c r="J241" s="237"/>
      <c r="K241" s="69">
        <f t="shared" si="48"/>
        <v>0</v>
      </c>
      <c r="L241" s="67"/>
      <c r="M241" s="67"/>
      <c r="N241" s="749">
        <v>1850.0</v>
      </c>
      <c r="O241" s="750">
        <v>-500.0</v>
      </c>
      <c r="P241" s="750"/>
      <c r="Q241" s="747">
        <f t="shared" si="49"/>
        <v>9225</v>
      </c>
      <c r="R241" s="750"/>
    </row>
    <row r="242" ht="14.25" customHeight="1">
      <c r="B242" s="210"/>
      <c r="C242" s="284"/>
      <c r="D242" s="284"/>
      <c r="E242" s="282"/>
      <c r="F242" s="176"/>
      <c r="G242" s="176"/>
      <c r="H242" s="210"/>
      <c r="I242" s="282"/>
      <c r="J242" s="176"/>
      <c r="K242" s="69">
        <f t="shared" si="48"/>
        <v>0</v>
      </c>
      <c r="L242" s="176"/>
      <c r="M242" s="176"/>
      <c r="N242" s="792"/>
      <c r="O242" s="780"/>
      <c r="P242" s="780">
        <v>-1885.07</v>
      </c>
      <c r="Q242" s="747">
        <f t="shared" si="49"/>
        <v>7339.93</v>
      </c>
      <c r="R242" s="780" t="s">
        <v>449</v>
      </c>
    </row>
    <row r="243" ht="14.25" customHeight="1">
      <c r="B243" s="210"/>
      <c r="C243" s="301"/>
      <c r="D243" s="284"/>
      <c r="E243" s="282"/>
      <c r="F243" s="282"/>
      <c r="G243" s="176"/>
      <c r="H243" s="210"/>
      <c r="I243" s="282"/>
      <c r="J243" s="176"/>
      <c r="K243" s="69">
        <f t="shared" si="48"/>
        <v>0</v>
      </c>
      <c r="L243" s="176"/>
      <c r="M243" s="176"/>
      <c r="N243" s="792"/>
      <c r="O243" s="780"/>
      <c r="P243" s="783">
        <v>-7339.93</v>
      </c>
      <c r="Q243" s="747">
        <f t="shared" si="49"/>
        <v>0</v>
      </c>
      <c r="R243" s="792" t="s">
        <v>55</v>
      </c>
    </row>
    <row r="244" ht="14.25" customHeight="1">
      <c r="B244" s="764" t="s">
        <v>96</v>
      </c>
      <c r="C244" s="765" t="s">
        <v>66</v>
      </c>
      <c r="D244" s="765">
        <f>sum(D223:D243)</f>
        <v>13</v>
      </c>
      <c r="E244" s="766">
        <f t="shared" ref="E244:P244" si="50">sum(D223:E243)</f>
        <v>27013</v>
      </c>
      <c r="F244" s="766">
        <f t="shared" si="50"/>
        <v>27450</v>
      </c>
      <c r="G244" s="766">
        <f t="shared" si="50"/>
        <v>450</v>
      </c>
      <c r="H244" s="766">
        <f t="shared" si="50"/>
        <v>0</v>
      </c>
      <c r="I244" s="766">
        <f t="shared" si="50"/>
        <v>11225</v>
      </c>
      <c r="J244" s="766">
        <f t="shared" si="50"/>
        <v>11225</v>
      </c>
      <c r="K244" s="766">
        <f t="shared" si="50"/>
        <v>0</v>
      </c>
      <c r="L244" s="766">
        <f t="shared" si="50"/>
        <v>0</v>
      </c>
      <c r="M244" s="766">
        <f t="shared" si="50"/>
        <v>1000</v>
      </c>
      <c r="N244" s="766">
        <f t="shared" si="50"/>
        <v>16225</v>
      </c>
      <c r="O244" s="766">
        <f t="shared" si="50"/>
        <v>9225</v>
      </c>
      <c r="P244" s="766">
        <f t="shared" si="50"/>
        <v>-15225</v>
      </c>
      <c r="Q244" s="767">
        <f>Q243</f>
        <v>0</v>
      </c>
      <c r="R244" s="818">
        <f>Q243-Q244</f>
        <v>0</v>
      </c>
    </row>
    <row r="245" ht="14.25" customHeight="1">
      <c r="B245" s="235" t="s">
        <v>105</v>
      </c>
      <c r="C245" s="573">
        <v>46025.0</v>
      </c>
      <c r="D245" s="241">
        <v>2.0</v>
      </c>
      <c r="E245" s="237">
        <v>3000.0</v>
      </c>
      <c r="F245" s="237"/>
      <c r="G245" s="67"/>
      <c r="H245" s="68"/>
      <c r="I245" s="237">
        <v>500.0</v>
      </c>
      <c r="J245" s="67"/>
      <c r="K245" s="69">
        <f t="shared" ref="K245:K252" si="51">E245-I245-L245-M245-N245-J245+F245</f>
        <v>0</v>
      </c>
      <c r="L245" s="67"/>
      <c r="M245" s="237">
        <v>1500.0</v>
      </c>
      <c r="N245" s="749">
        <v>1000.0</v>
      </c>
      <c r="O245" s="750">
        <v>-500.0</v>
      </c>
      <c r="P245" s="750"/>
      <c r="Q245" s="747">
        <f t="shared" ref="Q245:Q252" si="52">Q244+N245+O245+P245</f>
        <v>500</v>
      </c>
      <c r="R245" s="750"/>
    </row>
    <row r="246" ht="14.25" customHeight="1">
      <c r="B246" s="81"/>
      <c r="C246" s="576">
        <v>46087.0</v>
      </c>
      <c r="D246" s="299"/>
      <c r="E246" s="294"/>
      <c r="F246" s="88"/>
      <c r="G246" s="88"/>
      <c r="H246" s="81"/>
      <c r="I246" s="294"/>
      <c r="J246" s="88"/>
      <c r="K246" s="90">
        <f t="shared" si="51"/>
        <v>0</v>
      </c>
      <c r="L246" s="88"/>
      <c r="M246" s="88"/>
      <c r="N246" s="295"/>
      <c r="O246" s="294"/>
      <c r="P246" s="294"/>
      <c r="Q246" s="88">
        <f t="shared" si="52"/>
        <v>500</v>
      </c>
      <c r="R246" s="294"/>
    </row>
    <row r="247" ht="14.25" customHeight="1">
      <c r="B247" s="64"/>
      <c r="C247" s="573">
        <v>46180.0</v>
      </c>
      <c r="D247" s="241">
        <v>1.0</v>
      </c>
      <c r="E247" s="237">
        <v>2000.0</v>
      </c>
      <c r="F247" s="237"/>
      <c r="G247" s="67"/>
      <c r="H247" s="68"/>
      <c r="I247" s="237">
        <v>1000.0</v>
      </c>
      <c r="J247" s="67"/>
      <c r="K247" s="69">
        <f t="shared" si="51"/>
        <v>0</v>
      </c>
      <c r="L247" s="67"/>
      <c r="M247" s="67"/>
      <c r="N247" s="749">
        <v>1000.0</v>
      </c>
      <c r="O247" s="750">
        <v>-500.0</v>
      </c>
      <c r="P247" s="750"/>
      <c r="Q247" s="747">
        <f t="shared" si="52"/>
        <v>1000</v>
      </c>
      <c r="R247" s="750"/>
    </row>
    <row r="248" ht="14.25" customHeight="1">
      <c r="B248" s="68"/>
      <c r="C248" s="573">
        <v>46211.0</v>
      </c>
      <c r="D248" s="241">
        <v>1.0</v>
      </c>
      <c r="E248" s="237">
        <v>2500.0</v>
      </c>
      <c r="F248" s="237"/>
      <c r="G248" s="67"/>
      <c r="H248" s="68"/>
      <c r="I248" s="237">
        <v>1000.0</v>
      </c>
      <c r="J248" s="67"/>
      <c r="K248" s="69">
        <f t="shared" si="51"/>
        <v>0</v>
      </c>
      <c r="L248" s="67"/>
      <c r="M248" s="237"/>
      <c r="N248" s="749">
        <v>1500.0</v>
      </c>
      <c r="O248" s="750">
        <v>-500.0</v>
      </c>
      <c r="P248" s="750"/>
      <c r="Q248" s="747">
        <f t="shared" si="52"/>
        <v>2000</v>
      </c>
      <c r="R248" s="750"/>
    </row>
    <row r="249" ht="14.25" customHeight="1">
      <c r="B249" s="81"/>
      <c r="C249" s="576">
        <v>46244.0</v>
      </c>
      <c r="D249" s="299"/>
      <c r="E249" s="294"/>
      <c r="F249" s="88"/>
      <c r="G249" s="88"/>
      <c r="H249" s="81"/>
      <c r="I249" s="294"/>
      <c r="J249" s="88"/>
      <c r="K249" s="90">
        <f t="shared" si="51"/>
        <v>0</v>
      </c>
      <c r="L249" s="88"/>
      <c r="M249" s="88"/>
      <c r="N249" s="295"/>
      <c r="O249" s="294"/>
      <c r="P249" s="294"/>
      <c r="Q249" s="88">
        <f t="shared" si="52"/>
        <v>2000</v>
      </c>
      <c r="R249" s="294"/>
    </row>
    <row r="250" ht="14.25" customHeight="1">
      <c r="B250" s="68"/>
      <c r="C250" s="573">
        <v>46307.0</v>
      </c>
      <c r="D250" s="241">
        <v>2.0</v>
      </c>
      <c r="E250" s="237">
        <v>3111.51</v>
      </c>
      <c r="F250" s="67"/>
      <c r="G250" s="67"/>
      <c r="H250" s="68"/>
      <c r="I250" s="237"/>
      <c r="J250" s="67"/>
      <c r="K250" s="69">
        <f t="shared" si="51"/>
        <v>0</v>
      </c>
      <c r="L250" s="67"/>
      <c r="M250" s="237">
        <v>3111.51</v>
      </c>
      <c r="N250" s="749"/>
      <c r="O250" s="750">
        <v>-500.0</v>
      </c>
      <c r="P250" s="750"/>
      <c r="Q250" s="747">
        <f t="shared" si="52"/>
        <v>1500</v>
      </c>
      <c r="R250" s="750" t="s">
        <v>42</v>
      </c>
    </row>
    <row r="251" ht="14.25" customHeight="1">
      <c r="B251" s="68"/>
      <c r="C251" s="573">
        <v>46369.0</v>
      </c>
      <c r="D251" s="241">
        <v>1.0</v>
      </c>
      <c r="E251" s="237">
        <v>1800.0</v>
      </c>
      <c r="F251" s="67"/>
      <c r="G251" s="67"/>
      <c r="H251" s="68"/>
      <c r="I251" s="237">
        <v>800.0</v>
      </c>
      <c r="J251" s="67"/>
      <c r="K251" s="69">
        <f t="shared" si="51"/>
        <v>0</v>
      </c>
      <c r="L251" s="67"/>
      <c r="M251" s="237"/>
      <c r="N251" s="749">
        <v>1000.0</v>
      </c>
      <c r="O251" s="750">
        <v>-500.0</v>
      </c>
      <c r="P251" s="750"/>
      <c r="Q251" s="747">
        <f t="shared" si="52"/>
        <v>2000</v>
      </c>
      <c r="R251" s="750"/>
    </row>
    <row r="252" ht="14.25" customHeight="1">
      <c r="B252" s="68"/>
      <c r="C252" s="241" t="s">
        <v>117</v>
      </c>
      <c r="D252" s="241">
        <v>2.0</v>
      </c>
      <c r="E252" s="237">
        <v>4500.0</v>
      </c>
      <c r="F252" s="67"/>
      <c r="G252" s="67"/>
      <c r="H252" s="68"/>
      <c r="I252" s="237">
        <v>1500.0</v>
      </c>
      <c r="J252" s="67"/>
      <c r="K252" s="69">
        <f t="shared" si="51"/>
        <v>0</v>
      </c>
      <c r="L252" s="67"/>
      <c r="M252" s="237"/>
      <c r="N252" s="749">
        <v>3000.0</v>
      </c>
      <c r="O252" s="750">
        <v>-500.0</v>
      </c>
      <c r="P252" s="750"/>
      <c r="Q252" s="747">
        <f t="shared" si="52"/>
        <v>4500</v>
      </c>
      <c r="R252" s="750"/>
    </row>
    <row r="253" ht="14.25" customHeight="1">
      <c r="B253" s="764" t="s">
        <v>105</v>
      </c>
      <c r="C253" s="765" t="s">
        <v>66</v>
      </c>
      <c r="D253" s="765">
        <f>sum(D245:D252)</f>
        <v>9</v>
      </c>
      <c r="E253" s="766">
        <f t="shared" ref="E253:F253" si="53">SUM(E245:E252)</f>
        <v>16911.51</v>
      </c>
      <c r="F253" s="766">
        <f t="shared" si="53"/>
        <v>0</v>
      </c>
      <c r="G253" s="766">
        <f t="shared" ref="G253:H253" si="54">sum(F245:G252)</f>
        <v>0</v>
      </c>
      <c r="H253" s="766">
        <f t="shared" si="54"/>
        <v>0</v>
      </c>
      <c r="I253" s="766">
        <f t="shared" ref="I253:J253" si="55">SUM(I245:I252)</f>
        <v>4800</v>
      </c>
      <c r="J253" s="766">
        <f t="shared" si="55"/>
        <v>0</v>
      </c>
      <c r="K253" s="766">
        <f t="shared" ref="K253:L253" si="56">sum(J245:K252)</f>
        <v>0</v>
      </c>
      <c r="L253" s="766">
        <f t="shared" si="56"/>
        <v>0</v>
      </c>
      <c r="M253" s="766">
        <f t="shared" ref="M253:P253" si="57">sum(M245:M252)</f>
        <v>4611.51</v>
      </c>
      <c r="N253" s="766">
        <f t="shared" si="57"/>
        <v>7500</v>
      </c>
      <c r="O253" s="766">
        <f t="shared" si="57"/>
        <v>-3000</v>
      </c>
      <c r="P253" s="766">
        <f t="shared" si="57"/>
        <v>0</v>
      </c>
      <c r="Q253" s="767">
        <f>Q252</f>
        <v>4500</v>
      </c>
      <c r="R253" s="768"/>
    </row>
    <row r="254" ht="14.25" customHeight="1">
      <c r="C254" s="484"/>
      <c r="D254" s="484"/>
      <c r="E254" s="485"/>
      <c r="F254" s="485"/>
      <c r="G254" s="485"/>
      <c r="I254" s="485"/>
      <c r="J254" s="485"/>
      <c r="K254" s="486"/>
      <c r="L254" s="485"/>
      <c r="M254" s="485"/>
      <c r="N254" s="485"/>
      <c r="O254" s="485"/>
    </row>
    <row r="255" ht="14.25" customHeight="1">
      <c r="C255" s="484"/>
      <c r="D255" s="484"/>
      <c r="E255" s="485"/>
      <c r="F255" s="485"/>
      <c r="G255" s="485"/>
      <c r="I255" s="485"/>
      <c r="J255" s="485"/>
      <c r="K255" s="486"/>
      <c r="L255" s="485"/>
      <c r="M255" s="485"/>
      <c r="N255" s="485"/>
      <c r="O255" s="485"/>
    </row>
    <row r="256" ht="14.25" customHeight="1">
      <c r="C256" s="484"/>
      <c r="D256" s="484"/>
      <c r="E256" s="485"/>
      <c r="F256" s="485"/>
      <c r="G256" s="485"/>
      <c r="I256" s="485"/>
      <c r="J256" s="485"/>
      <c r="K256" s="486"/>
      <c r="L256" s="485"/>
      <c r="M256" s="485"/>
      <c r="N256" s="485"/>
      <c r="O256" s="485"/>
    </row>
    <row r="257" ht="14.25" customHeight="1">
      <c r="C257" s="484"/>
      <c r="D257" s="484"/>
      <c r="E257" s="485"/>
      <c r="F257" s="485"/>
      <c r="G257" s="485"/>
      <c r="I257" s="485"/>
      <c r="J257" s="485"/>
      <c r="K257" s="486"/>
      <c r="L257" s="485"/>
      <c r="M257" s="485"/>
      <c r="N257" s="485"/>
      <c r="O257" s="485"/>
    </row>
    <row r="258" ht="14.25" customHeight="1">
      <c r="C258" s="484"/>
      <c r="D258" s="484"/>
      <c r="E258" s="485"/>
      <c r="F258" s="485"/>
      <c r="G258" s="485"/>
      <c r="I258" s="485"/>
      <c r="J258" s="485"/>
      <c r="K258" s="486"/>
      <c r="L258" s="485"/>
      <c r="M258" s="485"/>
      <c r="N258" s="485"/>
      <c r="O258" s="485"/>
    </row>
    <row r="259" ht="14.25" customHeight="1">
      <c r="C259" s="484"/>
      <c r="D259" s="484"/>
      <c r="E259" s="485"/>
      <c r="F259" s="485"/>
      <c r="G259" s="485"/>
      <c r="I259" s="485"/>
      <c r="J259" s="485"/>
      <c r="K259" s="486"/>
      <c r="L259" s="485"/>
      <c r="M259" s="485"/>
      <c r="N259" s="485"/>
      <c r="O259" s="485"/>
    </row>
    <row r="260" ht="14.25" customHeight="1">
      <c r="C260" s="484"/>
      <c r="D260" s="484"/>
      <c r="E260" s="485"/>
      <c r="F260" s="485"/>
      <c r="G260" s="485"/>
      <c r="I260" s="485"/>
      <c r="J260" s="485"/>
      <c r="K260" s="486"/>
      <c r="L260" s="485"/>
      <c r="M260" s="485"/>
      <c r="N260" s="485"/>
      <c r="O260" s="485"/>
    </row>
    <row r="261" ht="14.25" customHeight="1">
      <c r="C261" s="484"/>
      <c r="D261" s="484"/>
      <c r="E261" s="485"/>
      <c r="F261" s="485"/>
      <c r="G261" s="485"/>
      <c r="I261" s="485"/>
      <c r="J261" s="485"/>
      <c r="K261" s="486"/>
      <c r="L261" s="485"/>
      <c r="M261" s="485"/>
      <c r="N261" s="485"/>
      <c r="O261" s="485"/>
    </row>
    <row r="262" ht="14.25" customHeight="1">
      <c r="C262" s="484"/>
      <c r="D262" s="484"/>
      <c r="E262" s="485"/>
      <c r="F262" s="485"/>
      <c r="G262" s="485"/>
      <c r="I262" s="485"/>
      <c r="J262" s="485"/>
      <c r="K262" s="486"/>
      <c r="L262" s="485"/>
      <c r="M262" s="485"/>
      <c r="N262" s="485"/>
      <c r="O262" s="485"/>
    </row>
    <row r="263" ht="14.25" customHeight="1">
      <c r="C263" s="484"/>
      <c r="D263" s="484"/>
      <c r="E263" s="485"/>
      <c r="F263" s="485"/>
      <c r="G263" s="485"/>
      <c r="I263" s="485"/>
      <c r="J263" s="485"/>
      <c r="K263" s="486"/>
      <c r="L263" s="485"/>
      <c r="M263" s="485"/>
      <c r="N263" s="485"/>
      <c r="O263" s="485"/>
    </row>
    <row r="264" ht="14.25" customHeight="1">
      <c r="C264" s="484"/>
      <c r="D264" s="484"/>
      <c r="E264" s="485"/>
      <c r="F264" s="485"/>
      <c r="G264" s="485"/>
      <c r="I264" s="485"/>
      <c r="J264" s="485"/>
      <c r="K264" s="486"/>
      <c r="L264" s="485"/>
      <c r="M264" s="485"/>
      <c r="N264" s="485"/>
      <c r="O264" s="485"/>
    </row>
    <row r="265" ht="14.25" customHeight="1">
      <c r="C265" s="484"/>
      <c r="D265" s="484"/>
      <c r="E265" s="485"/>
      <c r="F265" s="485"/>
      <c r="G265" s="485"/>
      <c r="I265" s="485"/>
      <c r="J265" s="485"/>
      <c r="K265" s="486"/>
      <c r="L265" s="485"/>
      <c r="M265" s="485"/>
      <c r="N265" s="485"/>
      <c r="O265" s="485"/>
    </row>
    <row r="266" ht="14.25" customHeight="1">
      <c r="C266" s="484"/>
      <c r="D266" s="484"/>
      <c r="E266" s="485"/>
      <c r="F266" s="485"/>
      <c r="G266" s="485"/>
      <c r="I266" s="485"/>
      <c r="J266" s="485"/>
      <c r="K266" s="486"/>
      <c r="L266" s="485"/>
      <c r="M266" s="485"/>
      <c r="N266" s="485"/>
      <c r="O266" s="485"/>
    </row>
    <row r="267" ht="14.25" customHeight="1">
      <c r="C267" s="484"/>
      <c r="D267" s="484"/>
      <c r="E267" s="485"/>
      <c r="F267" s="485"/>
      <c r="G267" s="485"/>
      <c r="I267" s="485"/>
      <c r="J267" s="485"/>
      <c r="K267" s="486"/>
      <c r="L267" s="485"/>
      <c r="M267" s="485"/>
      <c r="N267" s="485"/>
      <c r="O267" s="485"/>
    </row>
    <row r="268" ht="14.25" customHeight="1">
      <c r="C268" s="484"/>
      <c r="D268" s="484"/>
      <c r="E268" s="485"/>
      <c r="F268" s="485"/>
      <c r="G268" s="485"/>
      <c r="I268" s="485"/>
      <c r="J268" s="485"/>
      <c r="K268" s="486"/>
      <c r="L268" s="485"/>
      <c r="M268" s="485"/>
      <c r="N268" s="485"/>
      <c r="O268" s="485"/>
    </row>
    <row r="269" ht="14.25" customHeight="1">
      <c r="C269" s="484"/>
      <c r="D269" s="484"/>
      <c r="E269" s="485"/>
      <c r="F269" s="485"/>
      <c r="G269" s="485"/>
      <c r="I269" s="485"/>
      <c r="J269" s="485"/>
      <c r="K269" s="486"/>
      <c r="L269" s="485"/>
      <c r="M269" s="485"/>
      <c r="N269" s="485"/>
      <c r="O269" s="485"/>
    </row>
    <row r="270" ht="14.25" customHeight="1">
      <c r="C270" s="484"/>
      <c r="D270" s="484"/>
      <c r="E270" s="485"/>
      <c r="F270" s="485"/>
      <c r="G270" s="485"/>
      <c r="I270" s="485"/>
      <c r="J270" s="485"/>
      <c r="K270" s="486"/>
      <c r="L270" s="485"/>
      <c r="M270" s="485"/>
      <c r="N270" s="485"/>
      <c r="O270" s="485"/>
    </row>
    <row r="271" ht="14.25" customHeight="1">
      <c r="C271" s="484"/>
      <c r="D271" s="484"/>
      <c r="E271" s="485"/>
      <c r="F271" s="485"/>
      <c r="G271" s="485"/>
      <c r="I271" s="485"/>
      <c r="J271" s="485"/>
      <c r="K271" s="486"/>
      <c r="L271" s="485"/>
      <c r="M271" s="485"/>
      <c r="N271" s="485"/>
      <c r="O271" s="485"/>
    </row>
    <row r="272" ht="14.25" customHeight="1">
      <c r="C272" s="484"/>
      <c r="D272" s="484"/>
      <c r="E272" s="485"/>
      <c r="F272" s="485"/>
      <c r="G272" s="485"/>
      <c r="I272" s="485"/>
      <c r="J272" s="485"/>
      <c r="K272" s="486"/>
      <c r="L272" s="485"/>
      <c r="M272" s="485"/>
      <c r="N272" s="485"/>
      <c r="O272" s="485"/>
    </row>
    <row r="273" ht="14.25" customHeight="1">
      <c r="C273" s="484"/>
      <c r="D273" s="484"/>
      <c r="E273" s="485"/>
      <c r="F273" s="485"/>
      <c r="G273" s="485"/>
      <c r="I273" s="485"/>
      <c r="J273" s="485"/>
      <c r="K273" s="486"/>
      <c r="L273" s="485"/>
      <c r="M273" s="485"/>
      <c r="N273" s="485"/>
      <c r="O273" s="485"/>
    </row>
    <row r="274" ht="14.25" customHeight="1">
      <c r="C274" s="484"/>
      <c r="D274" s="484"/>
      <c r="E274" s="485"/>
      <c r="F274" s="485"/>
      <c r="G274" s="485"/>
      <c r="I274" s="485"/>
      <c r="J274" s="485"/>
      <c r="K274" s="486"/>
      <c r="L274" s="485"/>
      <c r="M274" s="485"/>
      <c r="N274" s="485"/>
      <c r="O274" s="485"/>
    </row>
    <row r="275" ht="14.25" customHeight="1">
      <c r="C275" s="484"/>
      <c r="D275" s="484"/>
      <c r="E275" s="485"/>
      <c r="F275" s="485"/>
      <c r="G275" s="485"/>
      <c r="I275" s="485"/>
      <c r="J275" s="485"/>
      <c r="K275" s="486"/>
      <c r="L275" s="485"/>
      <c r="M275" s="485"/>
      <c r="N275" s="485"/>
      <c r="O275" s="485"/>
    </row>
    <row r="276" ht="14.25" customHeight="1">
      <c r="C276" s="484"/>
      <c r="D276" s="484"/>
      <c r="E276" s="485"/>
      <c r="F276" s="485"/>
      <c r="G276" s="485"/>
      <c r="I276" s="485"/>
      <c r="J276" s="485"/>
      <c r="K276" s="486"/>
      <c r="L276" s="485"/>
      <c r="M276" s="485"/>
      <c r="N276" s="485"/>
      <c r="O276" s="485"/>
    </row>
    <row r="277" ht="14.25" customHeight="1">
      <c r="C277" s="484"/>
      <c r="D277" s="484"/>
      <c r="E277" s="485"/>
      <c r="F277" s="485"/>
      <c r="G277" s="485"/>
      <c r="I277" s="485"/>
      <c r="J277" s="485"/>
      <c r="K277" s="486"/>
      <c r="L277" s="485"/>
      <c r="M277" s="485"/>
      <c r="N277" s="485"/>
      <c r="O277" s="485"/>
    </row>
    <row r="278" ht="14.25" customHeight="1">
      <c r="C278" s="484"/>
      <c r="D278" s="484"/>
      <c r="E278" s="485"/>
      <c r="F278" s="485"/>
      <c r="G278" s="485"/>
      <c r="I278" s="485"/>
      <c r="J278" s="485"/>
      <c r="K278" s="486"/>
      <c r="L278" s="485"/>
      <c r="M278" s="485"/>
      <c r="N278" s="485"/>
      <c r="O278" s="485"/>
    </row>
    <row r="279" ht="14.25" customHeight="1">
      <c r="C279" s="484"/>
      <c r="D279" s="484"/>
      <c r="E279" s="485"/>
      <c r="F279" s="485"/>
      <c r="G279" s="485"/>
      <c r="I279" s="485"/>
      <c r="J279" s="485"/>
      <c r="K279" s="486"/>
      <c r="L279" s="485"/>
      <c r="M279" s="485"/>
      <c r="N279" s="485"/>
      <c r="O279" s="485"/>
    </row>
    <row r="280" ht="14.25" customHeight="1">
      <c r="C280" s="484"/>
      <c r="D280" s="484"/>
      <c r="E280" s="485"/>
      <c r="F280" s="485"/>
      <c r="G280" s="485"/>
      <c r="I280" s="485"/>
      <c r="J280" s="485"/>
      <c r="K280" s="486"/>
      <c r="L280" s="485"/>
      <c r="M280" s="485"/>
      <c r="N280" s="485"/>
      <c r="O280" s="485"/>
    </row>
    <row r="281" ht="14.25" customHeight="1">
      <c r="C281" s="484"/>
      <c r="D281" s="484"/>
      <c r="E281" s="485"/>
      <c r="F281" s="485"/>
      <c r="G281" s="485"/>
      <c r="I281" s="485"/>
      <c r="J281" s="485"/>
      <c r="K281" s="486"/>
      <c r="L281" s="485"/>
      <c r="M281" s="485"/>
      <c r="N281" s="485"/>
      <c r="O281" s="485"/>
    </row>
    <row r="282" ht="14.25" customHeight="1">
      <c r="C282" s="484"/>
      <c r="D282" s="484"/>
      <c r="E282" s="485"/>
      <c r="F282" s="485"/>
      <c r="G282" s="485"/>
      <c r="I282" s="485"/>
      <c r="J282" s="485"/>
      <c r="K282" s="486"/>
      <c r="L282" s="485"/>
      <c r="M282" s="485"/>
      <c r="N282" s="485"/>
      <c r="O282" s="485"/>
    </row>
    <row r="283" ht="14.25" customHeight="1">
      <c r="C283" s="484"/>
      <c r="D283" s="484"/>
      <c r="E283" s="485"/>
      <c r="F283" s="485"/>
      <c r="G283" s="485"/>
      <c r="I283" s="485"/>
      <c r="J283" s="485"/>
      <c r="K283" s="486"/>
      <c r="L283" s="485"/>
      <c r="M283" s="485"/>
      <c r="N283" s="485"/>
      <c r="O283" s="485"/>
    </row>
    <row r="284" ht="14.25" customHeight="1">
      <c r="C284" s="484"/>
      <c r="D284" s="484"/>
      <c r="E284" s="485"/>
      <c r="F284" s="485"/>
      <c r="G284" s="485"/>
      <c r="I284" s="485"/>
      <c r="J284" s="485"/>
      <c r="K284" s="486"/>
      <c r="L284" s="485"/>
      <c r="M284" s="485"/>
      <c r="N284" s="485"/>
      <c r="O284" s="485"/>
    </row>
    <row r="285" ht="14.25" customHeight="1">
      <c r="C285" s="484"/>
      <c r="D285" s="484"/>
      <c r="E285" s="485"/>
      <c r="F285" s="485"/>
      <c r="G285" s="485"/>
      <c r="I285" s="485"/>
      <c r="J285" s="485"/>
      <c r="K285" s="486"/>
      <c r="L285" s="485"/>
      <c r="M285" s="485"/>
      <c r="N285" s="485"/>
      <c r="O285" s="485"/>
    </row>
    <row r="286" ht="14.25" customHeight="1">
      <c r="C286" s="484"/>
      <c r="D286" s="484"/>
      <c r="E286" s="485"/>
      <c r="F286" s="485"/>
      <c r="G286" s="485"/>
      <c r="I286" s="485"/>
      <c r="J286" s="485"/>
      <c r="K286" s="486"/>
      <c r="L286" s="485"/>
      <c r="M286" s="485"/>
      <c r="N286" s="485"/>
      <c r="O286" s="485"/>
    </row>
    <row r="287" ht="14.25" customHeight="1">
      <c r="C287" s="484"/>
      <c r="D287" s="484"/>
      <c r="E287" s="485"/>
      <c r="F287" s="485"/>
      <c r="G287" s="485"/>
      <c r="I287" s="485"/>
      <c r="J287" s="485"/>
      <c r="K287" s="486"/>
      <c r="L287" s="485"/>
      <c r="M287" s="485"/>
      <c r="N287" s="485"/>
      <c r="O287" s="485"/>
    </row>
    <row r="288" ht="14.25" customHeight="1">
      <c r="C288" s="484"/>
      <c r="D288" s="484"/>
      <c r="E288" s="485"/>
      <c r="F288" s="485"/>
      <c r="G288" s="485"/>
      <c r="I288" s="485"/>
      <c r="J288" s="485"/>
      <c r="K288" s="486"/>
      <c r="L288" s="485"/>
      <c r="M288" s="485"/>
      <c r="N288" s="485"/>
      <c r="O288" s="485"/>
    </row>
    <row r="289" ht="14.25" customHeight="1">
      <c r="C289" s="484"/>
      <c r="D289" s="484"/>
      <c r="E289" s="485"/>
      <c r="F289" s="485"/>
      <c r="G289" s="485"/>
      <c r="I289" s="485"/>
      <c r="J289" s="485"/>
      <c r="K289" s="486"/>
      <c r="L289" s="485"/>
      <c r="M289" s="485"/>
      <c r="N289" s="485"/>
      <c r="O289" s="485"/>
    </row>
    <row r="290" ht="14.25" customHeight="1">
      <c r="C290" s="484"/>
      <c r="D290" s="484"/>
      <c r="E290" s="485"/>
      <c r="F290" s="485"/>
      <c r="G290" s="485"/>
      <c r="I290" s="485"/>
      <c r="J290" s="485"/>
      <c r="K290" s="486"/>
      <c r="L290" s="485"/>
      <c r="M290" s="485"/>
      <c r="N290" s="485"/>
      <c r="O290" s="485"/>
    </row>
    <row r="291" ht="14.25" customHeight="1">
      <c r="C291" s="484"/>
      <c r="D291" s="484"/>
      <c r="E291" s="485"/>
      <c r="F291" s="485"/>
      <c r="G291" s="485"/>
      <c r="I291" s="485"/>
      <c r="J291" s="485"/>
      <c r="K291" s="486"/>
      <c r="L291" s="485"/>
      <c r="M291" s="485"/>
      <c r="N291" s="485"/>
      <c r="O291" s="485"/>
    </row>
    <row r="292" ht="14.25" customHeight="1">
      <c r="C292" s="484"/>
      <c r="D292" s="484"/>
      <c r="E292" s="485"/>
      <c r="F292" s="485"/>
      <c r="G292" s="485"/>
      <c r="I292" s="485"/>
      <c r="J292" s="485"/>
      <c r="K292" s="486"/>
      <c r="L292" s="485"/>
      <c r="M292" s="485"/>
      <c r="N292" s="485"/>
      <c r="O292" s="485"/>
    </row>
    <row r="293" ht="14.25" customHeight="1">
      <c r="C293" s="484"/>
      <c r="D293" s="484"/>
      <c r="E293" s="485"/>
      <c r="F293" s="485"/>
      <c r="G293" s="485"/>
      <c r="I293" s="485"/>
      <c r="J293" s="485"/>
      <c r="K293" s="486"/>
      <c r="L293" s="485"/>
      <c r="M293" s="485"/>
      <c r="N293" s="485"/>
      <c r="O293" s="485"/>
    </row>
    <row r="294" ht="14.25" customHeight="1">
      <c r="C294" s="484"/>
      <c r="D294" s="484"/>
      <c r="E294" s="485"/>
      <c r="F294" s="485"/>
      <c r="G294" s="485"/>
      <c r="I294" s="485"/>
      <c r="J294" s="485"/>
      <c r="K294" s="486"/>
      <c r="L294" s="485"/>
      <c r="M294" s="485"/>
      <c r="N294" s="485"/>
      <c r="O294" s="485"/>
    </row>
    <row r="295" ht="14.25" customHeight="1">
      <c r="C295" s="484"/>
      <c r="D295" s="484"/>
      <c r="E295" s="485"/>
      <c r="F295" s="485"/>
      <c r="G295" s="485"/>
      <c r="I295" s="485"/>
      <c r="J295" s="485"/>
      <c r="K295" s="486"/>
      <c r="L295" s="485"/>
      <c r="M295" s="485"/>
      <c r="N295" s="485"/>
      <c r="O295" s="485"/>
    </row>
    <row r="296" ht="14.25" customHeight="1">
      <c r="C296" s="484"/>
      <c r="D296" s="484"/>
      <c r="E296" s="485"/>
      <c r="F296" s="485"/>
      <c r="G296" s="485"/>
      <c r="I296" s="485"/>
      <c r="J296" s="485"/>
      <c r="K296" s="486"/>
      <c r="L296" s="485"/>
      <c r="M296" s="485"/>
      <c r="N296" s="485"/>
      <c r="O296" s="485"/>
    </row>
    <row r="297" ht="14.25" customHeight="1">
      <c r="C297" s="484"/>
      <c r="D297" s="484"/>
      <c r="E297" s="485"/>
      <c r="F297" s="485"/>
      <c r="G297" s="485"/>
      <c r="I297" s="485"/>
      <c r="J297" s="485"/>
      <c r="K297" s="486"/>
      <c r="L297" s="485"/>
      <c r="M297" s="485"/>
      <c r="N297" s="485"/>
      <c r="O297" s="485"/>
    </row>
    <row r="298" ht="14.25" customHeight="1">
      <c r="C298" s="484"/>
      <c r="D298" s="484"/>
      <c r="E298" s="485"/>
      <c r="F298" s="485"/>
      <c r="G298" s="485"/>
      <c r="I298" s="485"/>
      <c r="J298" s="485"/>
      <c r="K298" s="486"/>
      <c r="L298" s="485"/>
      <c r="M298" s="485"/>
      <c r="N298" s="485"/>
      <c r="O298" s="485"/>
    </row>
    <row r="299" ht="14.25" customHeight="1">
      <c r="C299" s="484"/>
      <c r="D299" s="484"/>
      <c r="E299" s="485"/>
      <c r="F299" s="485"/>
      <c r="G299" s="485"/>
      <c r="I299" s="485"/>
      <c r="J299" s="485"/>
      <c r="K299" s="486"/>
      <c r="L299" s="485"/>
      <c r="M299" s="485"/>
      <c r="N299" s="485"/>
      <c r="O299" s="485"/>
    </row>
    <row r="300" ht="14.25" customHeight="1">
      <c r="C300" s="484"/>
      <c r="D300" s="484"/>
      <c r="E300" s="485"/>
      <c r="F300" s="485"/>
      <c r="G300" s="485"/>
      <c r="I300" s="485"/>
      <c r="J300" s="485"/>
      <c r="K300" s="486"/>
      <c r="L300" s="485"/>
      <c r="M300" s="485"/>
      <c r="N300" s="485"/>
      <c r="O300" s="485"/>
    </row>
    <row r="301" ht="14.25" customHeight="1">
      <c r="C301" s="484"/>
      <c r="D301" s="484"/>
      <c r="E301" s="485"/>
      <c r="F301" s="485"/>
      <c r="G301" s="485"/>
      <c r="I301" s="485"/>
      <c r="J301" s="485"/>
      <c r="K301" s="486"/>
      <c r="L301" s="485"/>
      <c r="M301" s="485"/>
      <c r="N301" s="485"/>
      <c r="O301" s="485"/>
    </row>
    <row r="302" ht="14.25" customHeight="1">
      <c r="C302" s="484"/>
      <c r="D302" s="484"/>
      <c r="E302" s="485"/>
      <c r="F302" s="485"/>
      <c r="G302" s="485"/>
      <c r="I302" s="485"/>
      <c r="J302" s="485"/>
      <c r="K302" s="486"/>
      <c r="L302" s="485"/>
      <c r="M302" s="485"/>
      <c r="N302" s="485"/>
      <c r="O302" s="485"/>
    </row>
    <row r="303" ht="14.25" customHeight="1">
      <c r="C303" s="484"/>
      <c r="D303" s="484"/>
      <c r="E303" s="485"/>
      <c r="F303" s="485"/>
      <c r="G303" s="485"/>
      <c r="I303" s="485"/>
      <c r="J303" s="485"/>
      <c r="K303" s="486"/>
      <c r="L303" s="485"/>
      <c r="M303" s="485"/>
      <c r="N303" s="485"/>
      <c r="O303" s="485"/>
    </row>
    <row r="304" ht="14.25" customHeight="1">
      <c r="C304" s="484"/>
      <c r="D304" s="484"/>
      <c r="E304" s="485"/>
      <c r="F304" s="485"/>
      <c r="G304" s="485"/>
      <c r="I304" s="485"/>
      <c r="J304" s="485"/>
      <c r="K304" s="486"/>
      <c r="L304" s="485"/>
      <c r="M304" s="485"/>
      <c r="N304" s="485"/>
      <c r="O304" s="485"/>
    </row>
    <row r="305" ht="14.25" customHeight="1">
      <c r="C305" s="484"/>
      <c r="D305" s="484"/>
      <c r="E305" s="485"/>
      <c r="F305" s="485"/>
      <c r="G305" s="485"/>
      <c r="I305" s="485"/>
      <c r="J305" s="485"/>
      <c r="K305" s="486"/>
      <c r="L305" s="485"/>
      <c r="M305" s="485"/>
      <c r="N305" s="485"/>
      <c r="O305" s="485"/>
    </row>
    <row r="306" ht="14.25" customHeight="1">
      <c r="C306" s="484"/>
      <c r="D306" s="484"/>
      <c r="E306" s="485"/>
      <c r="F306" s="485"/>
      <c r="G306" s="485"/>
      <c r="I306" s="485"/>
      <c r="J306" s="485"/>
      <c r="K306" s="486"/>
      <c r="L306" s="485"/>
      <c r="M306" s="485"/>
      <c r="N306" s="485"/>
      <c r="O306" s="485"/>
    </row>
    <row r="307" ht="14.25" customHeight="1">
      <c r="C307" s="484"/>
      <c r="D307" s="484"/>
      <c r="E307" s="485"/>
      <c r="F307" s="485"/>
      <c r="G307" s="485"/>
      <c r="I307" s="485"/>
      <c r="J307" s="485"/>
      <c r="K307" s="486"/>
      <c r="L307" s="485"/>
      <c r="M307" s="485"/>
      <c r="N307" s="485"/>
      <c r="O307" s="485"/>
    </row>
    <row r="308" ht="14.25" customHeight="1">
      <c r="C308" s="484"/>
      <c r="D308" s="484"/>
      <c r="E308" s="485"/>
      <c r="F308" s="485"/>
      <c r="G308" s="485"/>
      <c r="I308" s="485"/>
      <c r="J308" s="485"/>
      <c r="K308" s="486"/>
      <c r="L308" s="485"/>
      <c r="M308" s="485"/>
      <c r="N308" s="485"/>
      <c r="O308" s="485"/>
    </row>
    <row r="309" ht="14.25" customHeight="1">
      <c r="C309" s="484"/>
      <c r="D309" s="484"/>
      <c r="E309" s="485"/>
      <c r="F309" s="485"/>
      <c r="G309" s="485"/>
      <c r="I309" s="485"/>
      <c r="J309" s="485"/>
      <c r="K309" s="486"/>
      <c r="L309" s="485"/>
      <c r="M309" s="485"/>
      <c r="N309" s="485"/>
      <c r="O309" s="485"/>
    </row>
    <row r="310" ht="14.25" customHeight="1">
      <c r="C310" s="484"/>
      <c r="D310" s="484"/>
      <c r="E310" s="485"/>
      <c r="F310" s="485"/>
      <c r="G310" s="485"/>
      <c r="I310" s="485"/>
      <c r="J310" s="485"/>
      <c r="K310" s="486"/>
      <c r="L310" s="485"/>
      <c r="M310" s="485"/>
      <c r="N310" s="485"/>
      <c r="O310" s="485"/>
    </row>
    <row r="311" ht="14.25" customHeight="1">
      <c r="C311" s="484"/>
      <c r="D311" s="484"/>
      <c r="E311" s="485"/>
      <c r="F311" s="485"/>
      <c r="G311" s="485"/>
      <c r="I311" s="485"/>
      <c r="J311" s="485"/>
      <c r="K311" s="486"/>
      <c r="L311" s="485"/>
      <c r="M311" s="485"/>
      <c r="N311" s="485"/>
      <c r="O311" s="485"/>
    </row>
    <row r="312" ht="14.25" customHeight="1">
      <c r="C312" s="484"/>
      <c r="D312" s="484"/>
      <c r="E312" s="485"/>
      <c r="F312" s="485"/>
      <c r="G312" s="485"/>
      <c r="I312" s="485"/>
      <c r="J312" s="485"/>
      <c r="K312" s="486"/>
      <c r="L312" s="485"/>
      <c r="M312" s="485"/>
      <c r="N312" s="485"/>
      <c r="O312" s="485"/>
    </row>
    <row r="313" ht="14.25" customHeight="1">
      <c r="C313" s="484"/>
      <c r="D313" s="484"/>
      <c r="E313" s="485"/>
      <c r="F313" s="485"/>
      <c r="G313" s="485"/>
      <c r="I313" s="485"/>
      <c r="J313" s="485"/>
      <c r="K313" s="486"/>
      <c r="L313" s="485"/>
      <c r="M313" s="485"/>
      <c r="N313" s="485"/>
      <c r="O313" s="485"/>
    </row>
    <row r="314" ht="14.25" customHeight="1">
      <c r="C314" s="484"/>
      <c r="D314" s="484"/>
      <c r="E314" s="485"/>
      <c r="F314" s="485"/>
      <c r="G314" s="485"/>
      <c r="I314" s="485"/>
      <c r="J314" s="485"/>
      <c r="K314" s="486"/>
      <c r="L314" s="485"/>
      <c r="M314" s="485"/>
      <c r="N314" s="485"/>
      <c r="O314" s="485"/>
    </row>
    <row r="315" ht="14.25" customHeight="1">
      <c r="C315" s="484"/>
      <c r="D315" s="484"/>
      <c r="E315" s="485"/>
      <c r="F315" s="485"/>
      <c r="G315" s="485"/>
      <c r="I315" s="485"/>
      <c r="J315" s="485"/>
      <c r="K315" s="486"/>
      <c r="L315" s="485"/>
      <c r="M315" s="485"/>
      <c r="N315" s="485"/>
      <c r="O315" s="485"/>
    </row>
    <row r="316" ht="14.25" customHeight="1">
      <c r="C316" s="484"/>
      <c r="D316" s="484"/>
      <c r="E316" s="485"/>
      <c r="F316" s="485"/>
      <c r="G316" s="485"/>
      <c r="I316" s="485"/>
      <c r="J316" s="485"/>
      <c r="K316" s="486"/>
      <c r="L316" s="485"/>
      <c r="M316" s="485"/>
      <c r="N316" s="485"/>
      <c r="O316" s="485"/>
    </row>
    <row r="317" ht="14.25" customHeight="1">
      <c r="C317" s="484"/>
      <c r="D317" s="484"/>
      <c r="E317" s="485"/>
      <c r="F317" s="485"/>
      <c r="G317" s="485"/>
      <c r="I317" s="485"/>
      <c r="J317" s="485"/>
      <c r="K317" s="486"/>
      <c r="L317" s="485"/>
      <c r="M317" s="485"/>
      <c r="N317" s="485"/>
      <c r="O317" s="485"/>
    </row>
    <row r="318" ht="14.25" customHeight="1">
      <c r="C318" s="484"/>
      <c r="D318" s="484"/>
      <c r="E318" s="485"/>
      <c r="F318" s="485"/>
      <c r="G318" s="485"/>
      <c r="I318" s="485"/>
      <c r="J318" s="485"/>
      <c r="K318" s="486"/>
      <c r="L318" s="485"/>
      <c r="M318" s="485"/>
      <c r="N318" s="485"/>
      <c r="O318" s="485"/>
    </row>
    <row r="319" ht="14.25" customHeight="1">
      <c r="C319" s="484"/>
      <c r="D319" s="484"/>
      <c r="E319" s="485"/>
      <c r="F319" s="485"/>
      <c r="G319" s="485"/>
      <c r="I319" s="485"/>
      <c r="J319" s="485"/>
      <c r="K319" s="486"/>
      <c r="L319" s="485"/>
      <c r="M319" s="485"/>
      <c r="N319" s="485"/>
      <c r="O319" s="485"/>
    </row>
    <row r="320" ht="14.25" customHeight="1">
      <c r="C320" s="484"/>
      <c r="D320" s="484"/>
      <c r="E320" s="485"/>
      <c r="F320" s="485"/>
      <c r="G320" s="485"/>
      <c r="I320" s="485"/>
      <c r="J320" s="485"/>
      <c r="K320" s="486"/>
      <c r="L320" s="485"/>
      <c r="M320" s="485"/>
      <c r="N320" s="485"/>
      <c r="O320" s="485"/>
    </row>
    <row r="321" ht="14.25" customHeight="1">
      <c r="C321" s="484"/>
      <c r="D321" s="484"/>
      <c r="E321" s="485"/>
      <c r="F321" s="485"/>
      <c r="G321" s="485"/>
      <c r="I321" s="485"/>
      <c r="J321" s="485"/>
      <c r="K321" s="486"/>
      <c r="L321" s="485"/>
      <c r="M321" s="485"/>
      <c r="N321" s="485"/>
      <c r="O321" s="485"/>
    </row>
    <row r="322" ht="14.25" customHeight="1">
      <c r="C322" s="484"/>
      <c r="D322" s="484"/>
      <c r="E322" s="485"/>
      <c r="F322" s="485"/>
      <c r="G322" s="485"/>
      <c r="I322" s="485"/>
      <c r="J322" s="485"/>
      <c r="K322" s="486"/>
      <c r="L322" s="485"/>
      <c r="M322" s="485"/>
      <c r="N322" s="485"/>
      <c r="O322" s="485"/>
    </row>
    <row r="323" ht="14.25" customHeight="1">
      <c r="C323" s="484"/>
      <c r="D323" s="484"/>
      <c r="E323" s="485"/>
      <c r="F323" s="485"/>
      <c r="G323" s="485"/>
      <c r="I323" s="485"/>
      <c r="J323" s="485"/>
      <c r="K323" s="486"/>
      <c r="L323" s="485"/>
      <c r="M323" s="485"/>
      <c r="N323" s="485"/>
      <c r="O323" s="485"/>
    </row>
    <row r="324" ht="14.25" customHeight="1">
      <c r="C324" s="484"/>
      <c r="D324" s="484"/>
      <c r="E324" s="485"/>
      <c r="F324" s="485"/>
      <c r="G324" s="485"/>
      <c r="I324" s="485"/>
      <c r="J324" s="485"/>
      <c r="K324" s="486"/>
      <c r="L324" s="485"/>
      <c r="M324" s="485"/>
      <c r="N324" s="485"/>
      <c r="O324" s="485"/>
    </row>
    <row r="325" ht="14.25" customHeight="1">
      <c r="C325" s="484"/>
      <c r="D325" s="484"/>
      <c r="E325" s="485"/>
      <c r="F325" s="485"/>
      <c r="G325" s="485"/>
      <c r="I325" s="485"/>
      <c r="J325" s="485"/>
      <c r="K325" s="486"/>
      <c r="L325" s="485"/>
      <c r="M325" s="485"/>
      <c r="N325" s="485"/>
      <c r="O325" s="485"/>
    </row>
    <row r="326" ht="14.25" customHeight="1">
      <c r="C326" s="484"/>
      <c r="D326" s="484"/>
      <c r="E326" s="485"/>
      <c r="F326" s="485"/>
      <c r="G326" s="485"/>
      <c r="I326" s="485"/>
      <c r="J326" s="485"/>
      <c r="K326" s="486"/>
      <c r="L326" s="485"/>
      <c r="M326" s="485"/>
      <c r="N326" s="485"/>
      <c r="O326" s="485"/>
    </row>
    <row r="327" ht="14.25" customHeight="1">
      <c r="C327" s="484"/>
      <c r="D327" s="484"/>
      <c r="E327" s="485"/>
      <c r="F327" s="485"/>
      <c r="G327" s="485"/>
      <c r="I327" s="485"/>
      <c r="J327" s="485"/>
      <c r="K327" s="486"/>
      <c r="L327" s="485"/>
      <c r="M327" s="485"/>
      <c r="N327" s="485"/>
      <c r="O327" s="485"/>
    </row>
    <row r="328" ht="14.25" customHeight="1">
      <c r="C328" s="484"/>
      <c r="D328" s="484"/>
      <c r="E328" s="485"/>
      <c r="F328" s="485"/>
      <c r="G328" s="485"/>
      <c r="I328" s="485"/>
      <c r="J328" s="485"/>
      <c r="K328" s="486"/>
      <c r="L328" s="485"/>
      <c r="M328" s="485"/>
      <c r="N328" s="485"/>
      <c r="O328" s="485"/>
    </row>
    <row r="329" ht="14.25" customHeight="1">
      <c r="C329" s="484"/>
      <c r="D329" s="484"/>
      <c r="E329" s="485"/>
      <c r="F329" s="485"/>
      <c r="G329" s="485"/>
      <c r="I329" s="485"/>
      <c r="J329" s="485"/>
      <c r="K329" s="486"/>
      <c r="L329" s="485"/>
      <c r="M329" s="485"/>
      <c r="N329" s="485"/>
      <c r="O329" s="485"/>
    </row>
    <row r="330" ht="14.25" customHeight="1">
      <c r="C330" s="484"/>
      <c r="D330" s="484"/>
      <c r="E330" s="485"/>
      <c r="F330" s="485"/>
      <c r="G330" s="485"/>
      <c r="I330" s="485"/>
      <c r="J330" s="485"/>
      <c r="K330" s="486"/>
      <c r="L330" s="485"/>
      <c r="M330" s="485"/>
      <c r="N330" s="485"/>
      <c r="O330" s="485"/>
    </row>
    <row r="331" ht="14.25" customHeight="1">
      <c r="C331" s="484"/>
      <c r="D331" s="484"/>
      <c r="E331" s="485"/>
      <c r="F331" s="485"/>
      <c r="G331" s="485"/>
      <c r="I331" s="485"/>
      <c r="J331" s="485"/>
      <c r="K331" s="486"/>
      <c r="L331" s="485"/>
      <c r="M331" s="485"/>
      <c r="N331" s="485"/>
      <c r="O331" s="485"/>
    </row>
    <row r="332" ht="14.25" customHeight="1">
      <c r="C332" s="484"/>
      <c r="D332" s="484"/>
      <c r="E332" s="485"/>
      <c r="F332" s="485"/>
      <c r="G332" s="485"/>
      <c r="I332" s="485"/>
      <c r="J332" s="485"/>
      <c r="K332" s="486"/>
      <c r="L332" s="485"/>
      <c r="M332" s="485"/>
      <c r="N332" s="485"/>
      <c r="O332" s="485"/>
    </row>
    <row r="333" ht="14.25" customHeight="1">
      <c r="C333" s="484"/>
      <c r="D333" s="484"/>
      <c r="E333" s="485"/>
      <c r="F333" s="485"/>
      <c r="G333" s="485"/>
      <c r="I333" s="485"/>
      <c r="J333" s="485"/>
      <c r="K333" s="486"/>
      <c r="L333" s="485"/>
      <c r="M333" s="485"/>
      <c r="N333" s="485"/>
      <c r="O333" s="485"/>
    </row>
    <row r="334" ht="14.25" customHeight="1">
      <c r="C334" s="484"/>
      <c r="D334" s="484"/>
      <c r="E334" s="485"/>
      <c r="F334" s="485"/>
      <c r="G334" s="485"/>
      <c r="I334" s="485"/>
      <c r="J334" s="485"/>
      <c r="K334" s="486"/>
      <c r="L334" s="485"/>
      <c r="M334" s="485"/>
      <c r="N334" s="485"/>
      <c r="O334" s="485"/>
    </row>
    <row r="335" ht="14.25" customHeight="1">
      <c r="C335" s="484"/>
      <c r="D335" s="484"/>
      <c r="E335" s="485"/>
      <c r="F335" s="485"/>
      <c r="G335" s="485"/>
      <c r="I335" s="485"/>
      <c r="J335" s="485"/>
      <c r="K335" s="486"/>
      <c r="L335" s="485"/>
      <c r="M335" s="485"/>
      <c r="N335" s="485"/>
      <c r="O335" s="485"/>
    </row>
    <row r="336" ht="14.25" customHeight="1">
      <c r="C336" s="484"/>
      <c r="D336" s="484"/>
      <c r="E336" s="485"/>
      <c r="F336" s="485"/>
      <c r="G336" s="485"/>
      <c r="I336" s="485"/>
      <c r="J336" s="485"/>
      <c r="K336" s="486"/>
      <c r="L336" s="485"/>
      <c r="M336" s="485"/>
      <c r="N336" s="485"/>
      <c r="O336" s="485"/>
    </row>
    <row r="337" ht="14.25" customHeight="1">
      <c r="C337" s="484"/>
      <c r="D337" s="484"/>
      <c r="E337" s="485"/>
      <c r="F337" s="485"/>
      <c r="G337" s="485"/>
      <c r="I337" s="485"/>
      <c r="J337" s="485"/>
      <c r="K337" s="486"/>
      <c r="L337" s="485"/>
      <c r="M337" s="485"/>
      <c r="N337" s="485"/>
      <c r="O337" s="485"/>
    </row>
    <row r="338" ht="14.25" customHeight="1">
      <c r="C338" s="484"/>
      <c r="D338" s="484"/>
      <c r="E338" s="485"/>
      <c r="F338" s="485"/>
      <c r="G338" s="485"/>
      <c r="I338" s="485"/>
      <c r="J338" s="485"/>
      <c r="K338" s="486"/>
      <c r="L338" s="485"/>
      <c r="M338" s="485"/>
      <c r="N338" s="485"/>
      <c r="O338" s="485"/>
    </row>
    <row r="339" ht="14.25" customHeight="1">
      <c r="C339" s="484"/>
      <c r="D339" s="484"/>
      <c r="E339" s="485"/>
      <c r="F339" s="485"/>
      <c r="G339" s="485"/>
      <c r="I339" s="485"/>
      <c r="J339" s="485"/>
      <c r="K339" s="486"/>
      <c r="L339" s="485"/>
      <c r="M339" s="485"/>
      <c r="N339" s="485"/>
      <c r="O339" s="485"/>
    </row>
    <row r="340" ht="14.25" customHeight="1">
      <c r="C340" s="484"/>
      <c r="D340" s="484"/>
      <c r="E340" s="485"/>
      <c r="F340" s="485"/>
      <c r="G340" s="485"/>
      <c r="I340" s="485"/>
      <c r="J340" s="485"/>
      <c r="K340" s="486"/>
      <c r="L340" s="485"/>
      <c r="M340" s="485"/>
      <c r="N340" s="485"/>
      <c r="O340" s="485"/>
    </row>
    <row r="341" ht="14.25" customHeight="1">
      <c r="C341" s="484"/>
      <c r="D341" s="484"/>
      <c r="E341" s="485"/>
      <c r="F341" s="485"/>
      <c r="G341" s="485"/>
      <c r="I341" s="485"/>
      <c r="J341" s="485"/>
      <c r="K341" s="486"/>
      <c r="L341" s="485"/>
      <c r="M341" s="485"/>
      <c r="N341" s="485"/>
      <c r="O341" s="485"/>
    </row>
    <row r="342" ht="14.25" customHeight="1">
      <c r="C342" s="484"/>
      <c r="D342" s="484"/>
      <c r="E342" s="485"/>
      <c r="F342" s="485"/>
      <c r="G342" s="485"/>
      <c r="I342" s="485"/>
      <c r="J342" s="485"/>
      <c r="K342" s="486"/>
      <c r="L342" s="485"/>
      <c r="M342" s="485"/>
      <c r="N342" s="485"/>
      <c r="O342" s="485"/>
    </row>
    <row r="343" ht="14.25" customHeight="1">
      <c r="C343" s="484"/>
      <c r="D343" s="484"/>
      <c r="E343" s="485"/>
      <c r="F343" s="485"/>
      <c r="G343" s="485"/>
      <c r="I343" s="485"/>
      <c r="J343" s="485"/>
      <c r="K343" s="486"/>
      <c r="L343" s="485"/>
      <c r="M343" s="485"/>
      <c r="N343" s="485"/>
      <c r="O343" s="485"/>
    </row>
    <row r="344" ht="14.25" customHeight="1">
      <c r="C344" s="484"/>
      <c r="D344" s="484"/>
      <c r="E344" s="485"/>
      <c r="F344" s="485"/>
      <c r="G344" s="485"/>
      <c r="I344" s="485"/>
      <c r="J344" s="485"/>
      <c r="K344" s="486"/>
      <c r="L344" s="485"/>
      <c r="M344" s="485"/>
      <c r="N344" s="485"/>
      <c r="O344" s="485"/>
    </row>
    <row r="345" ht="14.25" customHeight="1">
      <c r="C345" s="484"/>
      <c r="D345" s="484"/>
      <c r="E345" s="485"/>
      <c r="F345" s="485"/>
      <c r="G345" s="485"/>
      <c r="I345" s="485"/>
      <c r="J345" s="485"/>
      <c r="K345" s="486"/>
      <c r="L345" s="485"/>
      <c r="M345" s="485"/>
      <c r="N345" s="485"/>
      <c r="O345" s="485"/>
    </row>
    <row r="346" ht="14.25" customHeight="1">
      <c r="C346" s="484"/>
      <c r="D346" s="484"/>
      <c r="E346" s="485"/>
      <c r="F346" s="485"/>
      <c r="G346" s="485"/>
      <c r="I346" s="485"/>
      <c r="J346" s="485"/>
      <c r="K346" s="486"/>
      <c r="L346" s="485"/>
      <c r="M346" s="485"/>
      <c r="N346" s="485"/>
      <c r="O346" s="485"/>
    </row>
    <row r="347" ht="14.25" customHeight="1">
      <c r="C347" s="484"/>
      <c r="D347" s="484"/>
      <c r="E347" s="485"/>
      <c r="F347" s="485"/>
      <c r="G347" s="485"/>
      <c r="I347" s="485"/>
      <c r="J347" s="485"/>
      <c r="K347" s="486"/>
      <c r="L347" s="485"/>
      <c r="M347" s="485"/>
      <c r="N347" s="485"/>
      <c r="O347" s="485"/>
    </row>
    <row r="348" ht="14.25" customHeight="1">
      <c r="C348" s="484"/>
      <c r="D348" s="484"/>
      <c r="E348" s="485"/>
      <c r="F348" s="485"/>
      <c r="G348" s="485"/>
      <c r="I348" s="485"/>
      <c r="J348" s="485"/>
      <c r="K348" s="486"/>
      <c r="L348" s="485"/>
      <c r="M348" s="485"/>
      <c r="N348" s="485"/>
      <c r="O348" s="485"/>
    </row>
    <row r="349" ht="14.25" customHeight="1">
      <c r="C349" s="484"/>
      <c r="D349" s="484"/>
      <c r="E349" s="485"/>
      <c r="F349" s="485"/>
      <c r="G349" s="485"/>
      <c r="I349" s="485"/>
      <c r="J349" s="485"/>
      <c r="K349" s="486"/>
      <c r="L349" s="485"/>
      <c r="M349" s="485"/>
      <c r="N349" s="485"/>
      <c r="O349" s="485"/>
    </row>
    <row r="350" ht="14.25" customHeight="1">
      <c r="C350" s="484"/>
      <c r="D350" s="484"/>
      <c r="E350" s="485"/>
      <c r="F350" s="485"/>
      <c r="G350" s="485"/>
      <c r="I350" s="485"/>
      <c r="J350" s="485"/>
      <c r="K350" s="486"/>
      <c r="L350" s="485"/>
      <c r="M350" s="485"/>
      <c r="N350" s="485"/>
      <c r="O350" s="485"/>
    </row>
    <row r="351" ht="14.25" customHeight="1">
      <c r="C351" s="484"/>
      <c r="D351" s="484"/>
      <c r="E351" s="485"/>
      <c r="F351" s="485"/>
      <c r="G351" s="485"/>
      <c r="I351" s="485"/>
      <c r="J351" s="485"/>
      <c r="K351" s="486"/>
      <c r="L351" s="485"/>
      <c r="M351" s="485"/>
      <c r="N351" s="485"/>
      <c r="O351" s="485"/>
    </row>
    <row r="352" ht="14.25" customHeight="1">
      <c r="C352" s="484"/>
      <c r="D352" s="484"/>
      <c r="E352" s="485"/>
      <c r="F352" s="485"/>
      <c r="G352" s="485"/>
      <c r="I352" s="485"/>
      <c r="J352" s="485"/>
      <c r="K352" s="486"/>
      <c r="L352" s="485"/>
      <c r="M352" s="485"/>
      <c r="N352" s="485"/>
      <c r="O352" s="485"/>
    </row>
    <row r="353" ht="14.25" customHeight="1">
      <c r="C353" s="484"/>
      <c r="D353" s="484"/>
      <c r="E353" s="485"/>
      <c r="F353" s="485"/>
      <c r="G353" s="485"/>
      <c r="I353" s="485"/>
      <c r="J353" s="485"/>
      <c r="K353" s="486"/>
      <c r="L353" s="485"/>
      <c r="M353" s="485"/>
      <c r="N353" s="485"/>
      <c r="O353" s="485"/>
    </row>
    <row r="354" ht="14.25" customHeight="1">
      <c r="C354" s="484"/>
      <c r="D354" s="484"/>
      <c r="E354" s="485"/>
      <c r="F354" s="485"/>
      <c r="G354" s="485"/>
      <c r="I354" s="485"/>
      <c r="J354" s="485"/>
      <c r="K354" s="486"/>
      <c r="L354" s="485"/>
      <c r="M354" s="485"/>
      <c r="N354" s="485"/>
      <c r="O354" s="485"/>
    </row>
    <row r="355" ht="14.25" customHeight="1">
      <c r="C355" s="484"/>
      <c r="D355" s="484"/>
      <c r="E355" s="485"/>
      <c r="F355" s="485"/>
      <c r="G355" s="485"/>
      <c r="I355" s="485"/>
      <c r="J355" s="485"/>
      <c r="K355" s="486"/>
      <c r="L355" s="485"/>
      <c r="M355" s="485"/>
      <c r="N355" s="485"/>
      <c r="O355" s="485"/>
    </row>
    <row r="356" ht="14.25" customHeight="1">
      <c r="C356" s="484"/>
      <c r="D356" s="484"/>
      <c r="E356" s="485"/>
      <c r="F356" s="485"/>
      <c r="G356" s="485"/>
      <c r="I356" s="485"/>
      <c r="J356" s="485"/>
      <c r="K356" s="486"/>
      <c r="L356" s="485"/>
      <c r="M356" s="485"/>
      <c r="N356" s="485"/>
      <c r="O356" s="485"/>
    </row>
    <row r="357" ht="14.25" customHeight="1">
      <c r="C357" s="484"/>
      <c r="D357" s="484"/>
      <c r="E357" s="485"/>
      <c r="F357" s="485"/>
      <c r="G357" s="485"/>
      <c r="I357" s="485"/>
      <c r="J357" s="485"/>
      <c r="K357" s="486"/>
      <c r="L357" s="485"/>
      <c r="M357" s="485"/>
      <c r="N357" s="485"/>
      <c r="O357" s="485"/>
    </row>
    <row r="358" ht="14.25" customHeight="1">
      <c r="C358" s="484"/>
      <c r="D358" s="484"/>
      <c r="E358" s="485"/>
      <c r="F358" s="485"/>
      <c r="G358" s="485"/>
      <c r="I358" s="485"/>
      <c r="J358" s="485"/>
      <c r="K358" s="486"/>
      <c r="L358" s="485"/>
      <c r="M358" s="485"/>
      <c r="N358" s="485"/>
      <c r="O358" s="485"/>
    </row>
    <row r="359" ht="14.25" customHeight="1">
      <c r="C359" s="484"/>
      <c r="D359" s="484"/>
      <c r="E359" s="485"/>
      <c r="F359" s="485"/>
      <c r="G359" s="485"/>
      <c r="I359" s="485"/>
      <c r="J359" s="485"/>
      <c r="K359" s="486"/>
      <c r="L359" s="485"/>
      <c r="M359" s="485"/>
      <c r="N359" s="485"/>
      <c r="O359" s="485"/>
    </row>
    <row r="360" ht="14.25" customHeight="1">
      <c r="C360" s="484"/>
      <c r="D360" s="484"/>
      <c r="E360" s="485"/>
      <c r="F360" s="485"/>
      <c r="G360" s="485"/>
      <c r="I360" s="485"/>
      <c r="J360" s="485"/>
      <c r="K360" s="486"/>
      <c r="L360" s="485"/>
      <c r="M360" s="485"/>
      <c r="N360" s="485"/>
      <c r="O360" s="485"/>
    </row>
    <row r="361" ht="14.25" customHeight="1">
      <c r="C361" s="484"/>
      <c r="D361" s="484"/>
      <c r="E361" s="485"/>
      <c r="F361" s="485"/>
      <c r="G361" s="485"/>
      <c r="I361" s="485"/>
      <c r="J361" s="485"/>
      <c r="K361" s="486"/>
      <c r="L361" s="485"/>
      <c r="M361" s="485"/>
      <c r="N361" s="485"/>
      <c r="O361" s="485"/>
    </row>
    <row r="362" ht="14.25" customHeight="1">
      <c r="C362" s="484"/>
      <c r="D362" s="484"/>
      <c r="E362" s="485"/>
      <c r="F362" s="485"/>
      <c r="G362" s="485"/>
      <c r="I362" s="485"/>
      <c r="J362" s="485"/>
      <c r="K362" s="486"/>
      <c r="L362" s="485"/>
      <c r="M362" s="485"/>
      <c r="N362" s="485"/>
      <c r="O362" s="485"/>
    </row>
    <row r="363" ht="14.25" customHeight="1">
      <c r="C363" s="484"/>
      <c r="D363" s="484"/>
      <c r="E363" s="485"/>
      <c r="F363" s="485"/>
      <c r="G363" s="485"/>
      <c r="I363" s="485"/>
      <c r="J363" s="485"/>
      <c r="K363" s="486"/>
      <c r="L363" s="485"/>
      <c r="M363" s="485"/>
      <c r="N363" s="485"/>
      <c r="O363" s="485"/>
    </row>
    <row r="364" ht="14.25" customHeight="1">
      <c r="C364" s="484"/>
      <c r="D364" s="484"/>
      <c r="E364" s="485"/>
      <c r="F364" s="485"/>
      <c r="G364" s="485"/>
      <c r="I364" s="485"/>
      <c r="J364" s="485"/>
      <c r="K364" s="486"/>
      <c r="L364" s="485"/>
      <c r="M364" s="485"/>
      <c r="N364" s="485"/>
      <c r="O364" s="485"/>
    </row>
    <row r="365" ht="14.25" customHeight="1">
      <c r="C365" s="484"/>
      <c r="D365" s="484"/>
      <c r="E365" s="485"/>
      <c r="F365" s="485"/>
      <c r="G365" s="485"/>
      <c r="I365" s="485"/>
      <c r="J365" s="485"/>
      <c r="K365" s="486"/>
      <c r="L365" s="485"/>
      <c r="M365" s="485"/>
      <c r="N365" s="485"/>
      <c r="O365" s="485"/>
    </row>
    <row r="366" ht="14.25" customHeight="1">
      <c r="C366" s="484"/>
      <c r="D366" s="484"/>
      <c r="E366" s="485"/>
      <c r="F366" s="485"/>
      <c r="G366" s="485"/>
      <c r="I366" s="485"/>
      <c r="J366" s="485"/>
      <c r="K366" s="486"/>
      <c r="L366" s="485"/>
      <c r="M366" s="485"/>
      <c r="N366" s="485"/>
      <c r="O366" s="485"/>
    </row>
    <row r="367" ht="14.25" customHeight="1">
      <c r="C367" s="484"/>
      <c r="D367" s="484"/>
      <c r="E367" s="485"/>
      <c r="F367" s="485"/>
      <c r="G367" s="485"/>
      <c r="I367" s="485"/>
      <c r="J367" s="485"/>
      <c r="K367" s="486"/>
      <c r="L367" s="485"/>
      <c r="M367" s="485"/>
      <c r="N367" s="485"/>
      <c r="O367" s="485"/>
    </row>
    <row r="368" ht="14.25" customHeight="1">
      <c r="C368" s="484"/>
      <c r="D368" s="484"/>
      <c r="E368" s="485"/>
      <c r="F368" s="485"/>
      <c r="G368" s="485"/>
      <c r="I368" s="485"/>
      <c r="J368" s="485"/>
      <c r="K368" s="486"/>
      <c r="L368" s="485"/>
      <c r="M368" s="485"/>
      <c r="N368" s="485"/>
      <c r="O368" s="485"/>
    </row>
    <row r="369" ht="14.25" customHeight="1">
      <c r="C369" s="484"/>
      <c r="D369" s="484"/>
      <c r="E369" s="485"/>
      <c r="F369" s="485"/>
      <c r="G369" s="485"/>
      <c r="I369" s="485"/>
      <c r="J369" s="485"/>
      <c r="K369" s="486"/>
      <c r="L369" s="485"/>
      <c r="M369" s="485"/>
      <c r="N369" s="485"/>
      <c r="O369" s="485"/>
    </row>
    <row r="370" ht="14.25" customHeight="1">
      <c r="C370" s="484"/>
      <c r="D370" s="484"/>
      <c r="E370" s="485"/>
      <c r="F370" s="485"/>
      <c r="G370" s="485"/>
      <c r="I370" s="485"/>
      <c r="J370" s="485"/>
      <c r="K370" s="486"/>
      <c r="L370" s="485"/>
      <c r="M370" s="485"/>
      <c r="N370" s="485"/>
      <c r="O370" s="485"/>
    </row>
    <row r="371" ht="14.25" customHeight="1">
      <c r="C371" s="484"/>
      <c r="D371" s="484"/>
      <c r="E371" s="485"/>
      <c r="F371" s="485"/>
      <c r="G371" s="485"/>
      <c r="I371" s="485"/>
      <c r="J371" s="485"/>
      <c r="K371" s="486"/>
      <c r="L371" s="485"/>
      <c r="M371" s="485"/>
      <c r="N371" s="485"/>
      <c r="O371" s="485"/>
    </row>
    <row r="372" ht="14.25" customHeight="1">
      <c r="C372" s="484"/>
      <c r="D372" s="484"/>
      <c r="E372" s="485"/>
      <c r="F372" s="485"/>
      <c r="G372" s="485"/>
      <c r="I372" s="485"/>
      <c r="J372" s="485"/>
      <c r="K372" s="486"/>
      <c r="L372" s="485"/>
      <c r="M372" s="485"/>
      <c r="N372" s="485"/>
      <c r="O372" s="485"/>
    </row>
    <row r="373" ht="14.25" customHeight="1">
      <c r="C373" s="484"/>
      <c r="D373" s="484"/>
      <c r="E373" s="485"/>
      <c r="F373" s="485"/>
      <c r="G373" s="485"/>
      <c r="I373" s="485"/>
      <c r="J373" s="485"/>
      <c r="K373" s="486"/>
      <c r="L373" s="485"/>
      <c r="M373" s="485"/>
      <c r="N373" s="485"/>
      <c r="O373" s="485"/>
    </row>
    <row r="374" ht="14.25" customHeight="1">
      <c r="C374" s="484"/>
      <c r="D374" s="484"/>
      <c r="E374" s="485"/>
      <c r="F374" s="485"/>
      <c r="G374" s="485"/>
      <c r="I374" s="485"/>
      <c r="J374" s="485"/>
      <c r="K374" s="486"/>
      <c r="L374" s="485"/>
      <c r="M374" s="485"/>
      <c r="N374" s="485"/>
      <c r="O374" s="485"/>
    </row>
    <row r="375" ht="14.25" customHeight="1">
      <c r="C375" s="484"/>
      <c r="D375" s="484"/>
      <c r="E375" s="485"/>
      <c r="F375" s="485"/>
      <c r="G375" s="485"/>
      <c r="I375" s="485"/>
      <c r="J375" s="485"/>
      <c r="K375" s="486"/>
      <c r="L375" s="485"/>
      <c r="M375" s="485"/>
      <c r="N375" s="485"/>
      <c r="O375" s="485"/>
    </row>
    <row r="376" ht="14.25" customHeight="1">
      <c r="C376" s="484"/>
      <c r="D376" s="484"/>
      <c r="E376" s="485"/>
      <c r="F376" s="485"/>
      <c r="G376" s="485"/>
      <c r="I376" s="485"/>
      <c r="J376" s="485"/>
      <c r="K376" s="486"/>
      <c r="L376" s="485"/>
      <c r="M376" s="485"/>
      <c r="N376" s="485"/>
      <c r="O376" s="485"/>
    </row>
    <row r="377" ht="14.25" customHeight="1">
      <c r="C377" s="484"/>
      <c r="D377" s="484"/>
      <c r="E377" s="485"/>
      <c r="F377" s="485"/>
      <c r="G377" s="485"/>
      <c r="I377" s="485"/>
      <c r="J377" s="485"/>
      <c r="K377" s="486"/>
      <c r="L377" s="485"/>
      <c r="M377" s="485"/>
      <c r="N377" s="485"/>
      <c r="O377" s="485"/>
    </row>
    <row r="378" ht="14.25" customHeight="1">
      <c r="C378" s="484"/>
      <c r="D378" s="484"/>
      <c r="E378" s="485"/>
      <c r="F378" s="485"/>
      <c r="G378" s="485"/>
      <c r="I378" s="485"/>
      <c r="J378" s="485"/>
      <c r="K378" s="486"/>
      <c r="L378" s="485"/>
      <c r="M378" s="485"/>
      <c r="N378" s="485"/>
      <c r="O378" s="485"/>
    </row>
    <row r="379" ht="14.25" customHeight="1">
      <c r="C379" s="484"/>
      <c r="D379" s="484"/>
      <c r="E379" s="485"/>
      <c r="F379" s="485"/>
      <c r="G379" s="485"/>
      <c r="I379" s="485"/>
      <c r="J379" s="485"/>
      <c r="K379" s="486"/>
      <c r="L379" s="485"/>
      <c r="M379" s="485"/>
      <c r="N379" s="485"/>
      <c r="O379" s="485"/>
    </row>
    <row r="380" ht="14.25" customHeight="1">
      <c r="C380" s="484"/>
      <c r="D380" s="484"/>
      <c r="E380" s="485"/>
      <c r="F380" s="485"/>
      <c r="G380" s="485"/>
      <c r="I380" s="485"/>
      <c r="J380" s="485"/>
      <c r="K380" s="486"/>
      <c r="L380" s="485"/>
      <c r="M380" s="485"/>
      <c r="N380" s="485"/>
      <c r="O380" s="485"/>
    </row>
    <row r="381" ht="14.25" customHeight="1">
      <c r="C381" s="484"/>
      <c r="D381" s="484"/>
      <c r="E381" s="485"/>
      <c r="F381" s="485"/>
      <c r="G381" s="485"/>
      <c r="I381" s="485"/>
      <c r="J381" s="485"/>
      <c r="K381" s="486"/>
      <c r="L381" s="485"/>
      <c r="M381" s="485"/>
      <c r="N381" s="485"/>
      <c r="O381" s="485"/>
    </row>
    <row r="382" ht="14.25" customHeight="1">
      <c r="C382" s="484"/>
      <c r="D382" s="484"/>
      <c r="E382" s="485"/>
      <c r="F382" s="485"/>
      <c r="G382" s="485"/>
      <c r="I382" s="485"/>
      <c r="J382" s="485"/>
      <c r="K382" s="486"/>
      <c r="L382" s="485"/>
      <c r="M382" s="485"/>
      <c r="N382" s="485"/>
      <c r="O382" s="485"/>
    </row>
    <row r="383" ht="14.25" customHeight="1">
      <c r="C383" s="484"/>
      <c r="D383" s="484"/>
      <c r="E383" s="485"/>
      <c r="F383" s="485"/>
      <c r="G383" s="485"/>
      <c r="I383" s="485"/>
      <c r="J383" s="485"/>
      <c r="K383" s="486"/>
      <c r="L383" s="485"/>
      <c r="M383" s="485"/>
      <c r="N383" s="485"/>
      <c r="O383" s="485"/>
    </row>
    <row r="384" ht="14.25" customHeight="1">
      <c r="C384" s="484"/>
      <c r="D384" s="484"/>
      <c r="E384" s="485"/>
      <c r="F384" s="485"/>
      <c r="G384" s="485"/>
      <c r="I384" s="485"/>
      <c r="J384" s="485"/>
      <c r="K384" s="486"/>
      <c r="L384" s="485"/>
      <c r="M384" s="485"/>
      <c r="N384" s="485"/>
      <c r="O384" s="485"/>
    </row>
    <row r="385" ht="14.25" customHeight="1">
      <c r="C385" s="484"/>
      <c r="D385" s="484"/>
      <c r="E385" s="485"/>
      <c r="F385" s="485"/>
      <c r="G385" s="485"/>
      <c r="I385" s="485"/>
      <c r="J385" s="485"/>
      <c r="K385" s="486"/>
      <c r="L385" s="485"/>
      <c r="M385" s="485"/>
      <c r="N385" s="485"/>
      <c r="O385" s="485"/>
    </row>
    <row r="386" ht="14.25" customHeight="1">
      <c r="C386" s="484"/>
      <c r="D386" s="484"/>
      <c r="E386" s="485"/>
      <c r="F386" s="485"/>
      <c r="G386" s="485"/>
      <c r="I386" s="485"/>
      <c r="J386" s="485"/>
      <c r="K386" s="486"/>
      <c r="L386" s="485"/>
      <c r="M386" s="485"/>
      <c r="N386" s="485"/>
      <c r="O386" s="485"/>
    </row>
    <row r="387" ht="14.25" customHeight="1">
      <c r="C387" s="484"/>
      <c r="D387" s="484"/>
      <c r="E387" s="485"/>
      <c r="F387" s="485"/>
      <c r="G387" s="485"/>
      <c r="I387" s="485"/>
      <c r="J387" s="485"/>
      <c r="K387" s="486"/>
      <c r="L387" s="485"/>
      <c r="M387" s="485"/>
      <c r="N387" s="485"/>
      <c r="O387" s="485"/>
    </row>
    <row r="388" ht="14.25" customHeight="1">
      <c r="C388" s="484"/>
      <c r="D388" s="484"/>
      <c r="E388" s="485"/>
      <c r="F388" s="485"/>
      <c r="G388" s="485"/>
      <c r="I388" s="485"/>
      <c r="J388" s="485"/>
      <c r="K388" s="486"/>
      <c r="L388" s="485"/>
      <c r="M388" s="485"/>
      <c r="N388" s="485"/>
      <c r="O388" s="485"/>
    </row>
    <row r="389" ht="14.25" customHeight="1">
      <c r="C389" s="484"/>
      <c r="D389" s="484"/>
      <c r="E389" s="485"/>
      <c r="F389" s="485"/>
      <c r="G389" s="485"/>
      <c r="I389" s="485"/>
      <c r="J389" s="485"/>
      <c r="K389" s="486"/>
      <c r="L389" s="485"/>
      <c r="M389" s="485"/>
      <c r="N389" s="485"/>
      <c r="O389" s="485"/>
    </row>
    <row r="390" ht="14.25" customHeight="1">
      <c r="C390" s="484"/>
      <c r="D390" s="484"/>
      <c r="E390" s="485"/>
      <c r="F390" s="485"/>
      <c r="G390" s="485"/>
      <c r="I390" s="485"/>
      <c r="J390" s="485"/>
      <c r="K390" s="486"/>
      <c r="L390" s="485"/>
      <c r="M390" s="485"/>
      <c r="N390" s="485"/>
      <c r="O390" s="485"/>
    </row>
    <row r="391" ht="14.25" customHeight="1">
      <c r="C391" s="484"/>
      <c r="D391" s="484"/>
      <c r="E391" s="485"/>
      <c r="F391" s="485"/>
      <c r="G391" s="485"/>
      <c r="I391" s="485"/>
      <c r="J391" s="485"/>
      <c r="K391" s="486"/>
      <c r="L391" s="485"/>
      <c r="M391" s="485"/>
      <c r="N391" s="485"/>
      <c r="O391" s="485"/>
    </row>
    <row r="392" ht="14.25" customHeight="1">
      <c r="C392" s="484"/>
      <c r="D392" s="484"/>
      <c r="E392" s="485"/>
      <c r="F392" s="485"/>
      <c r="G392" s="485"/>
      <c r="I392" s="485"/>
      <c r="J392" s="485"/>
      <c r="K392" s="486"/>
      <c r="L392" s="485"/>
      <c r="M392" s="485"/>
      <c r="N392" s="485"/>
      <c r="O392" s="485"/>
    </row>
    <row r="393" ht="14.25" customHeight="1">
      <c r="C393" s="484"/>
      <c r="D393" s="484"/>
      <c r="E393" s="485"/>
      <c r="F393" s="485"/>
      <c r="G393" s="485"/>
      <c r="I393" s="485"/>
      <c r="J393" s="485"/>
      <c r="K393" s="486"/>
      <c r="L393" s="485"/>
      <c r="M393" s="485"/>
      <c r="N393" s="485"/>
      <c r="O393" s="485"/>
    </row>
    <row r="394" ht="14.25" customHeight="1">
      <c r="C394" s="484"/>
      <c r="D394" s="484"/>
      <c r="E394" s="485"/>
      <c r="F394" s="485"/>
      <c r="G394" s="485"/>
      <c r="I394" s="485"/>
      <c r="J394" s="485"/>
      <c r="K394" s="486"/>
      <c r="L394" s="485"/>
      <c r="M394" s="485"/>
      <c r="N394" s="485"/>
      <c r="O394" s="485"/>
    </row>
    <row r="395" ht="14.25" customHeight="1">
      <c r="C395" s="484"/>
      <c r="D395" s="484"/>
      <c r="E395" s="485"/>
      <c r="F395" s="485"/>
      <c r="G395" s="485"/>
      <c r="I395" s="485"/>
      <c r="J395" s="485"/>
      <c r="K395" s="486"/>
      <c r="L395" s="485"/>
      <c r="M395" s="485"/>
      <c r="N395" s="485"/>
      <c r="O395" s="485"/>
    </row>
    <row r="396" ht="14.25" customHeight="1">
      <c r="C396" s="484"/>
      <c r="D396" s="484"/>
      <c r="E396" s="485"/>
      <c r="F396" s="485"/>
      <c r="G396" s="485"/>
      <c r="I396" s="485"/>
      <c r="J396" s="485"/>
      <c r="K396" s="486"/>
      <c r="L396" s="485"/>
      <c r="M396" s="485"/>
      <c r="N396" s="485"/>
      <c r="O396" s="485"/>
    </row>
    <row r="397" ht="14.25" customHeight="1">
      <c r="C397" s="484"/>
      <c r="D397" s="484"/>
      <c r="E397" s="485"/>
      <c r="F397" s="485"/>
      <c r="G397" s="485"/>
      <c r="I397" s="485"/>
      <c r="J397" s="485"/>
      <c r="K397" s="486"/>
      <c r="L397" s="485"/>
      <c r="M397" s="485"/>
      <c r="N397" s="485"/>
      <c r="O397" s="485"/>
    </row>
    <row r="398" ht="14.25" customHeight="1">
      <c r="C398" s="484"/>
      <c r="D398" s="484"/>
      <c r="E398" s="485"/>
      <c r="F398" s="485"/>
      <c r="G398" s="485"/>
      <c r="I398" s="485"/>
      <c r="J398" s="485"/>
      <c r="K398" s="486"/>
      <c r="L398" s="485"/>
      <c r="M398" s="485"/>
      <c r="N398" s="485"/>
      <c r="O398" s="485"/>
    </row>
    <row r="399" ht="14.25" customHeight="1">
      <c r="C399" s="484"/>
      <c r="D399" s="484"/>
      <c r="E399" s="485"/>
      <c r="F399" s="485"/>
      <c r="G399" s="485"/>
      <c r="I399" s="485"/>
      <c r="J399" s="485"/>
      <c r="K399" s="486"/>
      <c r="L399" s="485"/>
      <c r="M399" s="485"/>
      <c r="N399" s="485"/>
      <c r="O399" s="485"/>
    </row>
    <row r="400" ht="14.25" customHeight="1">
      <c r="C400" s="484"/>
      <c r="D400" s="484"/>
      <c r="E400" s="485"/>
      <c r="F400" s="485"/>
      <c r="G400" s="485"/>
      <c r="I400" s="485"/>
      <c r="J400" s="485"/>
      <c r="K400" s="486"/>
      <c r="L400" s="485"/>
      <c r="M400" s="485"/>
      <c r="N400" s="485"/>
      <c r="O400" s="485"/>
    </row>
    <row r="401" ht="14.25" customHeight="1">
      <c r="C401" s="484"/>
      <c r="D401" s="484"/>
      <c r="E401" s="485"/>
      <c r="F401" s="485"/>
      <c r="G401" s="485"/>
      <c r="I401" s="485"/>
      <c r="J401" s="485"/>
      <c r="K401" s="486"/>
      <c r="L401" s="485"/>
      <c r="M401" s="485"/>
      <c r="N401" s="485"/>
      <c r="O401" s="485"/>
    </row>
    <row r="402" ht="14.25" customHeight="1">
      <c r="C402" s="484"/>
      <c r="D402" s="484"/>
      <c r="E402" s="485"/>
      <c r="F402" s="485"/>
      <c r="G402" s="485"/>
      <c r="I402" s="485"/>
      <c r="J402" s="485"/>
      <c r="K402" s="486"/>
      <c r="L402" s="485"/>
      <c r="M402" s="485"/>
      <c r="N402" s="485"/>
      <c r="O402" s="485"/>
    </row>
    <row r="403" ht="14.25" customHeight="1">
      <c r="C403" s="484"/>
      <c r="D403" s="484"/>
      <c r="E403" s="485"/>
      <c r="F403" s="485"/>
      <c r="G403" s="485"/>
      <c r="I403" s="485"/>
      <c r="J403" s="485"/>
      <c r="K403" s="486"/>
      <c r="L403" s="485"/>
      <c r="M403" s="485"/>
      <c r="N403" s="485"/>
      <c r="O403" s="485"/>
    </row>
    <row r="404" ht="14.25" customHeight="1">
      <c r="C404" s="484"/>
      <c r="D404" s="484"/>
      <c r="E404" s="485"/>
      <c r="F404" s="485"/>
      <c r="G404" s="485"/>
      <c r="I404" s="485"/>
      <c r="J404" s="485"/>
      <c r="K404" s="486"/>
      <c r="L404" s="485"/>
      <c r="M404" s="485"/>
      <c r="N404" s="485"/>
      <c r="O404" s="485"/>
    </row>
    <row r="405" ht="14.25" customHeight="1">
      <c r="C405" s="484"/>
      <c r="D405" s="484"/>
      <c r="E405" s="485"/>
      <c r="F405" s="485"/>
      <c r="G405" s="485"/>
      <c r="I405" s="485"/>
      <c r="J405" s="485"/>
      <c r="K405" s="486"/>
      <c r="L405" s="485"/>
      <c r="M405" s="485"/>
      <c r="N405" s="485"/>
      <c r="O405" s="485"/>
    </row>
    <row r="406" ht="14.25" customHeight="1">
      <c r="C406" s="484"/>
      <c r="D406" s="484"/>
      <c r="E406" s="485"/>
      <c r="F406" s="485"/>
      <c r="G406" s="485"/>
      <c r="I406" s="485"/>
      <c r="J406" s="485"/>
      <c r="K406" s="486"/>
      <c r="L406" s="485"/>
      <c r="M406" s="485"/>
      <c r="N406" s="485"/>
      <c r="O406" s="485"/>
    </row>
    <row r="407" ht="14.25" customHeight="1">
      <c r="C407" s="484"/>
      <c r="D407" s="484"/>
      <c r="E407" s="485"/>
      <c r="F407" s="485"/>
      <c r="G407" s="485"/>
      <c r="I407" s="485"/>
      <c r="J407" s="485"/>
      <c r="K407" s="486"/>
      <c r="L407" s="485"/>
      <c r="M407" s="485"/>
      <c r="N407" s="485"/>
      <c r="O407" s="485"/>
    </row>
    <row r="408" ht="14.25" customHeight="1">
      <c r="C408" s="484"/>
      <c r="D408" s="484"/>
      <c r="E408" s="485"/>
      <c r="F408" s="485"/>
      <c r="G408" s="485"/>
      <c r="I408" s="485"/>
      <c r="J408" s="485"/>
      <c r="K408" s="486"/>
      <c r="L408" s="485"/>
      <c r="M408" s="485"/>
      <c r="N408" s="485"/>
      <c r="O408" s="485"/>
    </row>
    <row r="409" ht="14.25" customHeight="1">
      <c r="C409" s="484"/>
      <c r="D409" s="484"/>
      <c r="E409" s="485"/>
      <c r="F409" s="485"/>
      <c r="G409" s="485"/>
      <c r="I409" s="485"/>
      <c r="J409" s="485"/>
      <c r="K409" s="486"/>
      <c r="L409" s="485"/>
      <c r="M409" s="485"/>
      <c r="N409" s="485"/>
      <c r="O409" s="485"/>
    </row>
    <row r="410" ht="14.25" customHeight="1">
      <c r="C410" s="484"/>
      <c r="D410" s="484"/>
      <c r="E410" s="485"/>
      <c r="F410" s="485"/>
      <c r="G410" s="485"/>
      <c r="I410" s="485"/>
      <c r="J410" s="485"/>
      <c r="K410" s="486"/>
      <c r="L410" s="485"/>
      <c r="M410" s="485"/>
      <c r="N410" s="485"/>
      <c r="O410" s="485"/>
    </row>
    <row r="411" ht="14.25" customHeight="1">
      <c r="C411" s="484"/>
      <c r="D411" s="484"/>
      <c r="E411" s="485"/>
      <c r="F411" s="485"/>
      <c r="G411" s="485"/>
      <c r="I411" s="485"/>
      <c r="J411" s="485"/>
      <c r="K411" s="486"/>
      <c r="L411" s="485"/>
      <c r="M411" s="485"/>
      <c r="N411" s="485"/>
      <c r="O411" s="485"/>
    </row>
    <row r="412" ht="14.25" customHeight="1">
      <c r="C412" s="484"/>
      <c r="D412" s="484"/>
      <c r="E412" s="485"/>
      <c r="F412" s="485"/>
      <c r="G412" s="485"/>
      <c r="I412" s="485"/>
      <c r="J412" s="485"/>
      <c r="K412" s="486"/>
      <c r="L412" s="485"/>
      <c r="M412" s="485"/>
      <c r="N412" s="485"/>
      <c r="O412" s="485"/>
    </row>
    <row r="413" ht="14.25" customHeight="1">
      <c r="C413" s="484"/>
      <c r="D413" s="484"/>
      <c r="E413" s="485"/>
      <c r="F413" s="485"/>
      <c r="G413" s="485"/>
      <c r="I413" s="485"/>
      <c r="J413" s="485"/>
      <c r="K413" s="486"/>
      <c r="L413" s="485"/>
      <c r="M413" s="485"/>
      <c r="N413" s="485"/>
      <c r="O413" s="485"/>
    </row>
    <row r="414" ht="14.25" customHeight="1">
      <c r="C414" s="484"/>
      <c r="D414" s="484"/>
      <c r="E414" s="485"/>
      <c r="F414" s="485"/>
      <c r="G414" s="485"/>
      <c r="I414" s="485"/>
      <c r="J414" s="485"/>
      <c r="K414" s="486"/>
      <c r="L414" s="485"/>
      <c r="M414" s="485"/>
      <c r="N414" s="485"/>
      <c r="O414" s="485"/>
    </row>
    <row r="415" ht="14.25" customHeight="1">
      <c r="C415" s="484"/>
      <c r="D415" s="484"/>
      <c r="E415" s="485"/>
      <c r="F415" s="485"/>
      <c r="G415" s="485"/>
      <c r="I415" s="485"/>
      <c r="J415" s="485"/>
      <c r="K415" s="486"/>
      <c r="L415" s="485"/>
      <c r="M415" s="485"/>
      <c r="N415" s="485"/>
      <c r="O415" s="485"/>
    </row>
    <row r="416" ht="14.25" customHeight="1">
      <c r="C416" s="484"/>
      <c r="D416" s="484"/>
      <c r="E416" s="485"/>
      <c r="F416" s="485"/>
      <c r="G416" s="485"/>
      <c r="I416" s="485"/>
      <c r="J416" s="485"/>
      <c r="K416" s="486"/>
      <c r="L416" s="485"/>
      <c r="M416" s="485"/>
      <c r="N416" s="485"/>
      <c r="O416" s="485"/>
    </row>
    <row r="417" ht="14.25" customHeight="1">
      <c r="C417" s="484"/>
      <c r="D417" s="484"/>
      <c r="E417" s="485"/>
      <c r="F417" s="485"/>
      <c r="G417" s="485"/>
      <c r="I417" s="485"/>
      <c r="J417" s="485"/>
      <c r="K417" s="486"/>
      <c r="L417" s="485"/>
      <c r="M417" s="485"/>
      <c r="N417" s="485"/>
      <c r="O417" s="485"/>
    </row>
    <row r="418" ht="14.25" customHeight="1">
      <c r="C418" s="484"/>
      <c r="D418" s="484"/>
      <c r="E418" s="485"/>
      <c r="F418" s="485"/>
      <c r="G418" s="485"/>
      <c r="I418" s="485"/>
      <c r="J418" s="485"/>
      <c r="K418" s="486"/>
      <c r="L418" s="485"/>
      <c r="M418" s="485"/>
      <c r="N418" s="485"/>
      <c r="O418" s="485"/>
    </row>
    <row r="419" ht="14.25" customHeight="1">
      <c r="C419" s="484"/>
      <c r="D419" s="484"/>
      <c r="E419" s="485"/>
      <c r="F419" s="485"/>
      <c r="G419" s="485"/>
      <c r="I419" s="485"/>
      <c r="J419" s="485"/>
      <c r="K419" s="486"/>
      <c r="L419" s="485"/>
      <c r="M419" s="485"/>
      <c r="N419" s="485"/>
      <c r="O419" s="485"/>
    </row>
    <row r="420" ht="14.25" customHeight="1">
      <c r="C420" s="484"/>
      <c r="D420" s="484"/>
      <c r="E420" s="485"/>
      <c r="F420" s="485"/>
      <c r="G420" s="485"/>
      <c r="I420" s="485"/>
      <c r="J420" s="485"/>
      <c r="K420" s="486"/>
      <c r="L420" s="485"/>
      <c r="M420" s="485"/>
      <c r="N420" s="485"/>
      <c r="O420" s="485"/>
    </row>
    <row r="421" ht="14.25" customHeight="1">
      <c r="C421" s="484"/>
      <c r="D421" s="484"/>
      <c r="E421" s="485"/>
      <c r="F421" s="485"/>
      <c r="G421" s="485"/>
      <c r="I421" s="485"/>
      <c r="J421" s="485"/>
      <c r="K421" s="486"/>
      <c r="L421" s="485"/>
      <c r="M421" s="485"/>
      <c r="N421" s="485"/>
      <c r="O421" s="485"/>
    </row>
    <row r="422" ht="14.25" customHeight="1">
      <c r="C422" s="484"/>
      <c r="D422" s="484"/>
      <c r="E422" s="485"/>
      <c r="F422" s="485"/>
      <c r="G422" s="485"/>
      <c r="I422" s="485"/>
      <c r="J422" s="485"/>
      <c r="K422" s="486"/>
      <c r="L422" s="485"/>
      <c r="M422" s="485"/>
      <c r="N422" s="485"/>
      <c r="O422" s="485"/>
    </row>
    <row r="423" ht="14.25" customHeight="1">
      <c r="C423" s="484"/>
      <c r="D423" s="484"/>
      <c r="E423" s="485"/>
      <c r="F423" s="485"/>
      <c r="G423" s="485"/>
      <c r="I423" s="485"/>
      <c r="J423" s="485"/>
      <c r="K423" s="486"/>
      <c r="L423" s="485"/>
      <c r="M423" s="485"/>
      <c r="N423" s="485"/>
      <c r="O423" s="485"/>
    </row>
    <row r="424" ht="14.25" customHeight="1">
      <c r="C424" s="484"/>
      <c r="D424" s="484"/>
      <c r="E424" s="485"/>
      <c r="F424" s="485"/>
      <c r="G424" s="485"/>
      <c r="I424" s="485"/>
      <c r="J424" s="485"/>
      <c r="K424" s="486"/>
      <c r="L424" s="485"/>
      <c r="M424" s="485"/>
      <c r="N424" s="485"/>
      <c r="O424" s="485"/>
    </row>
    <row r="425" ht="14.25" customHeight="1">
      <c r="C425" s="484"/>
      <c r="D425" s="484"/>
      <c r="E425" s="485"/>
      <c r="F425" s="485"/>
      <c r="G425" s="485"/>
      <c r="I425" s="485"/>
      <c r="J425" s="485"/>
      <c r="K425" s="486"/>
      <c r="L425" s="485"/>
      <c r="M425" s="485"/>
      <c r="N425" s="485"/>
      <c r="O425" s="485"/>
    </row>
    <row r="426" ht="14.25" customHeight="1">
      <c r="C426" s="484"/>
      <c r="D426" s="484"/>
      <c r="E426" s="485"/>
      <c r="F426" s="485"/>
      <c r="G426" s="485"/>
      <c r="I426" s="485"/>
      <c r="J426" s="485"/>
      <c r="K426" s="486"/>
      <c r="L426" s="485"/>
      <c r="M426" s="485"/>
      <c r="N426" s="485"/>
      <c r="O426" s="485"/>
    </row>
    <row r="427" ht="14.25" customHeight="1">
      <c r="C427" s="484"/>
      <c r="D427" s="484"/>
      <c r="E427" s="485"/>
      <c r="F427" s="485"/>
      <c r="G427" s="485"/>
      <c r="I427" s="485"/>
      <c r="J427" s="485"/>
      <c r="K427" s="486"/>
      <c r="L427" s="485"/>
      <c r="M427" s="485"/>
      <c r="N427" s="485"/>
      <c r="O427" s="485"/>
    </row>
    <row r="428" ht="14.25" customHeight="1">
      <c r="C428" s="484"/>
      <c r="D428" s="484"/>
      <c r="E428" s="485"/>
      <c r="F428" s="485"/>
      <c r="G428" s="485"/>
      <c r="I428" s="485"/>
      <c r="J428" s="485"/>
      <c r="K428" s="486"/>
      <c r="L428" s="485"/>
      <c r="M428" s="485"/>
      <c r="N428" s="485"/>
      <c r="O428" s="485"/>
    </row>
    <row r="429" ht="14.25" customHeight="1">
      <c r="C429" s="484"/>
      <c r="D429" s="484"/>
      <c r="E429" s="485"/>
      <c r="F429" s="485"/>
      <c r="G429" s="485"/>
      <c r="I429" s="485"/>
      <c r="J429" s="485"/>
      <c r="K429" s="486"/>
      <c r="L429" s="485"/>
      <c r="M429" s="485"/>
      <c r="N429" s="485"/>
      <c r="O429" s="485"/>
    </row>
    <row r="430" ht="14.25" customHeight="1">
      <c r="C430" s="484"/>
      <c r="D430" s="484"/>
      <c r="E430" s="485"/>
      <c r="F430" s="485"/>
      <c r="G430" s="485"/>
      <c r="I430" s="485"/>
      <c r="J430" s="485"/>
      <c r="K430" s="486"/>
      <c r="L430" s="485"/>
      <c r="M430" s="485"/>
      <c r="N430" s="485"/>
      <c r="O430" s="485"/>
    </row>
    <row r="431" ht="14.25" customHeight="1">
      <c r="C431" s="484"/>
      <c r="D431" s="484"/>
      <c r="E431" s="485"/>
      <c r="F431" s="485"/>
      <c r="G431" s="485"/>
      <c r="I431" s="485"/>
      <c r="J431" s="485"/>
      <c r="K431" s="486"/>
      <c r="L431" s="485"/>
      <c r="M431" s="485"/>
      <c r="N431" s="485"/>
      <c r="O431" s="485"/>
    </row>
    <row r="432" ht="14.25" customHeight="1">
      <c r="C432" s="484"/>
      <c r="D432" s="484"/>
      <c r="E432" s="485"/>
      <c r="F432" s="485"/>
      <c r="G432" s="485"/>
      <c r="I432" s="485"/>
      <c r="J432" s="485"/>
      <c r="K432" s="486"/>
      <c r="L432" s="485"/>
      <c r="M432" s="485"/>
      <c r="N432" s="485"/>
      <c r="O432" s="485"/>
    </row>
    <row r="433" ht="14.25" customHeight="1">
      <c r="C433" s="484"/>
      <c r="D433" s="484"/>
      <c r="E433" s="485"/>
      <c r="F433" s="485"/>
      <c r="G433" s="485"/>
      <c r="I433" s="485"/>
      <c r="J433" s="485"/>
      <c r="K433" s="486"/>
      <c r="L433" s="485"/>
      <c r="M433" s="485"/>
      <c r="N433" s="485"/>
      <c r="O433" s="485"/>
    </row>
    <row r="434" ht="14.25" customHeight="1">
      <c r="C434" s="484"/>
      <c r="D434" s="484"/>
      <c r="E434" s="485"/>
      <c r="F434" s="485"/>
      <c r="G434" s="485"/>
      <c r="I434" s="485"/>
      <c r="J434" s="485"/>
      <c r="K434" s="486"/>
      <c r="L434" s="485"/>
      <c r="M434" s="485"/>
      <c r="N434" s="485"/>
      <c r="O434" s="485"/>
    </row>
    <row r="435" ht="14.25" customHeight="1">
      <c r="C435" s="484"/>
      <c r="D435" s="484"/>
      <c r="E435" s="485"/>
      <c r="F435" s="485"/>
      <c r="G435" s="485"/>
      <c r="I435" s="485"/>
      <c r="J435" s="485"/>
      <c r="K435" s="486"/>
      <c r="L435" s="485"/>
      <c r="M435" s="485"/>
      <c r="N435" s="485"/>
      <c r="O435" s="485"/>
    </row>
    <row r="436" ht="14.25" customHeight="1">
      <c r="C436" s="484"/>
      <c r="D436" s="484"/>
      <c r="E436" s="485"/>
      <c r="F436" s="485"/>
      <c r="G436" s="485"/>
      <c r="I436" s="485"/>
      <c r="J436" s="485"/>
      <c r="K436" s="486"/>
      <c r="L436" s="485"/>
      <c r="M436" s="485"/>
      <c r="N436" s="485"/>
      <c r="O436" s="485"/>
    </row>
    <row r="437" ht="14.25" customHeight="1">
      <c r="C437" s="484"/>
      <c r="D437" s="484"/>
      <c r="E437" s="485"/>
      <c r="F437" s="485"/>
      <c r="G437" s="485"/>
      <c r="I437" s="485"/>
      <c r="J437" s="485"/>
      <c r="K437" s="486"/>
      <c r="L437" s="485"/>
      <c r="M437" s="485"/>
      <c r="N437" s="485"/>
      <c r="O437" s="485"/>
    </row>
    <row r="438" ht="14.25" customHeight="1">
      <c r="C438" s="484"/>
      <c r="D438" s="484"/>
      <c r="E438" s="485"/>
      <c r="F438" s="485"/>
      <c r="G438" s="485"/>
      <c r="I438" s="485"/>
      <c r="J438" s="485"/>
      <c r="K438" s="486"/>
      <c r="L438" s="485"/>
      <c r="M438" s="485"/>
      <c r="N438" s="485"/>
      <c r="O438" s="485"/>
    </row>
    <row r="439" ht="14.25" customHeight="1">
      <c r="C439" s="484"/>
      <c r="D439" s="484"/>
      <c r="E439" s="485"/>
      <c r="F439" s="485"/>
      <c r="G439" s="485"/>
      <c r="I439" s="485"/>
      <c r="J439" s="485"/>
      <c r="K439" s="486"/>
      <c r="L439" s="485"/>
      <c r="M439" s="485"/>
      <c r="N439" s="485"/>
      <c r="O439" s="485"/>
    </row>
    <row r="440" ht="14.25" customHeight="1">
      <c r="C440" s="484"/>
      <c r="D440" s="484"/>
      <c r="E440" s="485"/>
      <c r="F440" s="485"/>
      <c r="G440" s="485"/>
      <c r="I440" s="485"/>
      <c r="J440" s="485"/>
      <c r="K440" s="486"/>
      <c r="L440" s="485"/>
      <c r="M440" s="485"/>
      <c r="N440" s="485"/>
      <c r="O440" s="485"/>
    </row>
    <row r="441" ht="14.25" customHeight="1">
      <c r="C441" s="484"/>
      <c r="D441" s="484"/>
      <c r="E441" s="485"/>
      <c r="F441" s="485"/>
      <c r="G441" s="485"/>
      <c r="I441" s="485"/>
      <c r="J441" s="485"/>
      <c r="K441" s="486"/>
      <c r="L441" s="485"/>
      <c r="M441" s="485"/>
      <c r="N441" s="485"/>
      <c r="O441" s="485"/>
    </row>
    <row r="442" ht="14.25" customHeight="1">
      <c r="C442" s="484"/>
      <c r="D442" s="484"/>
      <c r="E442" s="485"/>
      <c r="F442" s="485"/>
      <c r="G442" s="485"/>
      <c r="I442" s="485"/>
      <c r="J442" s="485"/>
      <c r="K442" s="486"/>
      <c r="L442" s="485"/>
      <c r="M442" s="485"/>
      <c r="N442" s="485"/>
      <c r="O442" s="485"/>
    </row>
    <row r="443" ht="14.25" customHeight="1">
      <c r="C443" s="484"/>
      <c r="D443" s="484"/>
      <c r="E443" s="485"/>
      <c r="F443" s="485"/>
      <c r="G443" s="485"/>
      <c r="I443" s="485"/>
      <c r="J443" s="485"/>
      <c r="K443" s="486"/>
      <c r="L443" s="485"/>
      <c r="M443" s="485"/>
      <c r="N443" s="485"/>
      <c r="O443" s="485"/>
    </row>
    <row r="444" ht="14.25" customHeight="1">
      <c r="C444" s="484"/>
      <c r="D444" s="484"/>
      <c r="E444" s="485"/>
      <c r="F444" s="485"/>
      <c r="G444" s="485"/>
      <c r="I444" s="485"/>
      <c r="J444" s="485"/>
      <c r="K444" s="486"/>
      <c r="L444" s="485"/>
      <c r="M444" s="485"/>
      <c r="N444" s="485"/>
      <c r="O444" s="485"/>
    </row>
    <row r="445" ht="14.25" customHeight="1">
      <c r="C445" s="484"/>
      <c r="D445" s="484"/>
      <c r="E445" s="485"/>
      <c r="F445" s="485"/>
      <c r="G445" s="485"/>
      <c r="I445" s="485"/>
      <c r="J445" s="485"/>
      <c r="K445" s="486"/>
      <c r="L445" s="485"/>
      <c r="M445" s="485"/>
      <c r="N445" s="485"/>
      <c r="O445" s="485"/>
    </row>
    <row r="446" ht="14.25" customHeight="1">
      <c r="C446" s="484"/>
      <c r="D446" s="484"/>
      <c r="E446" s="485"/>
      <c r="F446" s="485"/>
      <c r="G446" s="485"/>
      <c r="I446" s="485"/>
      <c r="J446" s="485"/>
      <c r="K446" s="486"/>
      <c r="L446" s="485"/>
      <c r="M446" s="485"/>
      <c r="N446" s="485"/>
      <c r="O446" s="485"/>
    </row>
    <row r="447" ht="14.25" customHeight="1">
      <c r="C447" s="484"/>
      <c r="D447" s="484"/>
      <c r="E447" s="485"/>
      <c r="F447" s="485"/>
      <c r="G447" s="485"/>
      <c r="I447" s="485"/>
      <c r="J447" s="485"/>
      <c r="K447" s="486"/>
      <c r="L447" s="485"/>
      <c r="M447" s="485"/>
      <c r="N447" s="485"/>
      <c r="O447" s="485"/>
    </row>
    <row r="448" ht="14.25" customHeight="1">
      <c r="C448" s="484"/>
      <c r="D448" s="484"/>
      <c r="E448" s="485"/>
      <c r="F448" s="485"/>
      <c r="G448" s="485"/>
      <c r="I448" s="485"/>
      <c r="J448" s="485"/>
      <c r="K448" s="486"/>
      <c r="L448" s="485"/>
      <c r="M448" s="485"/>
      <c r="N448" s="485"/>
      <c r="O448" s="485"/>
    </row>
    <row r="449" ht="14.25" customHeight="1">
      <c r="C449" s="484"/>
      <c r="D449" s="484"/>
      <c r="E449" s="485"/>
      <c r="F449" s="485"/>
      <c r="G449" s="485"/>
      <c r="I449" s="485"/>
      <c r="J449" s="485"/>
      <c r="K449" s="486"/>
      <c r="L449" s="485"/>
      <c r="M449" s="485"/>
      <c r="N449" s="485"/>
      <c r="O449" s="485"/>
    </row>
    <row r="450" ht="14.25" customHeight="1">
      <c r="C450" s="484"/>
      <c r="D450" s="484"/>
      <c r="E450" s="485"/>
      <c r="F450" s="485"/>
      <c r="G450" s="485"/>
      <c r="I450" s="485"/>
      <c r="J450" s="485"/>
      <c r="K450" s="486"/>
      <c r="L450" s="485"/>
      <c r="M450" s="485"/>
      <c r="N450" s="485"/>
      <c r="O450" s="485"/>
    </row>
    <row r="451" ht="14.25" customHeight="1">
      <c r="C451" s="484"/>
      <c r="D451" s="484"/>
      <c r="E451" s="485"/>
      <c r="F451" s="485"/>
      <c r="G451" s="485"/>
      <c r="I451" s="485"/>
      <c r="J451" s="485"/>
      <c r="K451" s="486"/>
      <c r="L451" s="485"/>
      <c r="M451" s="485"/>
      <c r="N451" s="485"/>
      <c r="O451" s="485"/>
    </row>
    <row r="452" ht="14.25" customHeight="1">
      <c r="C452" s="484"/>
      <c r="D452" s="484"/>
      <c r="E452" s="485"/>
      <c r="F452" s="485"/>
      <c r="G452" s="485"/>
      <c r="I452" s="485"/>
      <c r="J452" s="485"/>
      <c r="K452" s="486"/>
      <c r="L452" s="485"/>
      <c r="M452" s="485"/>
      <c r="N452" s="485"/>
      <c r="O452" s="485"/>
    </row>
    <row r="453" ht="14.25" customHeight="1">
      <c r="C453" s="484"/>
      <c r="D453" s="484"/>
      <c r="E453" s="485"/>
      <c r="F453" s="485"/>
      <c r="G453" s="485"/>
      <c r="I453" s="485"/>
      <c r="J453" s="485"/>
      <c r="K453" s="486"/>
      <c r="L453" s="485"/>
      <c r="M453" s="485"/>
      <c r="N453" s="485"/>
      <c r="O453" s="485"/>
    </row>
    <row r="454" ht="14.25" customHeight="1">
      <c r="C454" s="484"/>
      <c r="D454" s="484"/>
      <c r="E454" s="485"/>
      <c r="F454" s="485"/>
      <c r="G454" s="485"/>
      <c r="I454" s="485"/>
      <c r="J454" s="485"/>
      <c r="K454" s="486"/>
      <c r="L454" s="485"/>
      <c r="M454" s="485"/>
      <c r="N454" s="485"/>
      <c r="O454" s="485"/>
    </row>
    <row r="455" ht="14.25" customHeight="1">
      <c r="C455" s="484"/>
      <c r="D455" s="484"/>
      <c r="E455" s="485"/>
      <c r="F455" s="485"/>
      <c r="G455" s="485"/>
      <c r="I455" s="485"/>
      <c r="J455" s="485"/>
      <c r="K455" s="486"/>
      <c r="L455" s="485"/>
      <c r="M455" s="485"/>
      <c r="N455" s="485"/>
      <c r="O455" s="485"/>
    </row>
    <row r="456" ht="14.25" customHeight="1">
      <c r="C456" s="484"/>
      <c r="D456" s="484"/>
      <c r="E456" s="485"/>
      <c r="F456" s="485"/>
      <c r="G456" s="485"/>
      <c r="I456" s="485"/>
      <c r="J456" s="485"/>
      <c r="K456" s="486"/>
      <c r="L456" s="485"/>
      <c r="M456" s="485"/>
      <c r="N456" s="485"/>
      <c r="O456" s="485"/>
    </row>
    <row r="457" ht="14.25" customHeight="1">
      <c r="C457" s="484"/>
      <c r="D457" s="484"/>
      <c r="E457" s="485"/>
      <c r="F457" s="485"/>
      <c r="G457" s="485"/>
      <c r="I457" s="485"/>
      <c r="J457" s="485"/>
      <c r="K457" s="486"/>
      <c r="L457" s="485"/>
      <c r="M457" s="485"/>
      <c r="N457" s="485"/>
      <c r="O457" s="485"/>
    </row>
    <row r="458" ht="14.25" customHeight="1">
      <c r="C458" s="484"/>
      <c r="D458" s="484"/>
      <c r="E458" s="485"/>
      <c r="F458" s="485"/>
      <c r="G458" s="485"/>
      <c r="I458" s="485"/>
      <c r="J458" s="485"/>
      <c r="K458" s="486"/>
      <c r="L458" s="485"/>
      <c r="M458" s="485"/>
      <c r="N458" s="485"/>
      <c r="O458" s="485"/>
    </row>
    <row r="459" ht="14.25" customHeight="1">
      <c r="C459" s="484"/>
      <c r="D459" s="484"/>
      <c r="E459" s="485"/>
      <c r="F459" s="485"/>
      <c r="G459" s="485"/>
      <c r="I459" s="485"/>
      <c r="J459" s="485"/>
      <c r="K459" s="486"/>
      <c r="L459" s="485"/>
      <c r="M459" s="485"/>
      <c r="N459" s="485"/>
      <c r="O459" s="485"/>
    </row>
    <row r="460" ht="14.25" customHeight="1">
      <c r="C460" s="484"/>
      <c r="D460" s="484"/>
      <c r="E460" s="485"/>
      <c r="F460" s="485"/>
      <c r="G460" s="485"/>
      <c r="I460" s="485"/>
      <c r="J460" s="485"/>
      <c r="K460" s="486"/>
      <c r="L460" s="485"/>
      <c r="M460" s="485"/>
      <c r="N460" s="485"/>
      <c r="O460" s="485"/>
    </row>
    <row r="461" ht="14.25" customHeight="1">
      <c r="C461" s="484"/>
      <c r="D461" s="484"/>
      <c r="E461" s="485"/>
      <c r="F461" s="485"/>
      <c r="G461" s="485"/>
      <c r="I461" s="485"/>
      <c r="J461" s="485"/>
      <c r="K461" s="486"/>
      <c r="L461" s="485"/>
      <c r="M461" s="485"/>
      <c r="N461" s="485"/>
      <c r="O461" s="485"/>
    </row>
    <row r="462" ht="14.25" customHeight="1">
      <c r="C462" s="484"/>
      <c r="D462" s="484"/>
      <c r="E462" s="485"/>
      <c r="F462" s="485"/>
      <c r="G462" s="485"/>
      <c r="I462" s="485"/>
      <c r="J462" s="485"/>
      <c r="K462" s="486"/>
      <c r="L462" s="485"/>
      <c r="M462" s="485"/>
      <c r="N462" s="485"/>
      <c r="O462" s="485"/>
    </row>
    <row r="463" ht="14.25" customHeight="1">
      <c r="C463" s="484"/>
      <c r="D463" s="484"/>
      <c r="E463" s="485"/>
      <c r="F463" s="485"/>
      <c r="G463" s="485"/>
      <c r="I463" s="485"/>
      <c r="J463" s="485"/>
      <c r="K463" s="486"/>
      <c r="L463" s="485"/>
      <c r="M463" s="485"/>
      <c r="N463" s="485"/>
      <c r="O463" s="485"/>
    </row>
    <row r="464" ht="14.25" customHeight="1">
      <c r="C464" s="484"/>
      <c r="D464" s="484"/>
      <c r="E464" s="485"/>
      <c r="F464" s="485"/>
      <c r="G464" s="485"/>
      <c r="I464" s="485"/>
      <c r="J464" s="485"/>
      <c r="K464" s="486"/>
      <c r="L464" s="485"/>
      <c r="M464" s="485"/>
      <c r="N464" s="485"/>
      <c r="O464" s="485"/>
    </row>
    <row r="465" ht="14.25" customHeight="1">
      <c r="C465" s="484"/>
      <c r="D465" s="484"/>
      <c r="E465" s="485"/>
      <c r="F465" s="485"/>
      <c r="G465" s="485"/>
      <c r="I465" s="485"/>
      <c r="J465" s="485"/>
      <c r="K465" s="486"/>
      <c r="L465" s="485"/>
      <c r="M465" s="485"/>
      <c r="N465" s="485"/>
      <c r="O465" s="485"/>
    </row>
    <row r="466" ht="14.25" customHeight="1">
      <c r="C466" s="484"/>
      <c r="D466" s="484"/>
      <c r="E466" s="485"/>
      <c r="F466" s="485"/>
      <c r="G466" s="485"/>
      <c r="I466" s="485"/>
      <c r="J466" s="485"/>
      <c r="K466" s="486"/>
      <c r="L466" s="485"/>
      <c r="M466" s="485"/>
      <c r="N466" s="485"/>
      <c r="O466" s="485"/>
    </row>
    <row r="467" ht="14.25" customHeight="1">
      <c r="C467" s="484"/>
      <c r="D467" s="484"/>
      <c r="E467" s="485"/>
      <c r="F467" s="485"/>
      <c r="G467" s="485"/>
      <c r="I467" s="485"/>
      <c r="J467" s="485"/>
      <c r="K467" s="486"/>
      <c r="L467" s="485"/>
      <c r="M467" s="485"/>
      <c r="N467" s="485"/>
      <c r="O467" s="485"/>
    </row>
    <row r="468" ht="14.25" customHeight="1">
      <c r="C468" s="484"/>
      <c r="D468" s="484"/>
      <c r="E468" s="485"/>
      <c r="F468" s="485"/>
      <c r="G468" s="485"/>
      <c r="I468" s="485"/>
      <c r="J468" s="485"/>
      <c r="K468" s="486"/>
      <c r="L468" s="485"/>
      <c r="M468" s="485"/>
      <c r="N468" s="485"/>
      <c r="O468" s="485"/>
    </row>
    <row r="469" ht="14.25" customHeight="1">
      <c r="C469" s="484"/>
      <c r="D469" s="484"/>
      <c r="E469" s="485"/>
      <c r="F469" s="485"/>
      <c r="G469" s="485"/>
      <c r="I469" s="485"/>
      <c r="J469" s="485"/>
      <c r="K469" s="486"/>
      <c r="L469" s="485"/>
      <c r="M469" s="485"/>
      <c r="N469" s="485"/>
      <c r="O469" s="485"/>
    </row>
    <row r="470" ht="14.25" customHeight="1">
      <c r="C470" s="484"/>
      <c r="D470" s="484"/>
      <c r="E470" s="485"/>
      <c r="F470" s="485"/>
      <c r="G470" s="485"/>
      <c r="I470" s="485"/>
      <c r="J470" s="485"/>
      <c r="K470" s="486"/>
      <c r="L470" s="485"/>
      <c r="M470" s="485"/>
      <c r="N470" s="485"/>
      <c r="O470" s="485"/>
    </row>
    <row r="471" ht="14.25" customHeight="1">
      <c r="C471" s="484"/>
      <c r="D471" s="484"/>
      <c r="E471" s="485"/>
      <c r="F471" s="485"/>
      <c r="G471" s="485"/>
      <c r="I471" s="485"/>
      <c r="J471" s="485"/>
      <c r="K471" s="486"/>
      <c r="L471" s="485"/>
      <c r="M471" s="485"/>
      <c r="N471" s="485"/>
      <c r="O471" s="485"/>
    </row>
    <row r="472" ht="14.25" customHeight="1">
      <c r="C472" s="484"/>
      <c r="D472" s="484"/>
      <c r="E472" s="485"/>
      <c r="F472" s="485"/>
      <c r="G472" s="485"/>
      <c r="I472" s="485"/>
      <c r="J472" s="485"/>
      <c r="K472" s="486"/>
      <c r="L472" s="485"/>
      <c r="M472" s="485"/>
      <c r="N472" s="485"/>
      <c r="O472" s="485"/>
    </row>
    <row r="473" ht="14.25" customHeight="1">
      <c r="C473" s="484"/>
      <c r="D473" s="484"/>
      <c r="E473" s="485"/>
      <c r="F473" s="485"/>
      <c r="G473" s="485"/>
      <c r="I473" s="485"/>
      <c r="J473" s="485"/>
      <c r="K473" s="486"/>
      <c r="L473" s="485"/>
      <c r="M473" s="485"/>
      <c r="N473" s="485"/>
      <c r="O473" s="485"/>
    </row>
    <row r="474" ht="14.25" customHeight="1">
      <c r="C474" s="484"/>
      <c r="D474" s="484"/>
      <c r="E474" s="485"/>
      <c r="F474" s="485"/>
      <c r="G474" s="485"/>
      <c r="I474" s="485"/>
      <c r="J474" s="485"/>
      <c r="K474" s="486"/>
      <c r="L474" s="485"/>
      <c r="M474" s="485"/>
      <c r="N474" s="485"/>
      <c r="O474" s="485"/>
    </row>
    <row r="475" ht="14.25" customHeight="1">
      <c r="C475" s="484"/>
      <c r="D475" s="484"/>
      <c r="E475" s="485"/>
      <c r="F475" s="485"/>
      <c r="G475" s="485"/>
      <c r="I475" s="485"/>
      <c r="J475" s="485"/>
      <c r="K475" s="486"/>
      <c r="L475" s="485"/>
      <c r="M475" s="485"/>
      <c r="N475" s="485"/>
      <c r="O475" s="485"/>
    </row>
    <row r="476" ht="14.25" customHeight="1">
      <c r="C476" s="484"/>
      <c r="D476" s="484"/>
      <c r="E476" s="485"/>
      <c r="F476" s="485"/>
      <c r="G476" s="485"/>
      <c r="I476" s="485"/>
      <c r="J476" s="485"/>
      <c r="K476" s="486"/>
      <c r="L476" s="485"/>
      <c r="M476" s="485"/>
      <c r="N476" s="485"/>
      <c r="O476" s="485"/>
    </row>
    <row r="477" ht="14.25" customHeight="1">
      <c r="C477" s="484"/>
      <c r="D477" s="484"/>
      <c r="E477" s="485"/>
      <c r="F477" s="485"/>
      <c r="G477" s="485"/>
      <c r="I477" s="485"/>
      <c r="J477" s="485"/>
      <c r="K477" s="486"/>
      <c r="L477" s="485"/>
      <c r="M477" s="485"/>
      <c r="N477" s="485"/>
      <c r="O477" s="485"/>
    </row>
    <row r="478" ht="14.25" customHeight="1">
      <c r="C478" s="484"/>
      <c r="D478" s="484"/>
      <c r="E478" s="485"/>
      <c r="F478" s="485"/>
      <c r="G478" s="485"/>
      <c r="I478" s="485"/>
      <c r="J478" s="485"/>
      <c r="K478" s="486"/>
      <c r="L478" s="485"/>
      <c r="M478" s="485"/>
      <c r="N478" s="485"/>
      <c r="O478" s="485"/>
    </row>
    <row r="479" ht="14.25" customHeight="1">
      <c r="C479" s="484"/>
      <c r="D479" s="484"/>
      <c r="E479" s="485"/>
      <c r="F479" s="485"/>
      <c r="G479" s="485"/>
      <c r="I479" s="485"/>
      <c r="J479" s="485"/>
      <c r="K479" s="486"/>
      <c r="L479" s="485"/>
      <c r="M479" s="485"/>
      <c r="N479" s="485"/>
      <c r="O479" s="485"/>
    </row>
    <row r="480" ht="14.25" customHeight="1">
      <c r="C480" s="484"/>
      <c r="D480" s="484"/>
      <c r="E480" s="485"/>
      <c r="F480" s="485"/>
      <c r="G480" s="485"/>
      <c r="I480" s="485"/>
      <c r="J480" s="485"/>
      <c r="K480" s="486"/>
      <c r="L480" s="485"/>
      <c r="M480" s="485"/>
      <c r="N480" s="485"/>
      <c r="O480" s="485"/>
    </row>
    <row r="481" ht="14.25" customHeight="1">
      <c r="C481" s="484"/>
      <c r="D481" s="484"/>
      <c r="E481" s="485"/>
      <c r="F481" s="485"/>
      <c r="G481" s="485"/>
      <c r="I481" s="485"/>
      <c r="J481" s="485"/>
      <c r="K481" s="486"/>
      <c r="L481" s="485"/>
      <c r="M481" s="485"/>
      <c r="N481" s="485"/>
      <c r="O481" s="485"/>
    </row>
    <row r="482" ht="14.25" customHeight="1">
      <c r="C482" s="484"/>
      <c r="D482" s="484"/>
      <c r="E482" s="485"/>
      <c r="F482" s="485"/>
      <c r="G482" s="485"/>
      <c r="I482" s="485"/>
      <c r="J482" s="485"/>
      <c r="K482" s="486"/>
      <c r="L482" s="485"/>
      <c r="M482" s="485"/>
      <c r="N482" s="485"/>
      <c r="O482" s="485"/>
    </row>
    <row r="483" ht="14.25" customHeight="1">
      <c r="C483" s="484"/>
      <c r="D483" s="484"/>
      <c r="E483" s="485"/>
      <c r="F483" s="485"/>
      <c r="G483" s="485"/>
      <c r="I483" s="485"/>
      <c r="J483" s="485"/>
      <c r="K483" s="486"/>
      <c r="L483" s="485"/>
      <c r="M483" s="485"/>
      <c r="N483" s="485"/>
      <c r="O483" s="485"/>
    </row>
    <row r="484" ht="14.25" customHeight="1">
      <c r="C484" s="484"/>
      <c r="D484" s="484"/>
      <c r="E484" s="485"/>
      <c r="F484" s="485"/>
      <c r="G484" s="485"/>
      <c r="I484" s="485"/>
      <c r="J484" s="485"/>
      <c r="K484" s="486"/>
      <c r="L484" s="485"/>
      <c r="M484" s="485"/>
      <c r="N484" s="485"/>
      <c r="O484" s="485"/>
    </row>
    <row r="485" ht="14.25" customHeight="1">
      <c r="C485" s="484"/>
      <c r="D485" s="484"/>
      <c r="E485" s="485"/>
      <c r="F485" s="485"/>
      <c r="G485" s="485"/>
      <c r="I485" s="485"/>
      <c r="J485" s="485"/>
      <c r="K485" s="486"/>
      <c r="L485" s="485"/>
      <c r="M485" s="485"/>
      <c r="N485" s="485"/>
      <c r="O485" s="485"/>
    </row>
    <row r="486" ht="14.25" customHeight="1">
      <c r="C486" s="484"/>
      <c r="D486" s="484"/>
      <c r="E486" s="485"/>
      <c r="F486" s="485"/>
      <c r="G486" s="485"/>
      <c r="I486" s="485"/>
      <c r="J486" s="485"/>
      <c r="K486" s="486"/>
      <c r="L486" s="485"/>
      <c r="M486" s="485"/>
      <c r="N486" s="485"/>
      <c r="O486" s="485"/>
    </row>
    <row r="487" ht="14.25" customHeight="1">
      <c r="C487" s="484"/>
      <c r="D487" s="484"/>
      <c r="E487" s="485"/>
      <c r="F487" s="485"/>
      <c r="G487" s="485"/>
      <c r="I487" s="485"/>
      <c r="J487" s="485"/>
      <c r="K487" s="486"/>
      <c r="L487" s="485"/>
      <c r="M487" s="485"/>
      <c r="N487" s="485"/>
      <c r="O487" s="485"/>
    </row>
    <row r="488" ht="14.25" customHeight="1">
      <c r="C488" s="484"/>
      <c r="D488" s="484"/>
      <c r="E488" s="485"/>
      <c r="F488" s="485"/>
      <c r="G488" s="485"/>
      <c r="I488" s="485"/>
      <c r="J488" s="485"/>
      <c r="K488" s="486"/>
      <c r="L488" s="485"/>
      <c r="M488" s="485"/>
      <c r="N488" s="485"/>
      <c r="O488" s="485"/>
    </row>
    <row r="489" ht="14.25" customHeight="1">
      <c r="C489" s="484"/>
      <c r="D489" s="484"/>
      <c r="E489" s="485"/>
      <c r="F489" s="485"/>
      <c r="G489" s="485"/>
      <c r="I489" s="485"/>
      <c r="J489" s="485"/>
      <c r="K489" s="486"/>
      <c r="L489" s="485"/>
      <c r="M489" s="485"/>
      <c r="N489" s="485"/>
      <c r="O489" s="485"/>
    </row>
    <row r="490" ht="14.25" customHeight="1">
      <c r="C490" s="484"/>
      <c r="D490" s="484"/>
      <c r="E490" s="485"/>
      <c r="F490" s="485"/>
      <c r="G490" s="485"/>
      <c r="I490" s="485"/>
      <c r="J490" s="485"/>
      <c r="K490" s="486"/>
      <c r="L490" s="485"/>
      <c r="M490" s="485"/>
      <c r="N490" s="485"/>
      <c r="O490" s="485"/>
    </row>
  </sheetData>
  <autoFilter ref="$B$1:$B$3"/>
  <mergeCells count="11">
    <mergeCell ref="O2:O3"/>
    <mergeCell ref="P2:P3"/>
    <mergeCell ref="Q2:Q3"/>
    <mergeCell ref="R2:R3"/>
    <mergeCell ref="L1:N2"/>
    <mergeCell ref="E2:E3"/>
    <mergeCell ref="F2:F3"/>
    <mergeCell ref="G2:G3"/>
    <mergeCell ref="H2:H3"/>
    <mergeCell ref="I2:J2"/>
    <mergeCell ref="K2:K3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6" max="6" width="6.0"/>
    <col customWidth="1" min="7" max="7" width="9.86"/>
    <col customWidth="1" min="8" max="8" width="16.43"/>
    <col customWidth="1" min="9" max="9" width="16.14"/>
  </cols>
  <sheetData>
    <row r="1">
      <c r="I1" s="122"/>
      <c r="N1" s="122"/>
    </row>
    <row r="2">
      <c r="B2" s="817" t="s">
        <v>420</v>
      </c>
      <c r="G2" s="817" t="s">
        <v>421</v>
      </c>
      <c r="I2" s="122"/>
      <c r="N2" s="122"/>
    </row>
    <row r="3">
      <c r="B3" s="174" t="s">
        <v>422</v>
      </c>
      <c r="C3" s="117"/>
      <c r="D3" s="119"/>
      <c r="G3" s="174" t="s">
        <v>423</v>
      </c>
      <c r="I3" s="122"/>
      <c r="N3" s="122"/>
    </row>
    <row r="4">
      <c r="B4" s="819"/>
      <c r="C4" s="819">
        <v>1228.0</v>
      </c>
      <c r="D4" s="174">
        <v>278.03</v>
      </c>
      <c r="H4" s="366">
        <v>105.0</v>
      </c>
      <c r="J4" s="358">
        <v>-1001.0</v>
      </c>
      <c r="N4" s="122"/>
    </row>
    <row r="5">
      <c r="B5" s="819"/>
      <c r="C5" s="819">
        <v>1127.0</v>
      </c>
      <c r="D5" s="358">
        <v>23000.15</v>
      </c>
      <c r="H5" s="366">
        <v>635.0</v>
      </c>
      <c r="J5" s="358">
        <v>12404.5</v>
      </c>
      <c r="N5" s="122"/>
    </row>
    <row r="6">
      <c r="B6" s="819"/>
      <c r="C6" s="819">
        <v>1230.0</v>
      </c>
      <c r="D6" s="820">
        <v>39131.11</v>
      </c>
      <c r="H6" s="366">
        <v>1931.0</v>
      </c>
      <c r="I6" s="366"/>
      <c r="J6" s="821">
        <v>12230.94</v>
      </c>
      <c r="N6" s="122"/>
    </row>
    <row r="7">
      <c r="B7" s="819"/>
      <c r="C7" s="819">
        <v>828.0</v>
      </c>
      <c r="D7" s="358">
        <v>19368.41</v>
      </c>
      <c r="G7" s="822"/>
      <c r="H7" s="823" t="s">
        <v>66</v>
      </c>
      <c r="I7" s="823"/>
      <c r="J7" s="122">
        <f>J4+J6+J5</f>
        <v>23634.44</v>
      </c>
      <c r="N7" s="122"/>
    </row>
    <row r="8">
      <c r="B8" s="824" t="s">
        <v>66</v>
      </c>
      <c r="C8" s="824"/>
      <c r="D8" s="825">
        <f>D4+D5+D6+D7</f>
        <v>81777.7</v>
      </c>
      <c r="H8" s="174" t="s">
        <v>424</v>
      </c>
      <c r="J8" s="358">
        <v>-1999.0</v>
      </c>
      <c r="N8" s="122"/>
    </row>
    <row r="9">
      <c r="B9" s="826" t="s">
        <v>425</v>
      </c>
      <c r="C9" s="826"/>
      <c r="D9" s="119">
        <v>60000.0</v>
      </c>
      <c r="H9" s="174" t="s">
        <v>426</v>
      </c>
      <c r="J9" s="358">
        <v>-159.0</v>
      </c>
      <c r="N9" s="122"/>
    </row>
    <row r="10">
      <c r="B10" s="824" t="s">
        <v>13</v>
      </c>
      <c r="C10" s="824"/>
      <c r="D10" s="240">
        <f>D8-D9</f>
        <v>21777.7</v>
      </c>
      <c r="H10" s="366" t="s">
        <v>427</v>
      </c>
      <c r="J10" s="358">
        <v>850.0</v>
      </c>
      <c r="N10" s="122"/>
    </row>
    <row r="11">
      <c r="B11" s="174" t="s">
        <v>428</v>
      </c>
      <c r="C11" s="117"/>
      <c r="D11" s="820">
        <v>-9610.18</v>
      </c>
      <c r="H11" s="827" t="s">
        <v>13</v>
      </c>
      <c r="J11" s="828">
        <f>sum(J7:J10)</f>
        <v>22326.44</v>
      </c>
      <c r="N11" s="122"/>
    </row>
    <row r="12">
      <c r="B12" s="174" t="s">
        <v>429</v>
      </c>
      <c r="C12" s="117"/>
      <c r="D12" s="820">
        <v>-5550.0</v>
      </c>
      <c r="J12" s="122"/>
      <c r="N12" s="122"/>
    </row>
    <row r="13">
      <c r="B13" s="822" t="s">
        <v>423</v>
      </c>
      <c r="C13" s="829"/>
      <c r="D13" s="830">
        <f>D10+D11+D12</f>
        <v>6617.52</v>
      </c>
      <c r="G13" s="174" t="s">
        <v>430</v>
      </c>
      <c r="H13" s="366">
        <v>105.0</v>
      </c>
      <c r="J13" s="358">
        <v>16400.0</v>
      </c>
      <c r="N13" s="122"/>
    </row>
    <row r="14">
      <c r="C14" s="831"/>
      <c r="D14" s="119"/>
      <c r="H14" s="366">
        <v>635.0</v>
      </c>
      <c r="J14" s="358">
        <v>19799.0</v>
      </c>
      <c r="N14" s="122"/>
    </row>
    <row r="15">
      <c r="C15" s="819"/>
      <c r="D15" s="119"/>
      <c r="H15" s="366">
        <v>1931.0</v>
      </c>
      <c r="I15" s="366"/>
      <c r="J15" s="821">
        <v>15249.0</v>
      </c>
      <c r="N15" s="122"/>
    </row>
    <row r="16">
      <c r="C16" s="819"/>
      <c r="D16" s="119"/>
      <c r="H16" s="832" t="s">
        <v>66</v>
      </c>
      <c r="I16" s="832"/>
      <c r="J16" s="833">
        <f>sum(J13:J15)</f>
        <v>51448</v>
      </c>
      <c r="N16" s="122"/>
    </row>
    <row r="17">
      <c r="B17" s="174" t="s">
        <v>431</v>
      </c>
      <c r="C17" s="819"/>
      <c r="D17" s="119"/>
      <c r="H17" s="174" t="s">
        <v>432</v>
      </c>
      <c r="I17" s="122"/>
      <c r="J17" s="122">
        <f>sum(I18:I29)</f>
        <v>18562.97</v>
      </c>
      <c r="N17" s="122"/>
    </row>
    <row r="18">
      <c r="B18" s="819"/>
      <c r="C18" s="819">
        <v>1228.0</v>
      </c>
      <c r="D18" s="358">
        <v>4847.78</v>
      </c>
      <c r="H18" s="174" t="s">
        <v>433</v>
      </c>
      <c r="I18" s="358">
        <v>3766.42</v>
      </c>
      <c r="N18" s="122"/>
    </row>
    <row r="19">
      <c r="B19" s="819"/>
      <c r="C19" s="819">
        <v>1127.0</v>
      </c>
      <c r="D19" s="358">
        <v>213.59</v>
      </c>
      <c r="H19" s="174" t="s">
        <v>434</v>
      </c>
      <c r="I19" s="358">
        <v>6260.74</v>
      </c>
      <c r="N19" s="122"/>
    </row>
    <row r="20">
      <c r="B20" s="819"/>
      <c r="C20" s="819">
        <v>1230.0</v>
      </c>
      <c r="D20" s="820">
        <v>-191.04</v>
      </c>
      <c r="H20" s="174" t="s">
        <v>436</v>
      </c>
      <c r="I20" s="358">
        <v>1059.8</v>
      </c>
      <c r="N20" s="122"/>
    </row>
    <row r="21">
      <c r="B21" s="819"/>
      <c r="C21" s="819">
        <v>828.0</v>
      </c>
      <c r="D21" s="358">
        <v>4009.27</v>
      </c>
      <c r="H21" s="174" t="s">
        <v>437</v>
      </c>
      <c r="I21" s="358">
        <v>909.4</v>
      </c>
      <c r="M21" s="206">
        <f>450*8</f>
        <v>3600</v>
      </c>
      <c r="N21" s="122"/>
    </row>
    <row r="22">
      <c r="B22" s="824" t="s">
        <v>66</v>
      </c>
      <c r="C22" s="824"/>
      <c r="D22" s="834">
        <f>D18+D19+D20+D21</f>
        <v>8879.6</v>
      </c>
      <c r="H22" s="174" t="s">
        <v>438</v>
      </c>
      <c r="I22" s="358">
        <v>3163.61</v>
      </c>
      <c r="M22" s="174">
        <v>1500.0</v>
      </c>
      <c r="N22" s="122"/>
    </row>
    <row r="23">
      <c r="H23" s="174" t="s">
        <v>439</v>
      </c>
      <c r="I23" s="358">
        <v>150.0</v>
      </c>
      <c r="N23" s="122"/>
    </row>
    <row r="24">
      <c r="D24" s="835">
        <f>D22-9000</f>
        <v>-120.4</v>
      </c>
      <c r="H24" s="174" t="s">
        <v>440</v>
      </c>
      <c r="I24" s="358">
        <v>150.0</v>
      </c>
      <c r="N24" s="122"/>
    </row>
    <row r="25">
      <c r="H25" s="174" t="s">
        <v>76</v>
      </c>
      <c r="I25" s="358">
        <v>500.0</v>
      </c>
      <c r="N25" s="122"/>
    </row>
    <row r="26">
      <c r="B26" s="174" t="s">
        <v>441</v>
      </c>
      <c r="H26" s="817"/>
      <c r="I26" s="358">
        <v>500.0</v>
      </c>
      <c r="N26" s="122"/>
    </row>
    <row r="27">
      <c r="C27" s="819">
        <v>1228.0</v>
      </c>
      <c r="D27" s="358">
        <v>-3547.29</v>
      </c>
      <c r="E27" s="836">
        <f>'1228'!Q181</f>
        <v>-8492.6</v>
      </c>
      <c r="F27" s="837">
        <f t="shared" ref="F27:F30" si="1">D27-E27</f>
        <v>4945.31</v>
      </c>
      <c r="H27" s="817"/>
      <c r="I27" s="358">
        <v>500.0</v>
      </c>
      <c r="N27" s="122"/>
    </row>
    <row r="28">
      <c r="C28" s="819">
        <v>1127.0</v>
      </c>
      <c r="D28" s="358">
        <v>73.25</v>
      </c>
      <c r="E28" s="836">
        <f>'1127'!Q191</f>
        <v>73.25</v>
      </c>
      <c r="F28" s="837">
        <f t="shared" si="1"/>
        <v>0</v>
      </c>
      <c r="H28" s="174" t="s">
        <v>240</v>
      </c>
      <c r="I28" s="358">
        <v>1500.0</v>
      </c>
      <c r="N28" s="122"/>
    </row>
    <row r="29">
      <c r="C29" s="819">
        <v>1230.0</v>
      </c>
      <c r="D29" s="358">
        <v>3165.77</v>
      </c>
      <c r="E29" s="836">
        <f>'1230'!Q231</f>
        <v>-434.23</v>
      </c>
      <c r="F29" s="837">
        <f t="shared" si="1"/>
        <v>3600</v>
      </c>
      <c r="H29" s="174" t="s">
        <v>113</v>
      </c>
      <c r="I29" s="358">
        <v>103.0</v>
      </c>
      <c r="N29" s="122"/>
    </row>
    <row r="30">
      <c r="C30" s="819">
        <v>828.0</v>
      </c>
      <c r="D30" s="358">
        <v>1069.9</v>
      </c>
      <c r="E30" s="836">
        <f>'828'!Q199</f>
        <v>1069.902</v>
      </c>
      <c r="F30" s="837">
        <f t="shared" si="1"/>
        <v>-0.001999999999</v>
      </c>
      <c r="H30" s="838" t="s">
        <v>66</v>
      </c>
      <c r="I30" s="839"/>
      <c r="J30" s="839">
        <f>J16-J17</f>
        <v>32885.03</v>
      </c>
      <c r="N30" s="122"/>
    </row>
    <row r="31">
      <c r="B31" s="840" t="s">
        <v>66</v>
      </c>
      <c r="C31" s="387"/>
      <c r="D31" s="388">
        <f>SUM(D27:D30)</f>
        <v>761.63</v>
      </c>
      <c r="H31" s="366" t="s">
        <v>427</v>
      </c>
      <c r="J31" s="358">
        <v>850.0</v>
      </c>
      <c r="N31" s="122"/>
    </row>
    <row r="32">
      <c r="H32" s="841" t="s">
        <v>66</v>
      </c>
      <c r="I32" s="842"/>
      <c r="J32" s="842">
        <f>J30+J31</f>
        <v>33735.03</v>
      </c>
      <c r="N32" s="122"/>
    </row>
    <row r="33">
      <c r="I33" s="122"/>
      <c r="N33" s="122"/>
    </row>
    <row r="34">
      <c r="G34" s="174" t="s">
        <v>156</v>
      </c>
      <c r="H34" s="366">
        <v>105.0</v>
      </c>
      <c r="J34" s="843">
        <f>'105'!Q65</f>
        <v>0</v>
      </c>
      <c r="N34" s="122"/>
    </row>
    <row r="35">
      <c r="H35" s="366">
        <v>635.0</v>
      </c>
      <c r="J35" s="358">
        <f>'635'!Q74</f>
        <v>0</v>
      </c>
      <c r="L35" s="844"/>
      <c r="M35" s="845"/>
      <c r="N35" s="122"/>
    </row>
    <row r="36">
      <c r="H36" s="366">
        <v>1931.0</v>
      </c>
      <c r="I36" s="366"/>
      <c r="J36" s="821">
        <f>'1931'!Q122</f>
        <v>0</v>
      </c>
      <c r="N36" s="122"/>
    </row>
    <row r="37">
      <c r="B37" s="817" t="s">
        <v>442</v>
      </c>
      <c r="C37" s="846"/>
      <c r="H37" s="832" t="s">
        <v>66</v>
      </c>
      <c r="I37" s="832"/>
      <c r="J37" s="833">
        <f>sum(J34:J36)</f>
        <v>0</v>
      </c>
      <c r="N37" s="122"/>
    </row>
    <row r="38">
      <c r="B38" s="174">
        <v>828.0</v>
      </c>
      <c r="C38" s="843">
        <f>'828'!Q335</f>
        <v>-11828.278</v>
      </c>
      <c r="H38" s="366" t="s">
        <v>427</v>
      </c>
      <c r="J38" s="358">
        <v>850.0</v>
      </c>
      <c r="N38" s="122"/>
    </row>
    <row r="39">
      <c r="B39" s="174">
        <v>1230.0</v>
      </c>
      <c r="C39" s="367">
        <f>'1230'!Q415</f>
        <v>-20077.93</v>
      </c>
      <c r="H39" s="838" t="s">
        <v>66</v>
      </c>
      <c r="I39" s="839"/>
      <c r="J39" s="839">
        <f>J37+J38</f>
        <v>850</v>
      </c>
      <c r="N39" s="122"/>
    </row>
    <row r="40">
      <c r="B40" s="174">
        <v>1228.0</v>
      </c>
      <c r="C40" s="367">
        <f>'1228'!Q350</f>
        <v>21652.37</v>
      </c>
      <c r="H40" s="174" t="s">
        <v>177</v>
      </c>
      <c r="I40" s="122"/>
      <c r="J40" s="174">
        <v>-1352.25</v>
      </c>
      <c r="N40" s="122"/>
    </row>
    <row r="41">
      <c r="B41" s="174">
        <v>1127.0</v>
      </c>
      <c r="C41" s="367">
        <f>'1127'!Q374</f>
        <v>12397.9</v>
      </c>
      <c r="H41" s="174" t="s">
        <v>93</v>
      </c>
      <c r="I41" s="122"/>
      <c r="J41" s="174">
        <v>-500.0</v>
      </c>
      <c r="N41" s="122"/>
    </row>
    <row r="42">
      <c r="B42" s="847" t="s">
        <v>66</v>
      </c>
      <c r="C42" s="848">
        <f>SUM(C38:C41)</f>
        <v>2144.062</v>
      </c>
      <c r="H42" s="174" t="s">
        <v>444</v>
      </c>
      <c r="I42" s="122"/>
      <c r="J42" s="174">
        <f>-475*3</f>
        <v>-1425</v>
      </c>
      <c r="N42" s="122"/>
    </row>
    <row r="43">
      <c r="B43" s="817" t="s">
        <v>445</v>
      </c>
      <c r="H43" s="174" t="s">
        <v>446</v>
      </c>
      <c r="I43" s="122"/>
      <c r="J43" s="206">
        <f>-334-299</f>
        <v>-633</v>
      </c>
      <c r="N43" s="122"/>
    </row>
    <row r="44">
      <c r="B44" s="174">
        <v>1127.0</v>
      </c>
      <c r="C44" s="367">
        <f>'1127'!Q446</f>
        <v>0</v>
      </c>
      <c r="H44" s="838" t="s">
        <v>66</v>
      </c>
      <c r="I44" s="839"/>
      <c r="J44" s="839">
        <f>sum(J39:J43)</f>
        <v>-3060.25</v>
      </c>
      <c r="N44" s="122"/>
    </row>
    <row r="45">
      <c r="B45" s="174">
        <v>1230.0</v>
      </c>
      <c r="C45" s="367">
        <f>'1230'!Q493</f>
        <v>0</v>
      </c>
      <c r="G45" s="174" t="s">
        <v>127</v>
      </c>
      <c r="H45" s="366">
        <v>105.0</v>
      </c>
      <c r="J45" s="358">
        <v>10736.62</v>
      </c>
      <c r="N45" s="122"/>
    </row>
    <row r="46">
      <c r="B46" s="174">
        <v>1228.0</v>
      </c>
      <c r="C46" s="367">
        <f>'1228'!Q417</f>
        <v>0</v>
      </c>
      <c r="H46" s="366">
        <v>635.0</v>
      </c>
      <c r="J46" s="358">
        <v>19149.0</v>
      </c>
      <c r="N46" s="122"/>
    </row>
    <row r="47">
      <c r="B47" s="849" t="s">
        <v>66</v>
      </c>
      <c r="C47" s="850">
        <f>C44+C45+C46</f>
        <v>0</v>
      </c>
      <c r="H47" s="851">
        <v>1931.0</v>
      </c>
      <c r="I47" s="851"/>
      <c r="J47" s="852">
        <v>9293.31</v>
      </c>
      <c r="N47" s="122"/>
    </row>
    <row r="48">
      <c r="H48" s="174" t="s">
        <v>66</v>
      </c>
      <c r="I48" s="122"/>
      <c r="J48" s="122">
        <f>sum(J45:J47)</f>
        <v>39178.93</v>
      </c>
      <c r="M48" s="174">
        <v>1228.0</v>
      </c>
      <c r="N48" s="358">
        <v>6618.66</v>
      </c>
    </row>
    <row r="49">
      <c r="B49" s="853" t="s">
        <v>447</v>
      </c>
      <c r="C49" s="854">
        <f>C42+C47</f>
        <v>2144.062</v>
      </c>
      <c r="H49" s="174" t="s">
        <v>9</v>
      </c>
      <c r="I49" s="358" t="s">
        <v>448</v>
      </c>
      <c r="J49" s="358">
        <v>450.0</v>
      </c>
      <c r="M49" s="174">
        <v>1127.0</v>
      </c>
      <c r="N49" s="358">
        <v>7030.33</v>
      </c>
    </row>
    <row r="50">
      <c r="H50" s="827" t="s">
        <v>66</v>
      </c>
      <c r="I50" s="828"/>
      <c r="J50" s="828">
        <f>sum(J48:J49)</f>
        <v>39628.93</v>
      </c>
      <c r="M50" s="174">
        <v>1230.0</v>
      </c>
      <c r="N50" s="358">
        <v>5761.7</v>
      </c>
    </row>
    <row r="51">
      <c r="G51" s="174" t="s">
        <v>146</v>
      </c>
      <c r="H51" s="366">
        <v>105.0</v>
      </c>
      <c r="J51" s="358">
        <v>5296.36</v>
      </c>
      <c r="M51" s="387"/>
      <c r="N51" s="388">
        <f>sum(N48:N50)</f>
        <v>19410.69</v>
      </c>
    </row>
    <row r="52">
      <c r="H52" s="366">
        <v>635.0</v>
      </c>
      <c r="J52" s="358">
        <v>14749.0</v>
      </c>
      <c r="N52" s="122">
        <f>C57+J193</f>
        <v>17779.81</v>
      </c>
    </row>
    <row r="53">
      <c r="B53" s="817" t="s">
        <v>450</v>
      </c>
      <c r="H53" s="851">
        <v>1931.0</v>
      </c>
      <c r="I53" s="851"/>
      <c r="J53" s="852">
        <v>1565.0</v>
      </c>
      <c r="N53" s="122"/>
    </row>
    <row r="54">
      <c r="B54" s="174">
        <v>1230.0</v>
      </c>
      <c r="C54" s="367">
        <f>'1230'!Q543</f>
        <v>-5691.17</v>
      </c>
      <c r="H54" s="174" t="s">
        <v>66</v>
      </c>
      <c r="I54" s="122"/>
      <c r="J54" s="122">
        <f>sum(J51:J53)</f>
        <v>21610.36</v>
      </c>
      <c r="N54" s="122"/>
    </row>
    <row r="55">
      <c r="B55" s="174">
        <v>1228.0</v>
      </c>
      <c r="C55" s="367">
        <f>'1228'!Q476</f>
        <v>-2533</v>
      </c>
      <c r="H55" s="174" t="s">
        <v>451</v>
      </c>
      <c r="I55" s="122"/>
      <c r="J55" s="358">
        <v>-4017.79</v>
      </c>
      <c r="N55" s="122"/>
    </row>
    <row r="56">
      <c r="B56" s="174">
        <v>1127.0</v>
      </c>
      <c r="C56" s="367">
        <f>'1127'!Q491</f>
        <v>11991.67</v>
      </c>
      <c r="H56" s="174" t="s">
        <v>437</v>
      </c>
      <c r="I56" s="122"/>
      <c r="J56" s="174">
        <v>-140.0</v>
      </c>
      <c r="N56" s="122"/>
    </row>
    <row r="57">
      <c r="B57" s="847" t="s">
        <v>66</v>
      </c>
      <c r="C57" s="855">
        <f>SUM(C54:C56)</f>
        <v>3767.5</v>
      </c>
      <c r="H57" s="174" t="s">
        <v>93</v>
      </c>
      <c r="I57" s="122"/>
      <c r="J57" s="174">
        <v>-1000.0</v>
      </c>
      <c r="N57" s="122"/>
    </row>
    <row r="58">
      <c r="H58" s="174" t="s">
        <v>452</v>
      </c>
      <c r="I58" s="122"/>
      <c r="J58" s="174">
        <v>-506.01</v>
      </c>
      <c r="N58" s="122"/>
    </row>
    <row r="59">
      <c r="H59" s="827" t="s">
        <v>66</v>
      </c>
      <c r="I59" s="828"/>
      <c r="J59" s="828">
        <f>sum(J54:J58)</f>
        <v>15946.56</v>
      </c>
      <c r="N59" s="122"/>
      <c r="O59" s="358"/>
    </row>
    <row r="60">
      <c r="G60" s="174" t="s">
        <v>453</v>
      </c>
      <c r="H60" s="366">
        <v>105.0</v>
      </c>
      <c r="J60" s="358">
        <v>-8224.01</v>
      </c>
      <c r="K60" s="358">
        <f>'105'!Q126</f>
        <v>0</v>
      </c>
      <c r="N60" s="122"/>
      <c r="O60" s="358"/>
    </row>
    <row r="61">
      <c r="H61" s="366">
        <v>635.0</v>
      </c>
      <c r="J61" s="358">
        <v>20725.0</v>
      </c>
      <c r="K61" s="367">
        <f>'635'!Q141</f>
        <v>0</v>
      </c>
      <c r="N61" s="122"/>
      <c r="O61" s="358"/>
    </row>
    <row r="62">
      <c r="H62" s="851">
        <v>1931.0</v>
      </c>
      <c r="I62" s="851"/>
      <c r="J62" s="852">
        <v>-725.43</v>
      </c>
      <c r="K62" s="367">
        <f>'1931'!Q203</f>
        <v>0</v>
      </c>
      <c r="N62" s="122"/>
      <c r="O62" s="358"/>
    </row>
    <row r="63">
      <c r="H63" s="174" t="s">
        <v>66</v>
      </c>
      <c r="I63" s="122"/>
      <c r="J63" s="122">
        <f>sum(J60:J62)</f>
        <v>11775.56</v>
      </c>
      <c r="N63" s="122"/>
      <c r="O63" s="122"/>
    </row>
    <row r="64">
      <c r="H64" s="174" t="s">
        <v>454</v>
      </c>
      <c r="I64" s="122"/>
      <c r="J64" s="358">
        <v>-140.0</v>
      </c>
      <c r="N64" s="122"/>
    </row>
    <row r="65">
      <c r="H65" s="174" t="s">
        <v>455</v>
      </c>
      <c r="I65" s="122"/>
      <c r="J65" s="358">
        <v>-200.0</v>
      </c>
      <c r="N65" s="122"/>
    </row>
    <row r="66">
      <c r="H66" s="174" t="s">
        <v>438</v>
      </c>
      <c r="I66" s="122"/>
      <c r="J66" s="358">
        <v>-2771.35</v>
      </c>
      <c r="N66" s="122"/>
    </row>
    <row r="67">
      <c r="H67" s="174" t="s">
        <v>456</v>
      </c>
      <c r="I67" s="122"/>
      <c r="J67" s="174">
        <v>-841.33</v>
      </c>
      <c r="N67" s="122"/>
    </row>
    <row r="68">
      <c r="H68" s="856" t="s">
        <v>66</v>
      </c>
      <c r="I68" s="857"/>
      <c r="J68" s="857">
        <f>sum(J63:J67)</f>
        <v>7822.88</v>
      </c>
      <c r="N68" s="122"/>
    </row>
    <row r="69">
      <c r="H69" s="174" t="s">
        <v>457</v>
      </c>
      <c r="I69" s="122"/>
      <c r="J69" s="174">
        <v>400.0</v>
      </c>
      <c r="N69" s="122"/>
    </row>
    <row r="70">
      <c r="H70" s="858" t="s">
        <v>447</v>
      </c>
      <c r="I70" s="859"/>
      <c r="J70" s="859">
        <f>sum(J68:J69)</f>
        <v>8222.88</v>
      </c>
      <c r="N70" s="122"/>
    </row>
    <row r="71">
      <c r="G71" s="174" t="s">
        <v>260</v>
      </c>
      <c r="H71" s="366" t="s">
        <v>173</v>
      </c>
      <c r="N71" s="122"/>
    </row>
    <row r="72">
      <c r="H72" s="174">
        <v>1931.0</v>
      </c>
      <c r="I72" s="206" t="str">
        <f>D80</f>
        <v/>
      </c>
      <c r="J72" s="367">
        <f>'1931'!V216</f>
        <v>0</v>
      </c>
      <c r="N72" s="122"/>
    </row>
    <row r="73">
      <c r="H73" s="174">
        <v>635.0</v>
      </c>
      <c r="I73" s="206" t="str">
        <f>'635'!D19</f>
        <v/>
      </c>
      <c r="J73" s="843">
        <f>'1931'!V217</f>
        <v>0</v>
      </c>
      <c r="N73" s="122"/>
    </row>
    <row r="74">
      <c r="H74" s="174">
        <v>105.0</v>
      </c>
      <c r="I74" s="206" t="str">
        <f>'105'!D3</f>
        <v/>
      </c>
      <c r="J74" s="367">
        <f>'1931'!V218</f>
        <v>0</v>
      </c>
      <c r="N74" s="122"/>
    </row>
    <row r="75">
      <c r="H75" s="368" t="s">
        <v>66</v>
      </c>
      <c r="I75" s="860"/>
      <c r="J75" s="369">
        <f>sum(J72:J74)</f>
        <v>0</v>
      </c>
      <c r="N75" s="122"/>
    </row>
    <row r="76">
      <c r="H76" s="174" t="s">
        <v>174</v>
      </c>
      <c r="N76" s="122"/>
    </row>
    <row r="77">
      <c r="H77" s="174" t="s">
        <v>175</v>
      </c>
      <c r="I77" s="358">
        <v>-2555.42</v>
      </c>
      <c r="N77" s="122"/>
      <c r="O77" s="174" t="s">
        <v>458</v>
      </c>
    </row>
    <row r="78">
      <c r="H78" s="174" t="s">
        <v>176</v>
      </c>
      <c r="I78" s="358">
        <v>-3094.76</v>
      </c>
      <c r="N78" s="122"/>
    </row>
    <row r="79">
      <c r="H79" s="174" t="s">
        <v>177</v>
      </c>
      <c r="I79" s="358">
        <v>-1352.25</v>
      </c>
      <c r="J79" s="122">
        <f>sum(I77:I79)</f>
        <v>-7002.43</v>
      </c>
      <c r="N79" s="122"/>
    </row>
    <row r="80">
      <c r="H80" s="368" t="s">
        <v>66</v>
      </c>
      <c r="I80" s="860"/>
      <c r="J80" s="369">
        <f>sum(J75:J79)</f>
        <v>-7002.43</v>
      </c>
      <c r="N80" s="122"/>
    </row>
    <row r="81">
      <c r="H81" s="174" t="s">
        <v>110</v>
      </c>
      <c r="J81" s="358">
        <v>25000.0</v>
      </c>
      <c r="N81" s="122"/>
    </row>
    <row r="82">
      <c r="H82" s="368" t="s">
        <v>13</v>
      </c>
      <c r="I82" s="860"/>
      <c r="J82" s="414">
        <f>J80-J81</f>
        <v>-32002.43</v>
      </c>
      <c r="N82" s="122"/>
    </row>
    <row r="83">
      <c r="I83" s="122"/>
      <c r="N83" s="122"/>
    </row>
    <row r="84">
      <c r="G84" s="174" t="s">
        <v>459</v>
      </c>
      <c r="H84" s="366" t="s">
        <v>173</v>
      </c>
      <c r="N84" s="122"/>
    </row>
    <row r="85">
      <c r="H85" s="174">
        <v>1931.0</v>
      </c>
      <c r="J85" s="367">
        <f>'1931'!Q244</f>
        <v>6999</v>
      </c>
      <c r="N85" s="122"/>
    </row>
    <row r="86">
      <c r="H86" s="174">
        <v>635.0</v>
      </c>
      <c r="J86" s="843">
        <f>'635'!Q177</f>
        <v>12274</v>
      </c>
      <c r="N86" s="122"/>
    </row>
    <row r="87">
      <c r="H87" s="174">
        <v>105.0</v>
      </c>
      <c r="J87" s="367">
        <f>'105'!Q164</f>
        <v>9849</v>
      </c>
      <c r="N87" s="122"/>
    </row>
    <row r="88">
      <c r="H88" s="368" t="s">
        <v>66</v>
      </c>
      <c r="I88" s="860"/>
      <c r="J88" s="369">
        <f>sum(J85:J87)</f>
        <v>29122</v>
      </c>
      <c r="N88" s="122"/>
    </row>
    <row r="89">
      <c r="H89" s="174">
        <v>1931.0</v>
      </c>
      <c r="I89" s="358" t="s">
        <v>208</v>
      </c>
      <c r="J89" s="358">
        <v>4675.89</v>
      </c>
      <c r="N89" s="122"/>
    </row>
    <row r="90">
      <c r="I90" s="358" t="s">
        <v>55</v>
      </c>
      <c r="J90" s="358">
        <v>2730.82</v>
      </c>
      <c r="N90" s="122"/>
    </row>
    <row r="91">
      <c r="H91" s="174">
        <v>105.0</v>
      </c>
      <c r="I91" s="358" t="s">
        <v>55</v>
      </c>
      <c r="J91" s="358">
        <v>3039.62</v>
      </c>
      <c r="N91" s="122"/>
    </row>
    <row r="92">
      <c r="I92" s="358" t="s">
        <v>460</v>
      </c>
      <c r="J92" s="358">
        <f>160+952.74</f>
        <v>1112.74</v>
      </c>
      <c r="N92" s="122"/>
    </row>
    <row r="93">
      <c r="H93" s="174" t="s">
        <v>461</v>
      </c>
      <c r="I93" s="122"/>
      <c r="J93" s="174">
        <v>345.0</v>
      </c>
      <c r="N93" s="122"/>
    </row>
    <row r="94">
      <c r="H94" s="174" t="s">
        <v>462</v>
      </c>
      <c r="I94" s="122"/>
      <c r="J94" s="174">
        <v>150.0</v>
      </c>
      <c r="N94" s="122"/>
    </row>
    <row r="95">
      <c r="H95" s="174" t="s">
        <v>463</v>
      </c>
      <c r="I95" s="122"/>
      <c r="J95" s="174">
        <v>928.0</v>
      </c>
      <c r="N95" s="122"/>
    </row>
    <row r="96">
      <c r="H96" s="174" t="s">
        <v>464</v>
      </c>
      <c r="I96" s="122"/>
      <c r="J96" s="174">
        <v>500.0</v>
      </c>
      <c r="N96" s="122"/>
    </row>
    <row r="97">
      <c r="H97" s="174" t="s">
        <v>465</v>
      </c>
      <c r="I97" s="122"/>
      <c r="J97" s="174">
        <v>100.0</v>
      </c>
      <c r="N97" s="122"/>
    </row>
    <row r="98">
      <c r="H98" s="174" t="s">
        <v>466</v>
      </c>
      <c r="I98" s="122"/>
      <c r="J98" s="174">
        <v>500.0</v>
      </c>
      <c r="N98" s="122"/>
    </row>
    <row r="99">
      <c r="H99" s="174" t="s">
        <v>467</v>
      </c>
      <c r="I99" s="122"/>
      <c r="J99" s="174">
        <v>200.0</v>
      </c>
      <c r="N99" s="122"/>
    </row>
    <row r="100">
      <c r="H100" s="861" t="s">
        <v>66</v>
      </c>
      <c r="I100" s="862"/>
      <c r="J100" s="414">
        <f>J88-sum(J89:J99)</f>
        <v>14839.93</v>
      </c>
      <c r="N100" s="122"/>
    </row>
    <row r="101">
      <c r="G101" s="174" t="s">
        <v>468</v>
      </c>
      <c r="H101" s="174" t="s">
        <v>173</v>
      </c>
      <c r="I101" s="122"/>
      <c r="N101" s="122"/>
    </row>
    <row r="102">
      <c r="H102" s="174">
        <v>1931.0</v>
      </c>
      <c r="J102" s="367">
        <f>'1931'!Q269</f>
        <v>0</v>
      </c>
      <c r="M102" s="174">
        <v>270.0</v>
      </c>
      <c r="N102" s="122"/>
    </row>
    <row r="103">
      <c r="H103" s="174">
        <v>635.0</v>
      </c>
      <c r="J103" s="843">
        <f>'635'!Q203</f>
        <v>0</v>
      </c>
      <c r="M103" s="174">
        <v>6295.5</v>
      </c>
      <c r="N103" s="122"/>
    </row>
    <row r="104">
      <c r="H104" s="174">
        <v>105.0</v>
      </c>
      <c r="J104" s="367">
        <f>'105'!Q183</f>
        <v>0</v>
      </c>
      <c r="M104" s="863">
        <v>1366.0</v>
      </c>
      <c r="N104" s="122"/>
    </row>
    <row r="105">
      <c r="H105" s="849" t="s">
        <v>66</v>
      </c>
      <c r="I105" s="864"/>
      <c r="J105" s="865">
        <f>SUM(J102:J104)</f>
        <v>0</v>
      </c>
      <c r="M105" s="863">
        <v>862.0</v>
      </c>
      <c r="N105" s="122"/>
    </row>
    <row r="106">
      <c r="G106" s="174" t="s">
        <v>469</v>
      </c>
      <c r="H106" s="174" t="s">
        <v>173</v>
      </c>
      <c r="I106" s="122"/>
      <c r="M106" s="863">
        <v>280.0</v>
      </c>
      <c r="N106" s="122"/>
    </row>
    <row r="107">
      <c r="H107" s="174">
        <v>1931.0</v>
      </c>
      <c r="J107" s="367">
        <f>'1931'!Q293</f>
        <v>0</v>
      </c>
      <c r="M107" s="174">
        <v>1000.0</v>
      </c>
      <c r="N107" s="122"/>
    </row>
    <row r="108">
      <c r="H108" s="174">
        <v>635.0</v>
      </c>
      <c r="J108" s="843">
        <f>'635'!Q227</f>
        <v>0</v>
      </c>
      <c r="M108" s="863">
        <v>739.25</v>
      </c>
      <c r="N108" s="122"/>
    </row>
    <row r="109">
      <c r="H109" s="174">
        <v>105.0</v>
      </c>
      <c r="J109" s="367">
        <f>'105'!Q200</f>
        <v>0</v>
      </c>
      <c r="M109" s="174">
        <v>238.48</v>
      </c>
      <c r="N109" s="122"/>
    </row>
    <row r="110">
      <c r="H110" s="866" t="s">
        <v>66</v>
      </c>
      <c r="I110" s="867"/>
      <c r="J110" s="868">
        <f>SUM(J107:J109)</f>
        <v>0</v>
      </c>
      <c r="M110" s="174">
        <v>830.08</v>
      </c>
      <c r="N110" s="122"/>
    </row>
    <row r="111">
      <c r="H111" s="174" t="s">
        <v>187</v>
      </c>
      <c r="I111" s="122"/>
      <c r="J111" s="122">
        <f>-500*2</f>
        <v>-1000</v>
      </c>
      <c r="M111" s="174">
        <v>402.13</v>
      </c>
      <c r="N111" s="122"/>
    </row>
    <row r="112">
      <c r="H112" s="174" t="s">
        <v>471</v>
      </c>
      <c r="I112" s="122"/>
      <c r="J112" s="122">
        <f>-100*3</f>
        <v>-300</v>
      </c>
      <c r="M112" s="174">
        <v>93.59</v>
      </c>
      <c r="N112" s="122"/>
    </row>
    <row r="113">
      <c r="B113" s="174" t="s">
        <v>472</v>
      </c>
      <c r="C113" s="358">
        <v>800.0</v>
      </c>
      <c r="H113" s="849" t="s">
        <v>447</v>
      </c>
      <c r="I113" s="869"/>
      <c r="J113" s="865">
        <f>sum(J110:J112)</f>
        <v>-1300</v>
      </c>
      <c r="M113" s="174">
        <v>350.96</v>
      </c>
      <c r="N113" s="122"/>
    </row>
    <row r="114">
      <c r="B114" s="174" t="s">
        <v>473</v>
      </c>
      <c r="C114" s="358">
        <v>1500.0</v>
      </c>
      <c r="G114" s="174" t="s">
        <v>474</v>
      </c>
      <c r="H114" s="174" t="s">
        <v>173</v>
      </c>
      <c r="I114" s="122"/>
      <c r="M114" s="174">
        <v>437.6</v>
      </c>
      <c r="N114" s="122"/>
    </row>
    <row r="115">
      <c r="B115" s="174" t="s">
        <v>475</v>
      </c>
      <c r="C115" s="358">
        <v>2500.0</v>
      </c>
      <c r="H115" s="174">
        <v>1931.0</v>
      </c>
      <c r="J115" s="367">
        <f>'1931'!Q319</f>
        <v>0</v>
      </c>
      <c r="M115" s="174">
        <v>742.01</v>
      </c>
      <c r="N115" s="122"/>
    </row>
    <row r="116">
      <c r="B116" s="174" t="s">
        <v>476</v>
      </c>
      <c r="C116" s="358">
        <v>7000.0</v>
      </c>
      <c r="H116" s="174">
        <v>635.0</v>
      </c>
      <c r="J116" s="843">
        <f>'635'!Q248</f>
        <v>0</v>
      </c>
      <c r="L116" s="206">
        <f>19*2</f>
        <v>38</v>
      </c>
      <c r="M116" s="174">
        <v>981.76</v>
      </c>
      <c r="N116" s="122"/>
    </row>
    <row r="117">
      <c r="B117" s="840" t="s">
        <v>66</v>
      </c>
      <c r="C117" s="870">
        <f>sum(C113:C116)</f>
        <v>11800</v>
      </c>
      <c r="H117" s="174">
        <v>105.0</v>
      </c>
      <c r="J117" s="367">
        <f>'105'!Q222</f>
        <v>0</v>
      </c>
      <c r="L117" s="206">
        <f>22*2</f>
        <v>44</v>
      </c>
      <c r="M117" s="174">
        <v>980.46</v>
      </c>
      <c r="N117" s="122"/>
    </row>
    <row r="118">
      <c r="B118" s="840" t="s">
        <v>477</v>
      </c>
      <c r="C118" s="388">
        <f>C117/2</f>
        <v>5900</v>
      </c>
      <c r="H118" s="866" t="s">
        <v>66</v>
      </c>
      <c r="I118" s="867"/>
      <c r="J118" s="868">
        <f>SUM(J115:J117)</f>
        <v>0</v>
      </c>
      <c r="L118" s="206">
        <f>L116+L117</f>
        <v>82</v>
      </c>
      <c r="M118" s="174">
        <v>196.82</v>
      </c>
      <c r="N118" s="122"/>
    </row>
    <row r="119">
      <c r="B119" s="174" t="s">
        <v>478</v>
      </c>
      <c r="C119" s="358">
        <v>15000.0</v>
      </c>
      <c r="H119" s="174" t="s">
        <v>187</v>
      </c>
      <c r="I119" s="122"/>
      <c r="J119" s="358">
        <v>-1000.0</v>
      </c>
      <c r="M119" s="174">
        <v>569.02</v>
      </c>
      <c r="N119" s="122"/>
    </row>
    <row r="120">
      <c r="B120" s="840" t="s">
        <v>13</v>
      </c>
      <c r="C120" s="388">
        <f>C119-C118</f>
        <v>9100</v>
      </c>
      <c r="H120" s="174" t="s">
        <v>177</v>
      </c>
      <c r="J120" s="358">
        <v>-1032.75</v>
      </c>
      <c r="M120" s="174">
        <v>526.84</v>
      </c>
      <c r="N120" s="122"/>
    </row>
    <row r="121">
      <c r="C121" s="122"/>
      <c r="H121" s="871" t="s">
        <v>66</v>
      </c>
      <c r="I121" s="872"/>
      <c r="J121" s="873">
        <f>J118+J119+J120</f>
        <v>-2032.75</v>
      </c>
      <c r="M121" s="863">
        <v>205.71</v>
      </c>
      <c r="N121" s="358" t="s">
        <v>479</v>
      </c>
    </row>
    <row r="122">
      <c r="C122" s="122"/>
      <c r="H122" s="174" t="s">
        <v>480</v>
      </c>
      <c r="I122" s="358" t="s">
        <v>481</v>
      </c>
      <c r="J122" s="122">
        <f>850*8</f>
        <v>6800</v>
      </c>
      <c r="M122" s="174">
        <v>443.97</v>
      </c>
      <c r="N122" s="122"/>
    </row>
    <row r="123">
      <c r="H123" s="849" t="s">
        <v>447</v>
      </c>
      <c r="I123" s="869"/>
      <c r="J123" s="865">
        <f>J121+J122</f>
        <v>4767.25</v>
      </c>
      <c r="M123" s="174">
        <v>1331.89</v>
      </c>
      <c r="N123" s="122"/>
    </row>
    <row r="124">
      <c r="G124" s="174" t="s">
        <v>482</v>
      </c>
      <c r="H124" s="174" t="s">
        <v>173</v>
      </c>
      <c r="I124" s="122"/>
      <c r="M124" s="174">
        <v>369.97</v>
      </c>
      <c r="N124" s="122"/>
    </row>
    <row r="125">
      <c r="H125" s="174">
        <v>1931.0</v>
      </c>
      <c r="J125" s="367">
        <f>'1931'!Q338</f>
        <v>0</v>
      </c>
      <c r="M125" s="174">
        <v>2634.97</v>
      </c>
      <c r="N125" s="122"/>
    </row>
    <row r="126">
      <c r="H126" s="174">
        <v>635.0</v>
      </c>
      <c r="J126" s="843">
        <f>'635'!Q266</f>
        <v>0</v>
      </c>
      <c r="M126" s="174">
        <v>373.14</v>
      </c>
      <c r="N126" s="122"/>
    </row>
    <row r="127">
      <c r="H127" s="174">
        <v>105.0</v>
      </c>
      <c r="J127" s="367">
        <f>'105'!Q244</f>
        <v>0</v>
      </c>
      <c r="M127" s="174">
        <v>594.97</v>
      </c>
      <c r="N127" s="122"/>
    </row>
    <row r="128">
      <c r="H128" s="866" t="s">
        <v>66</v>
      </c>
      <c r="I128" s="867"/>
      <c r="J128" s="868">
        <f>SUM(J125:J127)</f>
        <v>0</v>
      </c>
      <c r="M128" s="174">
        <v>29.97</v>
      </c>
      <c r="N128" s="122"/>
    </row>
    <row r="129">
      <c r="H129" s="174" t="s">
        <v>483</v>
      </c>
      <c r="I129" s="358"/>
      <c r="J129" s="122">
        <f>850</f>
        <v>850</v>
      </c>
      <c r="N129" s="122"/>
    </row>
    <row r="130">
      <c r="A130" s="408"/>
      <c r="B130" s="408"/>
      <c r="C130" s="408"/>
      <c r="D130" s="408"/>
      <c r="E130" s="408"/>
      <c r="F130" s="408"/>
      <c r="G130" s="408"/>
      <c r="H130" s="874" t="s">
        <v>55</v>
      </c>
      <c r="I130" s="874">
        <v>1931.0</v>
      </c>
      <c r="J130" s="875">
        <v>-3638.69</v>
      </c>
      <c r="K130" s="408"/>
      <c r="L130" s="408"/>
      <c r="M130" s="408"/>
      <c r="N130" s="876"/>
      <c r="O130" s="408"/>
      <c r="P130" s="408"/>
      <c r="Q130" s="408"/>
      <c r="R130" s="408"/>
      <c r="S130" s="408"/>
      <c r="T130" s="408"/>
      <c r="U130" s="408"/>
      <c r="V130" s="408"/>
      <c r="W130" s="408"/>
      <c r="X130" s="408"/>
      <c r="Y130" s="408"/>
      <c r="Z130" s="408"/>
    </row>
    <row r="131">
      <c r="A131" s="408"/>
      <c r="B131" s="408"/>
      <c r="C131" s="408"/>
      <c r="D131" s="408"/>
      <c r="E131" s="408"/>
      <c r="F131" s="408"/>
      <c r="G131" s="408"/>
      <c r="H131" s="874" t="s">
        <v>55</v>
      </c>
      <c r="I131" s="874">
        <v>105.0</v>
      </c>
      <c r="J131" s="875">
        <v>-2500.35</v>
      </c>
      <c r="K131" s="408"/>
      <c r="L131" s="408"/>
      <c r="M131" s="408"/>
      <c r="N131" s="876"/>
      <c r="O131" s="408"/>
      <c r="P131" s="408"/>
      <c r="Q131" s="408"/>
      <c r="R131" s="408"/>
      <c r="S131" s="408"/>
      <c r="T131" s="408"/>
      <c r="U131" s="408"/>
      <c r="V131" s="408"/>
      <c r="W131" s="408"/>
      <c r="X131" s="408"/>
      <c r="Y131" s="408"/>
      <c r="Z131" s="408"/>
    </row>
    <row r="132">
      <c r="H132" s="849" t="s">
        <v>447</v>
      </c>
      <c r="I132" s="869"/>
      <c r="J132" s="865">
        <f>sum(J128:J131)</f>
        <v>-5289.04</v>
      </c>
      <c r="N132" s="122"/>
    </row>
    <row r="133">
      <c r="G133" s="174" t="s">
        <v>423</v>
      </c>
      <c r="H133" s="174" t="s">
        <v>173</v>
      </c>
      <c r="I133" s="122"/>
      <c r="N133" s="122"/>
    </row>
    <row r="134">
      <c r="H134" s="174">
        <v>1931.0</v>
      </c>
      <c r="J134" s="367">
        <f>'1931'!Q360</f>
        <v>0</v>
      </c>
      <c r="N134" s="122"/>
    </row>
    <row r="135">
      <c r="H135" s="174">
        <v>635.0</v>
      </c>
      <c r="J135" s="843">
        <f>'635'!Q287</f>
        <v>0</v>
      </c>
      <c r="N135" s="122"/>
    </row>
    <row r="136">
      <c r="H136" s="174">
        <v>105.0</v>
      </c>
      <c r="J136" s="367">
        <f>'105'!Q253</f>
        <v>4500</v>
      </c>
      <c r="N136" s="122"/>
    </row>
    <row r="137">
      <c r="H137" s="866" t="s">
        <v>66</v>
      </c>
      <c r="I137" s="867"/>
      <c r="J137" s="868">
        <f>SUM(J134:J136)</f>
        <v>4500</v>
      </c>
      <c r="N137" s="122"/>
    </row>
    <row r="138">
      <c r="H138" s="174" t="s">
        <v>483</v>
      </c>
      <c r="I138" s="358"/>
      <c r="J138" s="122">
        <f>850</f>
        <v>850</v>
      </c>
      <c r="N138" s="122"/>
    </row>
    <row r="139">
      <c r="G139" s="408"/>
      <c r="H139" s="874" t="s">
        <v>484</v>
      </c>
      <c r="I139" s="877">
        <v>635.0</v>
      </c>
      <c r="J139" s="875">
        <v>-150.0</v>
      </c>
      <c r="N139" s="122"/>
    </row>
    <row r="140">
      <c r="G140" s="408"/>
      <c r="H140" s="874" t="s">
        <v>55</v>
      </c>
      <c r="I140" s="877">
        <v>1931.0</v>
      </c>
      <c r="J140" s="875"/>
      <c r="N140" s="122"/>
    </row>
    <row r="141">
      <c r="G141" s="408"/>
      <c r="H141" s="874" t="s">
        <v>79</v>
      </c>
      <c r="J141" s="875"/>
      <c r="N141" s="122"/>
    </row>
    <row r="142">
      <c r="H142" s="849" t="s">
        <v>447</v>
      </c>
      <c r="I142" s="869"/>
      <c r="J142" s="865">
        <f>sum(J137:J141)</f>
        <v>5200</v>
      </c>
      <c r="N142" s="122"/>
    </row>
    <row r="143">
      <c r="G143" s="174" t="s">
        <v>430</v>
      </c>
      <c r="H143" s="174" t="s">
        <v>173</v>
      </c>
      <c r="I143" s="122"/>
      <c r="N143" s="122"/>
    </row>
    <row r="144">
      <c r="H144" s="174">
        <v>1931.0</v>
      </c>
      <c r="J144" s="358">
        <v>7550.0</v>
      </c>
      <c r="N144" s="122"/>
    </row>
    <row r="145">
      <c r="H145" s="174">
        <v>635.0</v>
      </c>
      <c r="J145" s="358">
        <v>18050.0</v>
      </c>
      <c r="N145" s="122"/>
    </row>
    <row r="146">
      <c r="H146" s="866" t="s">
        <v>66</v>
      </c>
      <c r="I146" s="867"/>
      <c r="J146" s="878">
        <f>SUM(J144:J145)</f>
        <v>25600</v>
      </c>
      <c r="N146" s="122"/>
    </row>
    <row r="147">
      <c r="H147" s="174" t="s">
        <v>483</v>
      </c>
      <c r="I147" s="358"/>
      <c r="J147" s="122">
        <f>850</f>
        <v>850</v>
      </c>
      <c r="N147" s="122"/>
    </row>
    <row r="148">
      <c r="G148" s="408"/>
      <c r="H148" s="874" t="s">
        <v>187</v>
      </c>
      <c r="I148" s="879"/>
      <c r="J148" s="875">
        <v>-1000.0</v>
      </c>
      <c r="N148" s="122"/>
    </row>
    <row r="149">
      <c r="G149" s="408"/>
      <c r="H149" s="874" t="s">
        <v>484</v>
      </c>
      <c r="I149" s="879">
        <v>105.0</v>
      </c>
      <c r="J149" s="875">
        <v>-600.0</v>
      </c>
      <c r="N149" s="122"/>
    </row>
    <row r="150">
      <c r="G150" s="408"/>
      <c r="H150" s="874" t="s">
        <v>485</v>
      </c>
      <c r="I150" s="879">
        <v>635.0</v>
      </c>
      <c r="J150" s="875">
        <v>-400.0</v>
      </c>
      <c r="N150" s="122"/>
    </row>
    <row r="151">
      <c r="G151" s="408"/>
      <c r="H151" s="366">
        <v>1931.0</v>
      </c>
      <c r="I151" s="880" t="s">
        <v>59</v>
      </c>
      <c r="J151" s="875">
        <v>-4821.73</v>
      </c>
      <c r="N151" s="122"/>
    </row>
    <row r="152">
      <c r="G152" s="408"/>
      <c r="H152" s="874"/>
      <c r="I152" s="879" t="s">
        <v>55</v>
      </c>
      <c r="J152" s="875">
        <v>-2167.0</v>
      </c>
      <c r="N152" s="122"/>
    </row>
    <row r="153">
      <c r="H153" s="849" t="s">
        <v>447</v>
      </c>
      <c r="I153" s="869"/>
      <c r="J153" s="869">
        <f>sum(J146:J152)</f>
        <v>17461.27</v>
      </c>
      <c r="N153" s="122"/>
    </row>
    <row r="154">
      <c r="G154" s="174" t="s">
        <v>156</v>
      </c>
      <c r="H154" s="881" t="s">
        <v>173</v>
      </c>
      <c r="I154" s="122"/>
      <c r="N154" s="122"/>
    </row>
    <row r="155">
      <c r="H155" s="881">
        <v>1931.0</v>
      </c>
      <c r="J155" s="122">
        <v>1.8189894035458565E-12</v>
      </c>
      <c r="N155" s="122"/>
    </row>
    <row r="156">
      <c r="H156" s="881">
        <v>635.0</v>
      </c>
      <c r="J156" s="122">
        <v>0.0</v>
      </c>
      <c r="N156" s="122"/>
    </row>
    <row r="157">
      <c r="H157" s="882" t="s">
        <v>66</v>
      </c>
      <c r="I157" s="867"/>
      <c r="J157" s="878">
        <v>1.8189894035458565E-12</v>
      </c>
      <c r="N157" s="122"/>
    </row>
    <row r="158">
      <c r="H158" s="881" t="s">
        <v>483</v>
      </c>
      <c r="I158" s="122"/>
      <c r="J158" s="122">
        <v>850.0</v>
      </c>
      <c r="N158" s="122"/>
    </row>
    <row r="159">
      <c r="H159" s="883" t="s">
        <v>486</v>
      </c>
      <c r="I159" s="884"/>
      <c r="J159" s="883">
        <v>-200.0</v>
      </c>
      <c r="N159" s="122"/>
    </row>
    <row r="160">
      <c r="H160" s="883" t="s">
        <v>487</v>
      </c>
      <c r="I160" s="884"/>
      <c r="J160" s="883">
        <v>-150.0</v>
      </c>
      <c r="N160" s="122"/>
    </row>
    <row r="161">
      <c r="H161" s="883" t="s">
        <v>93</v>
      </c>
      <c r="I161" s="884"/>
      <c r="J161" s="883">
        <v>-1000.0</v>
      </c>
      <c r="N161" s="122"/>
    </row>
    <row r="162">
      <c r="H162" s="885" t="s">
        <v>447</v>
      </c>
      <c r="I162" s="869"/>
      <c r="J162" s="869">
        <v>-499.9999999999982</v>
      </c>
      <c r="N162" s="122"/>
    </row>
    <row r="163">
      <c r="G163" s="174" t="s">
        <v>488</v>
      </c>
      <c r="H163" s="881" t="s">
        <v>173</v>
      </c>
      <c r="I163" s="122"/>
      <c r="N163" s="122"/>
    </row>
    <row r="164">
      <c r="H164" s="881">
        <v>1931.0</v>
      </c>
      <c r="J164" s="122">
        <v>3.637978807091713E-12</v>
      </c>
      <c r="N164" s="122"/>
    </row>
    <row r="165">
      <c r="H165" s="881">
        <v>635.0</v>
      </c>
      <c r="J165" s="122">
        <v>44600.0</v>
      </c>
      <c r="N165" s="122"/>
    </row>
    <row r="166">
      <c r="H166" s="882" t="s">
        <v>66</v>
      </c>
      <c r="I166" s="867"/>
      <c r="J166" s="878">
        <v>44600.0</v>
      </c>
      <c r="N166" s="122"/>
    </row>
    <row r="167">
      <c r="H167" s="881" t="s">
        <v>483</v>
      </c>
      <c r="I167" s="122" t="s">
        <v>489</v>
      </c>
      <c r="J167" s="122">
        <v>1700.0</v>
      </c>
      <c r="N167" s="122"/>
    </row>
    <row r="168">
      <c r="H168" s="881" t="s">
        <v>93</v>
      </c>
      <c r="I168" s="122" t="s">
        <v>489</v>
      </c>
      <c r="J168" s="122">
        <v>-2000.0</v>
      </c>
      <c r="N168" s="122"/>
    </row>
    <row r="169">
      <c r="H169" s="881" t="s">
        <v>434</v>
      </c>
      <c r="I169" s="881" t="s">
        <v>127</v>
      </c>
      <c r="J169" s="881">
        <v>-5187.99</v>
      </c>
      <c r="N169" s="122"/>
    </row>
    <row r="170">
      <c r="H170" s="881" t="s">
        <v>434</v>
      </c>
      <c r="I170" s="881" t="s">
        <v>146</v>
      </c>
      <c r="J170" s="122">
        <v>-5187.99</v>
      </c>
      <c r="N170" s="122"/>
    </row>
    <row r="171">
      <c r="H171" s="881" t="s">
        <v>490</v>
      </c>
      <c r="I171" s="881" t="s">
        <v>146</v>
      </c>
      <c r="N171" s="122"/>
    </row>
    <row r="172">
      <c r="H172" s="885" t="s">
        <v>447</v>
      </c>
      <c r="I172" s="869"/>
      <c r="J172" s="869">
        <v>33924.020000000004</v>
      </c>
      <c r="N172" s="122"/>
    </row>
    <row r="173">
      <c r="I173" s="122"/>
      <c r="N173" s="122"/>
    </row>
    <row r="174">
      <c r="G174" s="817" t="s">
        <v>453</v>
      </c>
      <c r="H174" s="881" t="s">
        <v>173</v>
      </c>
      <c r="I174" s="122"/>
      <c r="N174" s="122"/>
    </row>
    <row r="175">
      <c r="H175" s="881">
        <v>1931.0</v>
      </c>
      <c r="J175" s="358">
        <v>17905.0</v>
      </c>
      <c r="N175" s="122"/>
    </row>
    <row r="176">
      <c r="H176" s="881">
        <v>635.0</v>
      </c>
      <c r="J176" s="358">
        <v>7520.0</v>
      </c>
      <c r="N176" s="122"/>
    </row>
    <row r="177">
      <c r="H177" s="882" t="s">
        <v>66</v>
      </c>
      <c r="I177" s="867"/>
      <c r="J177" s="878">
        <f>J175+J176</f>
        <v>25425</v>
      </c>
      <c r="N177" s="122"/>
    </row>
    <row r="178">
      <c r="H178" s="881" t="s">
        <v>483</v>
      </c>
      <c r="I178" s="122"/>
      <c r="J178" s="122">
        <f>1700/2</f>
        <v>850</v>
      </c>
      <c r="N178" s="122"/>
    </row>
    <row r="179">
      <c r="H179" s="881" t="s">
        <v>434</v>
      </c>
      <c r="I179" s="881"/>
      <c r="J179" s="174">
        <v>-5281.31</v>
      </c>
      <c r="N179" s="122"/>
    </row>
    <row r="180">
      <c r="H180" s="881" t="s">
        <v>490</v>
      </c>
      <c r="J180" s="174">
        <v>-3521.01</v>
      </c>
      <c r="N180" s="122"/>
    </row>
    <row r="181">
      <c r="H181" s="174" t="s">
        <v>491</v>
      </c>
      <c r="I181" s="122"/>
      <c r="J181" s="358">
        <v>-1500.0</v>
      </c>
      <c r="N181" s="122"/>
    </row>
    <row r="182">
      <c r="H182" s="885" t="s">
        <v>447</v>
      </c>
      <c r="I182" s="869"/>
      <c r="J182" s="869">
        <f>sum(J177:J181)</f>
        <v>15972.68</v>
      </c>
      <c r="N182" s="122"/>
    </row>
    <row r="183">
      <c r="N183" s="122"/>
    </row>
    <row r="184">
      <c r="G184" s="174" t="s">
        <v>260</v>
      </c>
      <c r="H184" s="174" t="s">
        <v>173</v>
      </c>
      <c r="I184" s="122"/>
      <c r="N184" s="122"/>
    </row>
    <row r="185">
      <c r="H185" s="881">
        <v>1931.0</v>
      </c>
      <c r="J185" s="358">
        <f>'1931'!Q493</f>
        <v>9511</v>
      </c>
      <c r="N185" s="122"/>
    </row>
    <row r="186">
      <c r="H186" s="881">
        <v>635.0</v>
      </c>
      <c r="J186" s="358">
        <f>'635'!Q420</f>
        <v>16975</v>
      </c>
      <c r="N186" s="122"/>
    </row>
    <row r="187">
      <c r="H187" s="882" t="s">
        <v>66</v>
      </c>
      <c r="I187" s="867"/>
      <c r="J187" s="878">
        <f>J185+J186</f>
        <v>26486</v>
      </c>
      <c r="N187" s="122"/>
    </row>
    <row r="188">
      <c r="H188" s="881" t="s">
        <v>483</v>
      </c>
      <c r="I188" s="122"/>
      <c r="J188" s="122">
        <f>1700/2</f>
        <v>850</v>
      </c>
      <c r="N188" s="122"/>
    </row>
    <row r="189">
      <c r="H189" s="881" t="s">
        <v>434</v>
      </c>
      <c r="I189" s="881"/>
      <c r="J189" s="174">
        <v>-5073.69</v>
      </c>
      <c r="N189" s="122"/>
    </row>
    <row r="190">
      <c r="H190" s="881" t="s">
        <v>490</v>
      </c>
      <c r="N190" s="122"/>
    </row>
    <row r="191">
      <c r="H191" s="174" t="s">
        <v>492</v>
      </c>
      <c r="I191" s="122"/>
      <c r="J191" s="358">
        <v>-7950.0</v>
      </c>
      <c r="N191" s="122"/>
    </row>
    <row r="192">
      <c r="H192" s="174" t="s">
        <v>493</v>
      </c>
      <c r="I192" s="122"/>
      <c r="J192" s="358">
        <v>-300.0</v>
      </c>
      <c r="N192" s="122"/>
    </row>
    <row r="193">
      <c r="H193" s="885" t="s">
        <v>447</v>
      </c>
      <c r="I193" s="869"/>
      <c r="J193" s="869">
        <f>sum(J187:J192)</f>
        <v>14012.31</v>
      </c>
      <c r="N193" s="122"/>
    </row>
    <row r="194">
      <c r="I194" s="122"/>
      <c r="N194" s="122"/>
    </row>
    <row r="195">
      <c r="I195" s="122"/>
      <c r="N195" s="122"/>
    </row>
    <row r="196">
      <c r="I196" s="122"/>
      <c r="N196" s="122"/>
    </row>
    <row r="197">
      <c r="I197" s="122"/>
      <c r="N197" s="122"/>
    </row>
    <row r="198">
      <c r="I198" s="122"/>
      <c r="N198" s="122"/>
    </row>
    <row r="199">
      <c r="I199" s="122"/>
      <c r="N199" s="122"/>
    </row>
    <row r="200">
      <c r="I200" s="122"/>
      <c r="N200" s="122"/>
    </row>
    <row r="201">
      <c r="I201" s="122"/>
      <c r="N201" s="122"/>
    </row>
    <row r="202">
      <c r="I202" s="122"/>
      <c r="N202" s="122"/>
    </row>
    <row r="203">
      <c r="I203" s="122"/>
      <c r="N203" s="122"/>
    </row>
    <row r="204">
      <c r="I204" s="122"/>
      <c r="N204" s="122"/>
    </row>
    <row r="205">
      <c r="I205" s="122"/>
      <c r="N205" s="122"/>
    </row>
    <row r="206">
      <c r="I206" s="122"/>
      <c r="N206" s="122"/>
    </row>
    <row r="207">
      <c r="I207" s="122"/>
      <c r="N207" s="122"/>
    </row>
    <row r="208">
      <c r="I208" s="122"/>
      <c r="N208" s="122"/>
    </row>
    <row r="209">
      <c r="I209" s="122"/>
      <c r="N209" s="122"/>
    </row>
    <row r="210">
      <c r="I210" s="122"/>
      <c r="N210" s="122"/>
    </row>
    <row r="211">
      <c r="I211" s="122"/>
      <c r="N211" s="122"/>
    </row>
    <row r="212">
      <c r="I212" s="122"/>
      <c r="N212" s="122"/>
    </row>
    <row r="213">
      <c r="I213" s="122"/>
      <c r="N213" s="122"/>
    </row>
    <row r="214">
      <c r="I214" s="122"/>
      <c r="N214" s="122"/>
    </row>
    <row r="215">
      <c r="I215" s="122"/>
      <c r="N215" s="122"/>
    </row>
    <row r="216">
      <c r="I216" s="122"/>
      <c r="N216" s="122"/>
    </row>
    <row r="217">
      <c r="I217" s="122"/>
      <c r="N217" s="122"/>
    </row>
    <row r="218">
      <c r="I218" s="122"/>
      <c r="N218" s="122"/>
    </row>
    <row r="219">
      <c r="I219" s="122"/>
      <c r="N219" s="122"/>
    </row>
    <row r="220">
      <c r="I220" s="122"/>
      <c r="N220" s="122"/>
    </row>
    <row r="221">
      <c r="I221" s="122"/>
      <c r="N221" s="122"/>
    </row>
    <row r="222">
      <c r="I222" s="122"/>
      <c r="N222" s="122"/>
    </row>
    <row r="223">
      <c r="I223" s="122"/>
      <c r="N223" s="122"/>
    </row>
    <row r="224">
      <c r="I224" s="122"/>
      <c r="N224" s="122"/>
    </row>
    <row r="225">
      <c r="I225" s="122"/>
      <c r="N225" s="122"/>
    </row>
    <row r="226">
      <c r="I226" s="122"/>
      <c r="N226" s="122"/>
    </row>
    <row r="227">
      <c r="I227" s="122"/>
      <c r="N227" s="122"/>
    </row>
    <row r="228">
      <c r="I228" s="122"/>
      <c r="N228" s="122"/>
    </row>
    <row r="229">
      <c r="I229" s="122"/>
      <c r="N229" s="122"/>
    </row>
    <row r="230">
      <c r="I230" s="122"/>
      <c r="N230" s="122"/>
    </row>
    <row r="231">
      <c r="I231" s="122"/>
      <c r="N231" s="122"/>
    </row>
    <row r="232">
      <c r="I232" s="122"/>
      <c r="N232" s="122"/>
    </row>
    <row r="233">
      <c r="I233" s="122"/>
      <c r="N233" s="122"/>
    </row>
    <row r="234">
      <c r="I234" s="122"/>
      <c r="N234" s="122"/>
    </row>
    <row r="235">
      <c r="I235" s="122"/>
      <c r="N235" s="122"/>
    </row>
    <row r="236">
      <c r="I236" s="122"/>
      <c r="N236" s="122"/>
    </row>
    <row r="237">
      <c r="I237" s="122"/>
      <c r="N237" s="122"/>
    </row>
    <row r="238">
      <c r="I238" s="122"/>
      <c r="N238" s="122"/>
    </row>
    <row r="239">
      <c r="I239" s="122"/>
      <c r="N239" s="122"/>
    </row>
    <row r="240">
      <c r="I240" s="122"/>
      <c r="N240" s="122"/>
    </row>
    <row r="241">
      <c r="I241" s="122"/>
      <c r="N241" s="122"/>
    </row>
    <row r="242">
      <c r="I242" s="122"/>
      <c r="N242" s="122"/>
    </row>
    <row r="243">
      <c r="I243" s="122"/>
      <c r="N243" s="122"/>
    </row>
    <row r="244">
      <c r="I244" s="122"/>
      <c r="N244" s="122"/>
    </row>
    <row r="245">
      <c r="I245" s="122"/>
      <c r="N245" s="122"/>
    </row>
    <row r="246">
      <c r="I246" s="122"/>
      <c r="N246" s="122"/>
    </row>
    <row r="247">
      <c r="I247" s="122"/>
      <c r="N247" s="122"/>
    </row>
    <row r="248">
      <c r="I248" s="122"/>
      <c r="N248" s="122"/>
    </row>
    <row r="249">
      <c r="I249" s="122"/>
      <c r="N249" s="122"/>
    </row>
    <row r="250">
      <c r="I250" s="122"/>
      <c r="N250" s="122"/>
    </row>
    <row r="251">
      <c r="I251" s="122"/>
      <c r="N251" s="122"/>
    </row>
    <row r="252">
      <c r="I252" s="122"/>
      <c r="N252" s="122"/>
    </row>
    <row r="253">
      <c r="I253" s="122"/>
      <c r="N253" s="122"/>
    </row>
    <row r="254">
      <c r="I254" s="122"/>
      <c r="N254" s="122"/>
    </row>
    <row r="255">
      <c r="I255" s="122"/>
      <c r="N255" s="122"/>
    </row>
    <row r="256">
      <c r="I256" s="122"/>
      <c r="N256" s="122"/>
    </row>
    <row r="257">
      <c r="I257" s="122"/>
      <c r="N257" s="122"/>
    </row>
    <row r="258">
      <c r="I258" s="122"/>
      <c r="N258" s="122"/>
    </row>
    <row r="259">
      <c r="I259" s="122"/>
      <c r="N259" s="122"/>
    </row>
    <row r="260">
      <c r="I260" s="122"/>
      <c r="N260" s="122"/>
    </row>
    <row r="261">
      <c r="I261" s="122"/>
      <c r="N261" s="122"/>
    </row>
    <row r="262">
      <c r="I262" s="122"/>
      <c r="N262" s="122"/>
    </row>
    <row r="263">
      <c r="I263" s="122"/>
      <c r="N263" s="122"/>
    </row>
    <row r="264">
      <c r="I264" s="122"/>
      <c r="N264" s="122"/>
    </row>
    <row r="265">
      <c r="I265" s="122"/>
      <c r="N265" s="122"/>
    </row>
    <row r="266">
      <c r="I266" s="122"/>
      <c r="N266" s="122"/>
    </row>
    <row r="267">
      <c r="I267" s="122"/>
      <c r="N267" s="122"/>
    </row>
    <row r="268">
      <c r="I268" s="122"/>
      <c r="N268" s="122"/>
    </row>
    <row r="269">
      <c r="I269" s="122"/>
      <c r="N269" s="122"/>
    </row>
    <row r="270">
      <c r="I270" s="122"/>
      <c r="N270" s="122"/>
    </row>
    <row r="271">
      <c r="I271" s="122"/>
      <c r="N271" s="122"/>
    </row>
    <row r="272">
      <c r="I272" s="122"/>
      <c r="N272" s="122"/>
    </row>
    <row r="273">
      <c r="I273" s="122"/>
      <c r="N273" s="122"/>
    </row>
    <row r="274">
      <c r="D274" s="174">
        <v>1998.0</v>
      </c>
      <c r="I274" s="122"/>
      <c r="N274" s="122"/>
    </row>
    <row r="275">
      <c r="D275" s="174">
        <v>3600.0</v>
      </c>
      <c r="I275" s="122"/>
      <c r="N275" s="122"/>
    </row>
    <row r="276">
      <c r="D276" s="206">
        <f>D274+D275</f>
        <v>5598</v>
      </c>
      <c r="I276" s="122"/>
      <c r="N276" s="122"/>
    </row>
    <row r="277">
      <c r="I277" s="122"/>
      <c r="N277" s="122"/>
    </row>
    <row r="278">
      <c r="I278" s="122"/>
      <c r="N278" s="122"/>
    </row>
    <row r="279">
      <c r="I279" s="122"/>
      <c r="N279" s="122"/>
    </row>
    <row r="280">
      <c r="I280" s="122"/>
      <c r="N280" s="122"/>
    </row>
    <row r="281">
      <c r="I281" s="122"/>
      <c r="N281" s="122"/>
    </row>
    <row r="282">
      <c r="I282" s="122"/>
      <c r="N282" s="122"/>
    </row>
    <row r="283">
      <c r="I283" s="122"/>
      <c r="N283" s="122"/>
    </row>
    <row r="284">
      <c r="I284" s="122"/>
      <c r="N284" s="122"/>
    </row>
    <row r="285">
      <c r="I285" s="122"/>
      <c r="N285" s="122"/>
    </row>
    <row r="286">
      <c r="I286" s="122"/>
      <c r="N286" s="122"/>
    </row>
    <row r="287">
      <c r="I287" s="122"/>
      <c r="N287" s="122"/>
    </row>
    <row r="288">
      <c r="I288" s="122"/>
      <c r="N288" s="122"/>
    </row>
    <row r="289">
      <c r="I289" s="122"/>
      <c r="N289" s="122"/>
    </row>
    <row r="290">
      <c r="I290" s="122"/>
      <c r="N290" s="122"/>
    </row>
    <row r="291">
      <c r="I291" s="122"/>
      <c r="N291" s="122"/>
    </row>
    <row r="292">
      <c r="I292" s="122"/>
      <c r="N292" s="122"/>
    </row>
    <row r="293">
      <c r="I293" s="122"/>
      <c r="N293" s="122"/>
    </row>
    <row r="294">
      <c r="I294" s="122"/>
      <c r="N294" s="122"/>
    </row>
    <row r="295">
      <c r="I295" s="122"/>
      <c r="N295" s="122"/>
    </row>
    <row r="296">
      <c r="I296" s="122"/>
      <c r="N296" s="122"/>
    </row>
    <row r="297">
      <c r="I297" s="122"/>
      <c r="N297" s="122"/>
    </row>
    <row r="298">
      <c r="I298" s="122"/>
      <c r="N298" s="122"/>
    </row>
    <row r="299">
      <c r="I299" s="122"/>
      <c r="N299" s="122"/>
    </row>
    <row r="300">
      <c r="I300" s="122"/>
      <c r="N300" s="122"/>
    </row>
    <row r="301">
      <c r="I301" s="122"/>
      <c r="N301" s="122"/>
    </row>
    <row r="302">
      <c r="I302" s="122"/>
      <c r="N302" s="122"/>
    </row>
    <row r="303">
      <c r="I303" s="122"/>
      <c r="N303" s="122"/>
    </row>
    <row r="304">
      <c r="I304" s="122"/>
      <c r="N304" s="122"/>
    </row>
    <row r="305">
      <c r="I305" s="122"/>
      <c r="N305" s="122"/>
    </row>
    <row r="306">
      <c r="I306" s="122"/>
      <c r="N306" s="122"/>
    </row>
    <row r="307">
      <c r="I307" s="122"/>
      <c r="N307" s="122"/>
    </row>
    <row r="308">
      <c r="I308" s="122"/>
      <c r="N308" s="122"/>
    </row>
    <row r="309">
      <c r="I309" s="122"/>
      <c r="N309" s="122"/>
    </row>
    <row r="310">
      <c r="I310" s="122"/>
      <c r="N310" s="122"/>
    </row>
    <row r="311">
      <c r="I311" s="122"/>
      <c r="N311" s="122"/>
    </row>
    <row r="312">
      <c r="I312" s="122"/>
      <c r="N312" s="122"/>
    </row>
    <row r="313">
      <c r="I313" s="122"/>
      <c r="N313" s="122"/>
    </row>
    <row r="314">
      <c r="I314" s="122"/>
      <c r="N314" s="122"/>
    </row>
    <row r="315">
      <c r="I315" s="122"/>
      <c r="N315" s="122"/>
    </row>
    <row r="316">
      <c r="I316" s="122"/>
      <c r="N316" s="122"/>
    </row>
    <row r="317">
      <c r="I317" s="122"/>
      <c r="N317" s="122"/>
    </row>
    <row r="318">
      <c r="I318" s="122"/>
      <c r="N318" s="122"/>
    </row>
    <row r="319">
      <c r="I319" s="122"/>
      <c r="N319" s="122"/>
    </row>
    <row r="320">
      <c r="I320" s="122"/>
      <c r="N320" s="122"/>
    </row>
    <row r="321">
      <c r="I321" s="122"/>
      <c r="N321" s="122"/>
    </row>
    <row r="322">
      <c r="I322" s="122"/>
      <c r="N322" s="122"/>
    </row>
    <row r="323">
      <c r="I323" s="122"/>
      <c r="N323" s="122"/>
    </row>
    <row r="324">
      <c r="I324" s="122"/>
      <c r="N324" s="122"/>
    </row>
    <row r="325">
      <c r="I325" s="122"/>
      <c r="N325" s="122"/>
    </row>
    <row r="326">
      <c r="I326" s="122"/>
      <c r="N326" s="122"/>
    </row>
    <row r="327">
      <c r="I327" s="122"/>
      <c r="N327" s="122"/>
    </row>
    <row r="328">
      <c r="I328" s="122"/>
      <c r="N328" s="122"/>
    </row>
    <row r="329">
      <c r="I329" s="122"/>
      <c r="N329" s="122"/>
    </row>
    <row r="330">
      <c r="I330" s="122"/>
      <c r="N330" s="122"/>
    </row>
    <row r="331">
      <c r="I331" s="122"/>
      <c r="N331" s="122"/>
    </row>
    <row r="332">
      <c r="I332" s="122"/>
      <c r="N332" s="122"/>
    </row>
    <row r="333">
      <c r="I333" s="122"/>
      <c r="N333" s="122"/>
    </row>
    <row r="334">
      <c r="I334" s="122"/>
      <c r="N334" s="122"/>
    </row>
    <row r="335">
      <c r="I335" s="122"/>
      <c r="N335" s="122"/>
    </row>
    <row r="336">
      <c r="I336" s="122"/>
      <c r="N336" s="122"/>
    </row>
    <row r="337">
      <c r="I337" s="122"/>
      <c r="N337" s="122"/>
    </row>
    <row r="338">
      <c r="I338" s="122"/>
      <c r="N338" s="122"/>
    </row>
    <row r="339">
      <c r="I339" s="122"/>
      <c r="N339" s="122"/>
    </row>
    <row r="340">
      <c r="I340" s="122"/>
      <c r="N340" s="122"/>
    </row>
    <row r="341">
      <c r="I341" s="122"/>
      <c r="N341" s="122"/>
    </row>
    <row r="342">
      <c r="I342" s="122"/>
      <c r="N342" s="122"/>
    </row>
    <row r="343">
      <c r="I343" s="122"/>
      <c r="N343" s="122"/>
    </row>
    <row r="344">
      <c r="I344" s="122"/>
      <c r="N344" s="122"/>
    </row>
    <row r="345">
      <c r="I345" s="122"/>
      <c r="N345" s="122"/>
    </row>
    <row r="346">
      <c r="I346" s="122"/>
      <c r="N346" s="122"/>
    </row>
    <row r="347">
      <c r="I347" s="122"/>
      <c r="N347" s="122"/>
    </row>
    <row r="348">
      <c r="I348" s="122"/>
      <c r="N348" s="122"/>
    </row>
    <row r="349">
      <c r="I349" s="122"/>
      <c r="N349" s="122"/>
    </row>
    <row r="350">
      <c r="I350" s="122"/>
      <c r="N350" s="122"/>
    </row>
    <row r="351">
      <c r="I351" s="122"/>
      <c r="N351" s="122"/>
    </row>
    <row r="352">
      <c r="I352" s="122"/>
      <c r="N352" s="122"/>
    </row>
    <row r="353">
      <c r="I353" s="122"/>
      <c r="N353" s="122"/>
    </row>
    <row r="354">
      <c r="I354" s="122"/>
      <c r="N354" s="122"/>
    </row>
    <row r="355">
      <c r="I355" s="122"/>
      <c r="N355" s="122"/>
    </row>
    <row r="356">
      <c r="I356" s="122"/>
      <c r="N356" s="122"/>
    </row>
    <row r="357">
      <c r="I357" s="122"/>
      <c r="N357" s="122"/>
    </row>
    <row r="358">
      <c r="I358" s="122"/>
      <c r="N358" s="122"/>
    </row>
    <row r="359">
      <c r="I359" s="122"/>
      <c r="N359" s="122"/>
    </row>
    <row r="360">
      <c r="I360" s="122"/>
      <c r="N360" s="122"/>
    </row>
    <row r="361">
      <c r="I361" s="122"/>
      <c r="N361" s="122"/>
    </row>
    <row r="362">
      <c r="I362" s="122"/>
      <c r="N362" s="122"/>
    </row>
    <row r="363">
      <c r="I363" s="122"/>
      <c r="N363" s="122"/>
    </row>
    <row r="364">
      <c r="I364" s="122"/>
      <c r="N364" s="122"/>
    </row>
    <row r="365">
      <c r="I365" s="122"/>
      <c r="N365" s="122"/>
    </row>
    <row r="366">
      <c r="I366" s="122"/>
      <c r="N366" s="122"/>
    </row>
    <row r="367">
      <c r="I367" s="122"/>
      <c r="N367" s="122"/>
    </row>
    <row r="368">
      <c r="I368" s="122"/>
      <c r="N368" s="122"/>
    </row>
    <row r="369">
      <c r="I369" s="122"/>
      <c r="N369" s="122"/>
    </row>
    <row r="370">
      <c r="I370" s="122"/>
      <c r="N370" s="122"/>
    </row>
    <row r="371">
      <c r="I371" s="122"/>
      <c r="N371" s="122"/>
    </row>
    <row r="372">
      <c r="I372" s="122"/>
      <c r="N372" s="122"/>
    </row>
    <row r="373">
      <c r="I373" s="122"/>
      <c r="N373" s="122"/>
    </row>
    <row r="374">
      <c r="I374" s="122"/>
      <c r="N374" s="122"/>
    </row>
    <row r="375">
      <c r="I375" s="122"/>
      <c r="N375" s="122"/>
    </row>
    <row r="376">
      <c r="I376" s="122"/>
      <c r="N376" s="122"/>
    </row>
    <row r="377">
      <c r="I377" s="122"/>
      <c r="N377" s="122"/>
    </row>
    <row r="378">
      <c r="I378" s="122"/>
      <c r="N378" s="122"/>
    </row>
    <row r="379">
      <c r="I379" s="122"/>
      <c r="N379" s="122"/>
    </row>
    <row r="380">
      <c r="I380" s="122"/>
      <c r="N380" s="122"/>
    </row>
    <row r="381">
      <c r="I381" s="122"/>
      <c r="N381" s="122"/>
    </row>
    <row r="382">
      <c r="I382" s="122"/>
      <c r="N382" s="122"/>
    </row>
    <row r="383">
      <c r="I383" s="122"/>
      <c r="N383" s="122"/>
    </row>
    <row r="384">
      <c r="I384" s="122"/>
      <c r="N384" s="122"/>
    </row>
    <row r="385">
      <c r="I385" s="122"/>
      <c r="N385" s="122"/>
    </row>
    <row r="386">
      <c r="I386" s="122"/>
      <c r="N386" s="122"/>
    </row>
    <row r="387">
      <c r="I387" s="122"/>
      <c r="N387" s="122"/>
    </row>
    <row r="388">
      <c r="I388" s="122"/>
      <c r="N388" s="122"/>
    </row>
    <row r="389">
      <c r="I389" s="122"/>
      <c r="N389" s="122"/>
    </row>
    <row r="390">
      <c r="I390" s="122"/>
      <c r="N390" s="122"/>
    </row>
    <row r="391">
      <c r="I391" s="122"/>
      <c r="N391" s="122"/>
    </row>
    <row r="392">
      <c r="I392" s="122"/>
      <c r="N392" s="122"/>
    </row>
    <row r="393">
      <c r="I393" s="122"/>
      <c r="N393" s="122"/>
    </row>
    <row r="394">
      <c r="I394" s="122"/>
      <c r="N394" s="122"/>
    </row>
    <row r="395">
      <c r="I395" s="122"/>
      <c r="N395" s="122"/>
    </row>
    <row r="396">
      <c r="I396" s="122"/>
      <c r="N396" s="122"/>
    </row>
    <row r="397">
      <c r="I397" s="122"/>
      <c r="N397" s="122"/>
    </row>
    <row r="398">
      <c r="I398" s="122"/>
      <c r="N398" s="122"/>
    </row>
    <row r="399">
      <c r="I399" s="122"/>
      <c r="N399" s="122"/>
    </row>
    <row r="400">
      <c r="I400" s="122"/>
      <c r="N400" s="122"/>
    </row>
    <row r="401">
      <c r="I401" s="122"/>
      <c r="N401" s="122"/>
    </row>
    <row r="402">
      <c r="I402" s="122"/>
      <c r="N402" s="122"/>
    </row>
    <row r="403">
      <c r="I403" s="122"/>
      <c r="N403" s="122"/>
    </row>
    <row r="404">
      <c r="I404" s="122"/>
      <c r="N404" s="122"/>
    </row>
    <row r="405">
      <c r="I405" s="122"/>
      <c r="N405" s="122"/>
    </row>
    <row r="406">
      <c r="I406" s="122"/>
      <c r="N406" s="122"/>
    </row>
    <row r="407">
      <c r="I407" s="122"/>
      <c r="N407" s="122"/>
    </row>
    <row r="408">
      <c r="I408" s="122"/>
      <c r="N408" s="122"/>
    </row>
    <row r="409">
      <c r="I409" s="122"/>
      <c r="N409" s="122"/>
    </row>
    <row r="410">
      <c r="I410" s="122"/>
      <c r="N410" s="122"/>
    </row>
    <row r="411">
      <c r="I411" s="122"/>
      <c r="N411" s="122"/>
    </row>
    <row r="412">
      <c r="I412" s="122"/>
      <c r="N412" s="122"/>
    </row>
    <row r="413">
      <c r="I413" s="122"/>
      <c r="N413" s="122"/>
    </row>
    <row r="414">
      <c r="I414" s="122"/>
      <c r="N414" s="122"/>
    </row>
    <row r="415">
      <c r="I415" s="122"/>
      <c r="N415" s="122"/>
    </row>
    <row r="416">
      <c r="I416" s="122"/>
      <c r="N416" s="122"/>
    </row>
    <row r="417">
      <c r="I417" s="122"/>
      <c r="N417" s="122"/>
    </row>
    <row r="418">
      <c r="I418" s="122"/>
      <c r="N418" s="122"/>
    </row>
    <row r="419">
      <c r="I419" s="122"/>
      <c r="N419" s="122"/>
    </row>
    <row r="420">
      <c r="I420" s="122"/>
      <c r="N420" s="122"/>
    </row>
    <row r="421">
      <c r="I421" s="122"/>
      <c r="N421" s="122"/>
    </row>
    <row r="422">
      <c r="I422" s="122"/>
      <c r="N422" s="122"/>
    </row>
    <row r="423">
      <c r="I423" s="122"/>
      <c r="N423" s="122"/>
    </row>
    <row r="424">
      <c r="I424" s="122"/>
      <c r="N424" s="122"/>
    </row>
    <row r="425">
      <c r="I425" s="122"/>
      <c r="N425" s="122"/>
    </row>
    <row r="426">
      <c r="I426" s="122"/>
      <c r="N426" s="122"/>
    </row>
    <row r="427">
      <c r="I427" s="122"/>
      <c r="N427" s="122"/>
    </row>
    <row r="428">
      <c r="I428" s="122"/>
      <c r="N428" s="122"/>
    </row>
    <row r="429">
      <c r="I429" s="122"/>
      <c r="N429" s="122"/>
    </row>
    <row r="430">
      <c r="I430" s="122"/>
      <c r="N430" s="122"/>
    </row>
    <row r="431">
      <c r="I431" s="122"/>
      <c r="N431" s="122"/>
    </row>
    <row r="432">
      <c r="I432" s="122"/>
      <c r="N432" s="122"/>
    </row>
    <row r="433">
      <c r="I433" s="122"/>
      <c r="N433" s="122"/>
    </row>
    <row r="434">
      <c r="I434" s="122"/>
      <c r="N434" s="122"/>
    </row>
    <row r="435">
      <c r="I435" s="122"/>
      <c r="N435" s="122"/>
    </row>
    <row r="436">
      <c r="I436" s="122"/>
      <c r="N436" s="122"/>
    </row>
    <row r="437">
      <c r="I437" s="122"/>
      <c r="N437" s="122"/>
    </row>
    <row r="438">
      <c r="I438" s="122"/>
      <c r="N438" s="122"/>
    </row>
    <row r="439">
      <c r="I439" s="122"/>
      <c r="N439" s="122"/>
    </row>
    <row r="440">
      <c r="I440" s="122"/>
      <c r="N440" s="122"/>
    </row>
    <row r="441">
      <c r="I441" s="122"/>
      <c r="N441" s="122"/>
    </row>
    <row r="442">
      <c r="I442" s="122"/>
      <c r="N442" s="122"/>
    </row>
    <row r="443">
      <c r="I443" s="122"/>
      <c r="N443" s="122"/>
    </row>
    <row r="444">
      <c r="I444" s="122"/>
      <c r="N444" s="122"/>
    </row>
    <row r="445">
      <c r="I445" s="122"/>
      <c r="N445" s="122"/>
    </row>
    <row r="446">
      <c r="I446" s="122"/>
      <c r="N446" s="122"/>
    </row>
    <row r="447">
      <c r="I447" s="122"/>
      <c r="N447" s="122"/>
    </row>
    <row r="448">
      <c r="I448" s="122"/>
      <c r="N448" s="122"/>
    </row>
    <row r="449">
      <c r="I449" s="122"/>
      <c r="N449" s="122"/>
    </row>
    <row r="450">
      <c r="I450" s="122"/>
      <c r="N450" s="122"/>
    </row>
    <row r="451">
      <c r="I451" s="122"/>
      <c r="N451" s="122"/>
    </row>
    <row r="452">
      <c r="I452" s="122"/>
      <c r="N452" s="122"/>
    </row>
    <row r="453">
      <c r="I453" s="122"/>
      <c r="N453" s="122"/>
    </row>
    <row r="454">
      <c r="I454" s="122"/>
      <c r="N454" s="122"/>
    </row>
    <row r="455">
      <c r="I455" s="122"/>
      <c r="N455" s="122"/>
    </row>
    <row r="456">
      <c r="I456" s="122"/>
      <c r="N456" s="122"/>
    </row>
    <row r="457">
      <c r="I457" s="122"/>
      <c r="N457" s="122"/>
    </row>
    <row r="458">
      <c r="I458" s="122"/>
      <c r="N458" s="122"/>
    </row>
    <row r="459">
      <c r="I459" s="122"/>
      <c r="N459" s="122"/>
    </row>
    <row r="460">
      <c r="I460" s="122"/>
      <c r="N460" s="122"/>
    </row>
    <row r="461">
      <c r="I461" s="122"/>
      <c r="N461" s="122"/>
    </row>
    <row r="462">
      <c r="I462" s="122"/>
      <c r="N462" s="122"/>
    </row>
    <row r="463">
      <c r="I463" s="122"/>
      <c r="N463" s="122"/>
    </row>
    <row r="464">
      <c r="I464" s="122"/>
      <c r="N464" s="122"/>
    </row>
    <row r="465">
      <c r="I465" s="122"/>
      <c r="N465" s="122"/>
    </row>
    <row r="466">
      <c r="I466" s="122"/>
      <c r="N466" s="122"/>
    </row>
    <row r="467">
      <c r="I467" s="122"/>
      <c r="N467" s="122"/>
    </row>
    <row r="468">
      <c r="I468" s="122"/>
      <c r="N468" s="122"/>
    </row>
    <row r="469">
      <c r="I469" s="122"/>
      <c r="N469" s="122"/>
    </row>
    <row r="470">
      <c r="I470" s="122"/>
      <c r="N470" s="122"/>
    </row>
    <row r="471">
      <c r="I471" s="122"/>
      <c r="N471" s="122"/>
    </row>
    <row r="472">
      <c r="I472" s="122"/>
      <c r="N472" s="122"/>
    </row>
    <row r="473">
      <c r="I473" s="122"/>
      <c r="N473" s="122"/>
    </row>
    <row r="474">
      <c r="I474" s="122"/>
      <c r="N474" s="122"/>
    </row>
    <row r="475">
      <c r="I475" s="122"/>
      <c r="N475" s="122"/>
    </row>
    <row r="476">
      <c r="I476" s="122"/>
      <c r="N476" s="122"/>
    </row>
    <row r="477">
      <c r="I477" s="122"/>
      <c r="N477" s="122"/>
    </row>
    <row r="478">
      <c r="I478" s="122"/>
      <c r="N478" s="122"/>
    </row>
    <row r="479">
      <c r="I479" s="122"/>
      <c r="N479" s="122"/>
    </row>
    <row r="480">
      <c r="I480" s="122"/>
      <c r="N480" s="122"/>
    </row>
    <row r="481">
      <c r="I481" s="122"/>
      <c r="N481" s="122"/>
    </row>
    <row r="482">
      <c r="I482" s="122"/>
      <c r="N482" s="122"/>
    </row>
    <row r="483">
      <c r="I483" s="122"/>
      <c r="N483" s="122"/>
    </row>
    <row r="484">
      <c r="I484" s="122"/>
      <c r="N484" s="122"/>
    </row>
    <row r="485">
      <c r="I485" s="122"/>
      <c r="N485" s="122"/>
    </row>
    <row r="486">
      <c r="I486" s="122"/>
      <c r="N486" s="122"/>
    </row>
    <row r="487">
      <c r="I487" s="122"/>
      <c r="N487" s="122"/>
    </row>
    <row r="488">
      <c r="I488" s="122"/>
      <c r="N488" s="122"/>
    </row>
    <row r="489">
      <c r="I489" s="122"/>
      <c r="N489" s="122"/>
    </row>
    <row r="490">
      <c r="I490" s="122"/>
      <c r="N490" s="122"/>
    </row>
    <row r="491">
      <c r="I491" s="122"/>
      <c r="N491" s="122"/>
    </row>
    <row r="492">
      <c r="I492" s="122"/>
      <c r="N492" s="122"/>
    </row>
    <row r="493">
      <c r="I493" s="122"/>
      <c r="N493" s="122"/>
    </row>
    <row r="494">
      <c r="I494" s="122"/>
      <c r="N494" s="122"/>
    </row>
    <row r="495">
      <c r="I495" s="122"/>
      <c r="N495" s="122"/>
    </row>
    <row r="496">
      <c r="I496" s="122"/>
      <c r="N496" s="122"/>
    </row>
    <row r="497">
      <c r="I497" s="122"/>
      <c r="N497" s="122"/>
    </row>
    <row r="498">
      <c r="I498" s="122"/>
      <c r="N498" s="122"/>
    </row>
    <row r="499">
      <c r="I499" s="122"/>
      <c r="N499" s="122"/>
    </row>
    <row r="500">
      <c r="I500" s="122"/>
      <c r="N500" s="122"/>
    </row>
    <row r="501">
      <c r="I501" s="122"/>
      <c r="N501" s="122"/>
    </row>
    <row r="502">
      <c r="I502" s="122"/>
      <c r="N502" s="122"/>
    </row>
    <row r="503">
      <c r="I503" s="122"/>
      <c r="N503" s="122"/>
    </row>
    <row r="504">
      <c r="I504" s="122"/>
      <c r="N504" s="122"/>
    </row>
    <row r="505">
      <c r="I505" s="122"/>
      <c r="N505" s="122"/>
    </row>
    <row r="506">
      <c r="I506" s="122"/>
      <c r="N506" s="122"/>
    </row>
    <row r="507">
      <c r="I507" s="122"/>
      <c r="N507" s="122"/>
    </row>
    <row r="508">
      <c r="I508" s="122"/>
      <c r="N508" s="122"/>
    </row>
    <row r="509">
      <c r="I509" s="122"/>
      <c r="N509" s="122"/>
    </row>
    <row r="510">
      <c r="I510" s="122"/>
      <c r="N510" s="122"/>
    </row>
    <row r="511">
      <c r="I511" s="122"/>
      <c r="N511" s="122"/>
    </row>
    <row r="512">
      <c r="I512" s="122"/>
      <c r="N512" s="122"/>
    </row>
    <row r="513">
      <c r="I513" s="122"/>
      <c r="N513" s="122"/>
    </row>
    <row r="514">
      <c r="I514" s="122"/>
      <c r="N514" s="122"/>
    </row>
    <row r="515">
      <c r="I515" s="122"/>
      <c r="N515" s="122"/>
    </row>
    <row r="516">
      <c r="I516" s="122"/>
      <c r="N516" s="122"/>
    </row>
    <row r="517">
      <c r="I517" s="122"/>
      <c r="N517" s="122"/>
    </row>
    <row r="518">
      <c r="I518" s="122"/>
      <c r="N518" s="122"/>
    </row>
    <row r="519">
      <c r="I519" s="122"/>
      <c r="N519" s="122"/>
    </row>
    <row r="520">
      <c r="I520" s="122"/>
      <c r="N520" s="122"/>
    </row>
    <row r="521">
      <c r="I521" s="122"/>
      <c r="N521" s="122"/>
    </row>
    <row r="522">
      <c r="I522" s="122"/>
      <c r="N522" s="122"/>
    </row>
    <row r="523">
      <c r="I523" s="122"/>
      <c r="N523" s="122"/>
    </row>
    <row r="524">
      <c r="I524" s="122"/>
      <c r="N524" s="122"/>
    </row>
    <row r="525">
      <c r="I525" s="122"/>
      <c r="N525" s="122"/>
    </row>
    <row r="526">
      <c r="I526" s="122"/>
      <c r="N526" s="122"/>
    </row>
    <row r="527">
      <c r="I527" s="122"/>
      <c r="N527" s="122"/>
    </row>
    <row r="528">
      <c r="I528" s="122"/>
      <c r="N528" s="122"/>
    </row>
    <row r="529">
      <c r="I529" s="122"/>
      <c r="N529" s="122"/>
    </row>
    <row r="530">
      <c r="I530" s="122"/>
      <c r="N530" s="122"/>
    </row>
    <row r="531">
      <c r="I531" s="122"/>
      <c r="N531" s="122"/>
    </row>
    <row r="532">
      <c r="I532" s="122"/>
      <c r="N532" s="122"/>
    </row>
    <row r="533">
      <c r="I533" s="122"/>
      <c r="N533" s="122"/>
    </row>
    <row r="534">
      <c r="I534" s="122"/>
      <c r="N534" s="122"/>
    </row>
    <row r="535">
      <c r="I535" s="122"/>
      <c r="N535" s="122"/>
    </row>
    <row r="536">
      <c r="I536" s="122"/>
      <c r="N536" s="122"/>
    </row>
    <row r="537">
      <c r="I537" s="122"/>
      <c r="N537" s="122"/>
    </row>
    <row r="538">
      <c r="I538" s="122"/>
      <c r="N538" s="122"/>
    </row>
    <row r="539">
      <c r="I539" s="122"/>
      <c r="N539" s="122"/>
    </row>
    <row r="540">
      <c r="I540" s="122"/>
      <c r="N540" s="122"/>
    </row>
    <row r="541">
      <c r="I541" s="122"/>
      <c r="N541" s="122"/>
    </row>
    <row r="542">
      <c r="I542" s="122"/>
      <c r="N542" s="122"/>
    </row>
    <row r="543">
      <c r="I543" s="122"/>
      <c r="N543" s="122"/>
    </row>
    <row r="544">
      <c r="I544" s="122"/>
      <c r="N544" s="122"/>
    </row>
    <row r="545">
      <c r="I545" s="122"/>
      <c r="N545" s="122"/>
    </row>
    <row r="546">
      <c r="I546" s="122"/>
      <c r="N546" s="122"/>
    </row>
    <row r="547">
      <c r="I547" s="122"/>
      <c r="N547" s="122"/>
    </row>
    <row r="548">
      <c r="I548" s="122"/>
      <c r="N548" s="122"/>
    </row>
    <row r="549">
      <c r="I549" s="122"/>
      <c r="N549" s="122"/>
    </row>
    <row r="550">
      <c r="I550" s="122"/>
      <c r="N550" s="122"/>
    </row>
    <row r="551">
      <c r="I551" s="122"/>
      <c r="N551" s="122"/>
    </row>
    <row r="552">
      <c r="I552" s="122"/>
      <c r="N552" s="122"/>
    </row>
    <row r="553">
      <c r="I553" s="122"/>
      <c r="N553" s="122"/>
    </row>
    <row r="554">
      <c r="I554" s="122"/>
      <c r="N554" s="122"/>
    </row>
    <row r="555">
      <c r="I555" s="122"/>
      <c r="N555" s="122"/>
    </row>
    <row r="556">
      <c r="I556" s="122"/>
      <c r="N556" s="122"/>
    </row>
    <row r="557">
      <c r="I557" s="122"/>
      <c r="N557" s="122"/>
    </row>
    <row r="558">
      <c r="I558" s="122"/>
      <c r="N558" s="122"/>
    </row>
    <row r="559">
      <c r="I559" s="122"/>
      <c r="N559" s="122"/>
    </row>
    <row r="560">
      <c r="I560" s="122"/>
      <c r="N560" s="122"/>
    </row>
    <row r="561">
      <c r="I561" s="122"/>
      <c r="N561" s="122"/>
    </row>
    <row r="562">
      <c r="I562" s="122"/>
      <c r="N562" s="122"/>
    </row>
    <row r="563">
      <c r="I563" s="122"/>
      <c r="N563" s="122"/>
    </row>
    <row r="564">
      <c r="I564" s="122"/>
      <c r="N564" s="122"/>
    </row>
    <row r="565">
      <c r="I565" s="122"/>
      <c r="N565" s="122"/>
    </row>
    <row r="566">
      <c r="I566" s="122"/>
      <c r="N566" s="122"/>
    </row>
    <row r="567">
      <c r="I567" s="122"/>
      <c r="N567" s="122"/>
    </row>
    <row r="568">
      <c r="I568" s="122"/>
      <c r="N568" s="122"/>
    </row>
    <row r="569">
      <c r="I569" s="122"/>
      <c r="N569" s="122"/>
    </row>
    <row r="570">
      <c r="I570" s="122"/>
      <c r="N570" s="122"/>
    </row>
    <row r="571">
      <c r="I571" s="122"/>
      <c r="N571" s="122"/>
    </row>
    <row r="572">
      <c r="I572" s="122"/>
      <c r="N572" s="122"/>
    </row>
    <row r="573">
      <c r="I573" s="122"/>
      <c r="N573" s="122"/>
    </row>
    <row r="574">
      <c r="I574" s="122"/>
      <c r="N574" s="122"/>
    </row>
    <row r="575">
      <c r="I575" s="122"/>
      <c r="N575" s="122"/>
    </row>
    <row r="576">
      <c r="I576" s="122"/>
      <c r="N576" s="122"/>
    </row>
    <row r="577">
      <c r="I577" s="122"/>
      <c r="N577" s="122"/>
    </row>
    <row r="578">
      <c r="I578" s="122"/>
      <c r="N578" s="122"/>
    </row>
    <row r="579">
      <c r="I579" s="122"/>
      <c r="N579" s="122"/>
    </row>
    <row r="580">
      <c r="I580" s="122"/>
      <c r="N580" s="122"/>
    </row>
    <row r="581">
      <c r="I581" s="122"/>
      <c r="N581" s="122"/>
    </row>
    <row r="582">
      <c r="I582" s="122"/>
      <c r="N582" s="122"/>
    </row>
    <row r="583">
      <c r="I583" s="122"/>
      <c r="N583" s="122"/>
    </row>
    <row r="584">
      <c r="I584" s="122"/>
      <c r="N584" s="122"/>
    </row>
    <row r="585">
      <c r="I585" s="122"/>
      <c r="N585" s="122"/>
    </row>
    <row r="586">
      <c r="I586" s="122"/>
      <c r="N586" s="122"/>
    </row>
    <row r="587">
      <c r="I587" s="122"/>
      <c r="N587" s="122"/>
    </row>
    <row r="588">
      <c r="I588" s="122"/>
      <c r="N588" s="122"/>
    </row>
    <row r="589">
      <c r="I589" s="122"/>
      <c r="N589" s="122"/>
    </row>
    <row r="590">
      <c r="I590" s="122"/>
      <c r="N590" s="122"/>
    </row>
    <row r="591">
      <c r="I591" s="122"/>
      <c r="N591" s="122"/>
    </row>
    <row r="592">
      <c r="I592" s="122"/>
      <c r="N592" s="122"/>
    </row>
    <row r="593">
      <c r="I593" s="122"/>
      <c r="N593" s="122"/>
    </row>
    <row r="594">
      <c r="I594" s="122"/>
      <c r="N594" s="122"/>
    </row>
    <row r="595">
      <c r="I595" s="122"/>
      <c r="N595" s="122"/>
    </row>
    <row r="596">
      <c r="I596" s="122"/>
      <c r="N596" s="122"/>
    </row>
    <row r="597">
      <c r="I597" s="122"/>
      <c r="N597" s="122"/>
    </row>
    <row r="598">
      <c r="I598" s="122"/>
      <c r="N598" s="122"/>
    </row>
    <row r="599">
      <c r="I599" s="122"/>
      <c r="N599" s="122"/>
    </row>
    <row r="600">
      <c r="I600" s="122"/>
      <c r="N600" s="122"/>
    </row>
    <row r="601">
      <c r="I601" s="122"/>
      <c r="N601" s="122"/>
    </row>
    <row r="602">
      <c r="I602" s="122"/>
      <c r="N602" s="122"/>
    </row>
    <row r="603">
      <c r="I603" s="122"/>
      <c r="N603" s="122"/>
    </row>
    <row r="604">
      <c r="I604" s="122"/>
      <c r="N604" s="122"/>
    </row>
    <row r="605">
      <c r="I605" s="122"/>
      <c r="N605" s="122"/>
    </row>
    <row r="606">
      <c r="I606" s="122"/>
      <c r="N606" s="122"/>
    </row>
    <row r="607">
      <c r="I607" s="122"/>
      <c r="N607" s="122"/>
    </row>
    <row r="608">
      <c r="I608" s="122"/>
      <c r="N608" s="122"/>
    </row>
    <row r="609">
      <c r="I609" s="122"/>
      <c r="N609" s="122"/>
    </row>
    <row r="610">
      <c r="I610" s="122"/>
      <c r="N610" s="122"/>
    </row>
    <row r="611">
      <c r="I611" s="122"/>
      <c r="N611" s="122"/>
    </row>
    <row r="612">
      <c r="I612" s="122"/>
      <c r="N612" s="122"/>
    </row>
    <row r="613">
      <c r="I613" s="122"/>
      <c r="N613" s="122"/>
    </row>
    <row r="614">
      <c r="I614" s="122"/>
      <c r="N614" s="122"/>
    </row>
    <row r="615">
      <c r="I615" s="122"/>
      <c r="N615" s="122"/>
    </row>
    <row r="616">
      <c r="I616" s="122"/>
      <c r="N616" s="122"/>
    </row>
    <row r="617">
      <c r="I617" s="122"/>
      <c r="N617" s="122"/>
    </row>
    <row r="618">
      <c r="I618" s="122"/>
      <c r="N618" s="122"/>
    </row>
    <row r="619">
      <c r="I619" s="122"/>
      <c r="N619" s="122"/>
    </row>
    <row r="620">
      <c r="I620" s="122"/>
      <c r="N620" s="122"/>
    </row>
    <row r="621">
      <c r="I621" s="122"/>
      <c r="N621" s="122"/>
    </row>
    <row r="622">
      <c r="I622" s="122"/>
      <c r="N622" s="122"/>
    </row>
    <row r="623">
      <c r="I623" s="122"/>
      <c r="N623" s="122"/>
    </row>
    <row r="624">
      <c r="I624" s="122"/>
      <c r="N624" s="122"/>
    </row>
    <row r="625">
      <c r="I625" s="122"/>
      <c r="N625" s="122"/>
    </row>
    <row r="626">
      <c r="I626" s="122"/>
      <c r="N626" s="122"/>
    </row>
    <row r="627">
      <c r="I627" s="122"/>
      <c r="N627" s="122"/>
    </row>
    <row r="628">
      <c r="I628" s="122"/>
      <c r="N628" s="122"/>
    </row>
    <row r="629">
      <c r="I629" s="122"/>
      <c r="N629" s="122"/>
    </row>
    <row r="630">
      <c r="I630" s="122"/>
      <c r="N630" s="122"/>
    </row>
    <row r="631">
      <c r="I631" s="122"/>
      <c r="N631" s="122"/>
    </row>
    <row r="632">
      <c r="I632" s="122"/>
      <c r="N632" s="122"/>
    </row>
    <row r="633">
      <c r="I633" s="122"/>
      <c r="N633" s="122"/>
    </row>
    <row r="634">
      <c r="I634" s="122"/>
      <c r="N634" s="122"/>
    </row>
    <row r="635">
      <c r="I635" s="122"/>
      <c r="N635" s="122"/>
    </row>
    <row r="636">
      <c r="I636" s="122"/>
      <c r="N636" s="122"/>
    </row>
    <row r="637">
      <c r="I637" s="122"/>
      <c r="N637" s="122"/>
    </row>
    <row r="638">
      <c r="I638" s="122"/>
      <c r="N638" s="122"/>
    </row>
    <row r="639">
      <c r="I639" s="122"/>
      <c r="N639" s="122"/>
    </row>
    <row r="640">
      <c r="I640" s="122"/>
      <c r="N640" s="122"/>
    </row>
    <row r="641">
      <c r="I641" s="122"/>
      <c r="N641" s="122"/>
    </row>
    <row r="642">
      <c r="I642" s="122"/>
      <c r="N642" s="122"/>
    </row>
    <row r="643">
      <c r="I643" s="122"/>
      <c r="N643" s="122"/>
    </row>
    <row r="644">
      <c r="I644" s="122"/>
      <c r="N644" s="122"/>
    </row>
    <row r="645">
      <c r="I645" s="122"/>
      <c r="N645" s="122"/>
    </row>
    <row r="646">
      <c r="I646" s="122"/>
      <c r="N646" s="122"/>
    </row>
    <row r="647">
      <c r="I647" s="122"/>
      <c r="N647" s="122"/>
    </row>
    <row r="648">
      <c r="I648" s="122"/>
      <c r="N648" s="122"/>
    </row>
    <row r="649">
      <c r="I649" s="122"/>
      <c r="N649" s="122"/>
    </row>
    <row r="650">
      <c r="I650" s="122"/>
      <c r="N650" s="122"/>
    </row>
    <row r="651">
      <c r="I651" s="122"/>
      <c r="N651" s="122"/>
    </row>
    <row r="652">
      <c r="I652" s="122"/>
      <c r="N652" s="122"/>
    </row>
    <row r="653">
      <c r="I653" s="122"/>
      <c r="N653" s="122"/>
    </row>
    <row r="654">
      <c r="I654" s="122"/>
      <c r="N654" s="122"/>
    </row>
    <row r="655">
      <c r="I655" s="122"/>
      <c r="N655" s="122"/>
    </row>
    <row r="656">
      <c r="I656" s="122"/>
      <c r="N656" s="122"/>
    </row>
    <row r="657">
      <c r="I657" s="122"/>
      <c r="N657" s="122"/>
    </row>
    <row r="658">
      <c r="I658" s="122"/>
      <c r="N658" s="122"/>
    </row>
    <row r="659">
      <c r="I659" s="122"/>
      <c r="N659" s="122"/>
    </row>
    <row r="660">
      <c r="I660" s="122"/>
      <c r="N660" s="122"/>
    </row>
    <row r="661">
      <c r="I661" s="122"/>
      <c r="N661" s="122"/>
    </row>
    <row r="662">
      <c r="I662" s="122"/>
      <c r="N662" s="122"/>
    </row>
    <row r="663">
      <c r="I663" s="122"/>
      <c r="N663" s="122"/>
    </row>
    <row r="664">
      <c r="I664" s="122"/>
      <c r="N664" s="122"/>
    </row>
    <row r="665">
      <c r="I665" s="122"/>
      <c r="N665" s="122"/>
    </row>
    <row r="666">
      <c r="I666" s="122"/>
      <c r="N666" s="122"/>
    </row>
    <row r="667">
      <c r="I667" s="122"/>
      <c r="N667" s="122"/>
    </row>
    <row r="668">
      <c r="I668" s="122"/>
      <c r="N668" s="122"/>
    </row>
    <row r="669">
      <c r="I669" s="122"/>
      <c r="N669" s="122"/>
    </row>
    <row r="670">
      <c r="I670" s="122"/>
      <c r="N670" s="122"/>
    </row>
    <row r="671">
      <c r="I671" s="122"/>
      <c r="N671" s="122"/>
    </row>
    <row r="672">
      <c r="I672" s="122"/>
      <c r="N672" s="122"/>
    </row>
    <row r="673">
      <c r="I673" s="122"/>
      <c r="N673" s="122"/>
    </row>
    <row r="674">
      <c r="I674" s="122"/>
      <c r="N674" s="122"/>
    </row>
    <row r="675">
      <c r="I675" s="122"/>
      <c r="N675" s="122"/>
    </row>
    <row r="676">
      <c r="I676" s="122"/>
      <c r="N676" s="122"/>
    </row>
    <row r="677">
      <c r="I677" s="122"/>
      <c r="N677" s="122"/>
    </row>
    <row r="678">
      <c r="I678" s="122"/>
      <c r="N678" s="122"/>
    </row>
    <row r="679">
      <c r="I679" s="122"/>
      <c r="N679" s="122"/>
    </row>
    <row r="680">
      <c r="I680" s="122"/>
      <c r="N680" s="122"/>
    </row>
    <row r="681">
      <c r="I681" s="122"/>
      <c r="N681" s="122"/>
    </row>
    <row r="682">
      <c r="I682" s="122"/>
      <c r="N682" s="122"/>
    </row>
    <row r="683">
      <c r="I683" s="122"/>
      <c r="N683" s="122"/>
    </row>
    <row r="684">
      <c r="I684" s="122"/>
      <c r="N684" s="122"/>
    </row>
    <row r="685">
      <c r="I685" s="122"/>
      <c r="N685" s="122"/>
    </row>
    <row r="686">
      <c r="I686" s="122"/>
      <c r="N686" s="122"/>
    </row>
    <row r="687">
      <c r="I687" s="122"/>
      <c r="N687" s="122"/>
    </row>
    <row r="688">
      <c r="I688" s="122"/>
      <c r="N688" s="122"/>
    </row>
    <row r="689">
      <c r="I689" s="122"/>
      <c r="N689" s="122"/>
    </row>
    <row r="690">
      <c r="I690" s="122"/>
      <c r="N690" s="122"/>
    </row>
    <row r="691">
      <c r="I691" s="122"/>
      <c r="N691" s="122"/>
    </row>
    <row r="692">
      <c r="I692" s="122"/>
      <c r="N692" s="122"/>
    </row>
    <row r="693">
      <c r="I693" s="122"/>
      <c r="N693" s="122"/>
    </row>
    <row r="694">
      <c r="I694" s="122"/>
      <c r="N694" s="122"/>
    </row>
    <row r="695">
      <c r="I695" s="122"/>
      <c r="N695" s="122"/>
    </row>
    <row r="696">
      <c r="I696" s="122"/>
      <c r="N696" s="122"/>
    </row>
    <row r="697">
      <c r="I697" s="122"/>
      <c r="N697" s="122"/>
    </row>
    <row r="698">
      <c r="I698" s="122"/>
      <c r="N698" s="122"/>
    </row>
    <row r="699">
      <c r="I699" s="122"/>
      <c r="N699" s="122"/>
    </row>
    <row r="700">
      <c r="I700" s="122"/>
      <c r="N700" s="122"/>
    </row>
    <row r="701">
      <c r="I701" s="122"/>
      <c r="N701" s="122"/>
    </row>
    <row r="702">
      <c r="I702" s="122"/>
      <c r="N702" s="122"/>
    </row>
    <row r="703">
      <c r="I703" s="122"/>
      <c r="N703" s="122"/>
    </row>
    <row r="704">
      <c r="I704" s="122"/>
      <c r="N704" s="122"/>
    </row>
    <row r="705">
      <c r="I705" s="122"/>
      <c r="N705" s="122"/>
    </row>
    <row r="706">
      <c r="I706" s="122"/>
      <c r="N706" s="122"/>
    </row>
    <row r="707">
      <c r="I707" s="122"/>
      <c r="N707" s="122"/>
    </row>
    <row r="708">
      <c r="I708" s="122"/>
      <c r="N708" s="122"/>
    </row>
    <row r="709">
      <c r="I709" s="122"/>
      <c r="N709" s="122"/>
    </row>
    <row r="710">
      <c r="I710" s="122"/>
      <c r="N710" s="122"/>
    </row>
    <row r="711">
      <c r="I711" s="122"/>
      <c r="N711" s="122"/>
    </row>
    <row r="712">
      <c r="I712" s="122"/>
      <c r="N712" s="122"/>
    </row>
    <row r="713">
      <c r="I713" s="122"/>
      <c r="N713" s="122"/>
    </row>
    <row r="714">
      <c r="I714" s="122"/>
      <c r="N714" s="122"/>
    </row>
    <row r="715">
      <c r="I715" s="122"/>
      <c r="N715" s="122"/>
    </row>
    <row r="716">
      <c r="I716" s="122"/>
      <c r="N716" s="122"/>
    </row>
    <row r="717">
      <c r="I717" s="122"/>
      <c r="N717" s="122"/>
    </row>
    <row r="718">
      <c r="I718" s="122"/>
      <c r="N718" s="122"/>
    </row>
    <row r="719">
      <c r="I719" s="122"/>
      <c r="N719" s="122"/>
    </row>
    <row r="720">
      <c r="I720" s="122"/>
      <c r="N720" s="122"/>
    </row>
    <row r="721">
      <c r="I721" s="122"/>
      <c r="N721" s="122"/>
    </row>
    <row r="722">
      <c r="I722" s="122"/>
      <c r="N722" s="122"/>
    </row>
    <row r="723">
      <c r="I723" s="122"/>
      <c r="N723" s="122"/>
    </row>
    <row r="724">
      <c r="I724" s="122"/>
      <c r="N724" s="122"/>
    </row>
    <row r="725">
      <c r="I725" s="122"/>
      <c r="N725" s="122"/>
    </row>
    <row r="726">
      <c r="I726" s="122"/>
      <c r="N726" s="122"/>
    </row>
    <row r="727">
      <c r="I727" s="122"/>
      <c r="N727" s="122"/>
    </row>
    <row r="728">
      <c r="I728" s="122"/>
      <c r="N728" s="122"/>
    </row>
    <row r="729">
      <c r="I729" s="122"/>
      <c r="N729" s="122"/>
    </row>
    <row r="730">
      <c r="I730" s="122"/>
      <c r="N730" s="122"/>
    </row>
    <row r="731">
      <c r="I731" s="122"/>
      <c r="N731" s="122"/>
    </row>
    <row r="732">
      <c r="I732" s="122"/>
      <c r="N732" s="122"/>
    </row>
    <row r="733">
      <c r="I733" s="122"/>
      <c r="N733" s="122"/>
    </row>
    <row r="734">
      <c r="I734" s="122"/>
      <c r="N734" s="122"/>
    </row>
    <row r="735">
      <c r="I735" s="122"/>
      <c r="N735" s="122"/>
    </row>
    <row r="736">
      <c r="I736" s="122"/>
      <c r="N736" s="122"/>
    </row>
    <row r="737">
      <c r="I737" s="122"/>
      <c r="N737" s="122"/>
    </row>
    <row r="738">
      <c r="I738" s="122"/>
      <c r="N738" s="122"/>
    </row>
    <row r="739">
      <c r="I739" s="122"/>
      <c r="N739" s="122"/>
    </row>
    <row r="740">
      <c r="I740" s="122"/>
      <c r="N740" s="122"/>
    </row>
    <row r="741">
      <c r="I741" s="122"/>
      <c r="N741" s="122"/>
    </row>
    <row r="742">
      <c r="I742" s="122"/>
      <c r="N742" s="122"/>
    </row>
    <row r="743">
      <c r="I743" s="122"/>
      <c r="N743" s="122"/>
    </row>
    <row r="744">
      <c r="I744" s="122"/>
      <c r="N744" s="122"/>
    </row>
    <row r="745">
      <c r="I745" s="122"/>
      <c r="N745" s="122"/>
    </row>
    <row r="746">
      <c r="I746" s="122"/>
      <c r="N746" s="122"/>
    </row>
    <row r="747">
      <c r="I747" s="122"/>
      <c r="N747" s="122"/>
    </row>
    <row r="748">
      <c r="I748" s="122"/>
      <c r="N748" s="122"/>
    </row>
    <row r="749">
      <c r="I749" s="122"/>
      <c r="N749" s="122"/>
    </row>
    <row r="750">
      <c r="I750" s="122"/>
      <c r="N750" s="122"/>
    </row>
    <row r="751">
      <c r="I751" s="122"/>
      <c r="N751" s="122"/>
    </row>
    <row r="752">
      <c r="I752" s="122"/>
      <c r="N752" s="122"/>
    </row>
    <row r="753">
      <c r="I753" s="122"/>
      <c r="N753" s="122"/>
    </row>
    <row r="754">
      <c r="I754" s="122"/>
      <c r="N754" s="122"/>
    </row>
    <row r="755">
      <c r="I755" s="122"/>
      <c r="N755" s="122"/>
    </row>
    <row r="756">
      <c r="I756" s="122"/>
      <c r="N756" s="122"/>
    </row>
    <row r="757">
      <c r="I757" s="122"/>
      <c r="N757" s="122"/>
    </row>
    <row r="758">
      <c r="I758" s="122"/>
      <c r="N758" s="122"/>
    </row>
    <row r="759">
      <c r="I759" s="122"/>
      <c r="N759" s="122"/>
    </row>
    <row r="760">
      <c r="I760" s="122"/>
      <c r="N760" s="122"/>
    </row>
    <row r="761">
      <c r="I761" s="122"/>
      <c r="N761" s="122"/>
    </row>
    <row r="762">
      <c r="I762" s="122"/>
      <c r="N762" s="122"/>
    </row>
    <row r="763">
      <c r="I763" s="122"/>
      <c r="N763" s="122"/>
    </row>
    <row r="764">
      <c r="I764" s="122"/>
      <c r="N764" s="122"/>
    </row>
    <row r="765">
      <c r="I765" s="122"/>
      <c r="N765" s="122"/>
    </row>
    <row r="766">
      <c r="I766" s="122"/>
      <c r="N766" s="122"/>
    </row>
    <row r="767">
      <c r="I767" s="122"/>
      <c r="N767" s="122"/>
    </row>
    <row r="768">
      <c r="I768" s="122"/>
      <c r="N768" s="122"/>
    </row>
    <row r="769">
      <c r="I769" s="122"/>
      <c r="N769" s="122"/>
    </row>
    <row r="770">
      <c r="I770" s="122"/>
      <c r="N770" s="122"/>
    </row>
    <row r="771">
      <c r="I771" s="122"/>
      <c r="N771" s="122"/>
    </row>
    <row r="772">
      <c r="I772" s="122"/>
      <c r="N772" s="122"/>
    </row>
    <row r="773">
      <c r="I773" s="122"/>
      <c r="N773" s="122"/>
    </row>
    <row r="774">
      <c r="I774" s="122"/>
      <c r="N774" s="122"/>
    </row>
    <row r="775">
      <c r="I775" s="122"/>
      <c r="N775" s="122"/>
    </row>
    <row r="776">
      <c r="I776" s="122"/>
      <c r="N776" s="122"/>
    </row>
    <row r="777">
      <c r="I777" s="122"/>
      <c r="N777" s="122"/>
    </row>
    <row r="778">
      <c r="I778" s="122"/>
      <c r="N778" s="122"/>
    </row>
    <row r="779">
      <c r="I779" s="122"/>
      <c r="N779" s="122"/>
    </row>
    <row r="780">
      <c r="I780" s="122"/>
      <c r="N780" s="122"/>
    </row>
    <row r="781">
      <c r="I781" s="122"/>
      <c r="N781" s="122"/>
    </row>
    <row r="782">
      <c r="I782" s="122"/>
      <c r="N782" s="122"/>
    </row>
    <row r="783">
      <c r="I783" s="122"/>
      <c r="N783" s="122"/>
    </row>
    <row r="784">
      <c r="I784" s="122"/>
      <c r="N784" s="122"/>
    </row>
    <row r="785">
      <c r="I785" s="122"/>
      <c r="N785" s="122"/>
    </row>
    <row r="786">
      <c r="I786" s="122"/>
      <c r="N786" s="122"/>
    </row>
    <row r="787">
      <c r="I787" s="122"/>
      <c r="N787" s="122"/>
    </row>
    <row r="788">
      <c r="I788" s="122"/>
      <c r="N788" s="122"/>
    </row>
    <row r="789">
      <c r="I789" s="122"/>
      <c r="N789" s="122"/>
    </row>
    <row r="790">
      <c r="I790" s="122"/>
      <c r="N790" s="122"/>
    </row>
    <row r="791">
      <c r="I791" s="122"/>
      <c r="N791" s="122"/>
    </row>
    <row r="792">
      <c r="I792" s="122"/>
      <c r="N792" s="122"/>
    </row>
    <row r="793">
      <c r="I793" s="122"/>
      <c r="N793" s="122"/>
    </row>
    <row r="794">
      <c r="I794" s="122"/>
      <c r="N794" s="122"/>
    </row>
    <row r="795">
      <c r="I795" s="122"/>
      <c r="N795" s="122"/>
    </row>
    <row r="796">
      <c r="I796" s="122"/>
      <c r="N796" s="122"/>
    </row>
    <row r="797">
      <c r="I797" s="122"/>
      <c r="N797" s="122"/>
    </row>
    <row r="798">
      <c r="I798" s="122"/>
      <c r="N798" s="122"/>
    </row>
    <row r="799">
      <c r="I799" s="122"/>
      <c r="N799" s="122"/>
    </row>
    <row r="800">
      <c r="I800" s="122"/>
      <c r="N800" s="122"/>
    </row>
    <row r="801">
      <c r="I801" s="122"/>
      <c r="N801" s="122"/>
    </row>
    <row r="802">
      <c r="I802" s="122"/>
      <c r="N802" s="122"/>
    </row>
    <row r="803">
      <c r="I803" s="122"/>
      <c r="N803" s="122"/>
    </row>
    <row r="804">
      <c r="I804" s="122"/>
      <c r="N804" s="122"/>
    </row>
    <row r="805">
      <c r="I805" s="122"/>
      <c r="N805" s="122"/>
    </row>
    <row r="806">
      <c r="I806" s="122"/>
      <c r="N806" s="122"/>
    </row>
    <row r="807">
      <c r="I807" s="122"/>
      <c r="N807" s="122"/>
    </row>
    <row r="808">
      <c r="I808" s="122"/>
      <c r="N808" s="122"/>
    </row>
    <row r="809">
      <c r="I809" s="122"/>
      <c r="N809" s="122"/>
    </row>
    <row r="810">
      <c r="I810" s="122"/>
      <c r="N810" s="122"/>
    </row>
    <row r="811">
      <c r="I811" s="122"/>
      <c r="N811" s="122"/>
    </row>
    <row r="812">
      <c r="I812" s="122"/>
      <c r="N812" s="122"/>
    </row>
    <row r="813">
      <c r="I813" s="122"/>
      <c r="N813" s="122"/>
    </row>
    <row r="814">
      <c r="I814" s="122"/>
      <c r="N814" s="122"/>
    </row>
    <row r="815">
      <c r="I815" s="122"/>
      <c r="N815" s="122"/>
    </row>
    <row r="816">
      <c r="I816" s="122"/>
      <c r="N816" s="122"/>
    </row>
    <row r="817">
      <c r="I817" s="122"/>
      <c r="N817" s="122"/>
    </row>
    <row r="818">
      <c r="I818" s="122"/>
      <c r="N818" s="122"/>
    </row>
    <row r="819">
      <c r="I819" s="122"/>
      <c r="N819" s="122"/>
    </row>
    <row r="820">
      <c r="I820" s="122"/>
      <c r="N820" s="122"/>
    </row>
    <row r="821">
      <c r="I821" s="122"/>
      <c r="N821" s="122"/>
    </row>
    <row r="822">
      <c r="I822" s="122"/>
      <c r="N822" s="122"/>
    </row>
    <row r="823">
      <c r="I823" s="122"/>
      <c r="N823" s="122"/>
    </row>
    <row r="824">
      <c r="I824" s="122"/>
      <c r="N824" s="122"/>
    </row>
    <row r="825">
      <c r="I825" s="122"/>
      <c r="N825" s="122"/>
    </row>
    <row r="826">
      <c r="I826" s="122"/>
      <c r="N826" s="122"/>
    </row>
    <row r="827">
      <c r="I827" s="122"/>
      <c r="N827" s="122"/>
    </row>
    <row r="828">
      <c r="I828" s="122"/>
      <c r="N828" s="122"/>
    </row>
    <row r="829">
      <c r="I829" s="122"/>
      <c r="N829" s="122"/>
    </row>
    <row r="830">
      <c r="I830" s="122"/>
      <c r="N830" s="122"/>
    </row>
    <row r="831">
      <c r="I831" s="122"/>
      <c r="N831" s="122"/>
    </row>
    <row r="832">
      <c r="I832" s="122"/>
      <c r="N832" s="122"/>
    </row>
    <row r="833">
      <c r="I833" s="122"/>
      <c r="N833" s="122"/>
    </row>
    <row r="834">
      <c r="I834" s="122"/>
      <c r="N834" s="122"/>
    </row>
    <row r="835">
      <c r="I835" s="122"/>
      <c r="N835" s="122"/>
    </row>
    <row r="836">
      <c r="I836" s="122"/>
      <c r="N836" s="122"/>
    </row>
    <row r="837">
      <c r="I837" s="122"/>
      <c r="N837" s="122"/>
    </row>
    <row r="838">
      <c r="I838" s="122"/>
      <c r="N838" s="122"/>
    </row>
    <row r="839">
      <c r="I839" s="122"/>
      <c r="N839" s="122"/>
    </row>
    <row r="840">
      <c r="I840" s="122"/>
      <c r="N840" s="122"/>
    </row>
    <row r="841">
      <c r="I841" s="122"/>
      <c r="N841" s="122"/>
    </row>
    <row r="842">
      <c r="I842" s="122"/>
      <c r="N842" s="122"/>
    </row>
    <row r="843">
      <c r="I843" s="122"/>
      <c r="N843" s="122"/>
    </row>
    <row r="844">
      <c r="I844" s="122"/>
      <c r="N844" s="122"/>
    </row>
    <row r="845">
      <c r="I845" s="122"/>
      <c r="N845" s="122"/>
    </row>
    <row r="846">
      <c r="I846" s="122"/>
      <c r="N846" s="122"/>
    </row>
    <row r="847">
      <c r="I847" s="122"/>
      <c r="N847" s="122"/>
    </row>
    <row r="848">
      <c r="I848" s="122"/>
      <c r="N848" s="122"/>
    </row>
    <row r="849">
      <c r="I849" s="122"/>
      <c r="N849" s="122"/>
    </row>
    <row r="850">
      <c r="I850" s="122"/>
      <c r="N850" s="122"/>
    </row>
    <row r="851">
      <c r="I851" s="122"/>
      <c r="N851" s="122"/>
    </row>
    <row r="852">
      <c r="I852" s="122"/>
      <c r="N852" s="122"/>
    </row>
    <row r="853">
      <c r="I853" s="122"/>
      <c r="N853" s="122"/>
    </row>
    <row r="854">
      <c r="I854" s="122"/>
      <c r="N854" s="122"/>
    </row>
    <row r="855">
      <c r="I855" s="122"/>
      <c r="N855" s="122"/>
    </row>
    <row r="856">
      <c r="I856" s="122"/>
      <c r="N856" s="122"/>
    </row>
    <row r="857">
      <c r="I857" s="122"/>
      <c r="N857" s="122"/>
    </row>
    <row r="858">
      <c r="I858" s="122"/>
      <c r="N858" s="122"/>
    </row>
    <row r="859">
      <c r="I859" s="122"/>
      <c r="N859" s="122"/>
    </row>
    <row r="860">
      <c r="I860" s="122"/>
      <c r="N860" s="122"/>
    </row>
    <row r="861">
      <c r="I861" s="122"/>
      <c r="N861" s="122"/>
    </row>
    <row r="862">
      <c r="I862" s="122"/>
      <c r="N862" s="122"/>
    </row>
    <row r="863">
      <c r="I863" s="122"/>
      <c r="N863" s="122"/>
    </row>
    <row r="864">
      <c r="I864" s="122"/>
      <c r="N864" s="122"/>
    </row>
    <row r="865">
      <c r="I865" s="122"/>
      <c r="N865" s="122"/>
    </row>
    <row r="866">
      <c r="I866" s="122"/>
      <c r="N866" s="122"/>
    </row>
    <row r="867">
      <c r="I867" s="122"/>
      <c r="N867" s="122"/>
    </row>
    <row r="868">
      <c r="I868" s="122"/>
      <c r="N868" s="122"/>
    </row>
    <row r="869">
      <c r="I869" s="122"/>
      <c r="N869" s="122"/>
    </row>
    <row r="870">
      <c r="I870" s="122"/>
      <c r="N870" s="122"/>
    </row>
    <row r="871">
      <c r="I871" s="122"/>
      <c r="N871" s="122"/>
    </row>
    <row r="872">
      <c r="I872" s="122"/>
      <c r="N872" s="122"/>
    </row>
    <row r="873">
      <c r="I873" s="122"/>
      <c r="N873" s="122"/>
    </row>
    <row r="874">
      <c r="I874" s="122"/>
      <c r="N874" s="122"/>
    </row>
    <row r="875">
      <c r="I875" s="122"/>
      <c r="N875" s="122"/>
    </row>
    <row r="876">
      <c r="I876" s="122"/>
      <c r="N876" s="122"/>
    </row>
    <row r="877">
      <c r="I877" s="122"/>
      <c r="N877" s="122"/>
    </row>
    <row r="878">
      <c r="I878" s="122"/>
      <c r="N878" s="122"/>
    </row>
    <row r="879">
      <c r="I879" s="122"/>
      <c r="N879" s="122"/>
    </row>
    <row r="880">
      <c r="I880" s="122"/>
      <c r="N880" s="122"/>
    </row>
    <row r="881">
      <c r="I881" s="122"/>
      <c r="N881" s="122"/>
    </row>
    <row r="882">
      <c r="I882" s="122"/>
      <c r="N882" s="122"/>
    </row>
    <row r="883">
      <c r="I883" s="122"/>
      <c r="N883" s="122"/>
    </row>
    <row r="884">
      <c r="I884" s="122"/>
      <c r="N884" s="122"/>
    </row>
    <row r="885">
      <c r="I885" s="122"/>
      <c r="N885" s="122"/>
    </row>
    <row r="886">
      <c r="I886" s="122"/>
      <c r="N886" s="122"/>
    </row>
    <row r="887">
      <c r="I887" s="122"/>
      <c r="N887" s="122"/>
    </row>
    <row r="888">
      <c r="I888" s="122"/>
      <c r="N888" s="122"/>
    </row>
    <row r="889">
      <c r="I889" s="122"/>
      <c r="N889" s="122"/>
    </row>
    <row r="890">
      <c r="I890" s="122"/>
      <c r="N890" s="122"/>
    </row>
    <row r="891">
      <c r="I891" s="122"/>
      <c r="N891" s="122"/>
    </row>
    <row r="892">
      <c r="I892" s="122"/>
      <c r="N892" s="122"/>
    </row>
    <row r="893">
      <c r="I893" s="122"/>
      <c r="N893" s="122"/>
    </row>
    <row r="894">
      <c r="I894" s="122"/>
      <c r="N894" s="122"/>
    </row>
    <row r="895">
      <c r="I895" s="122"/>
      <c r="N895" s="122"/>
    </row>
    <row r="896">
      <c r="I896" s="122"/>
      <c r="N896" s="122"/>
    </row>
    <row r="897">
      <c r="I897" s="122"/>
      <c r="N897" s="122"/>
    </row>
    <row r="898">
      <c r="I898" s="122"/>
      <c r="N898" s="122"/>
    </row>
    <row r="899">
      <c r="I899" s="122"/>
      <c r="N899" s="122"/>
    </row>
    <row r="900">
      <c r="I900" s="122"/>
      <c r="N900" s="122"/>
    </row>
    <row r="901">
      <c r="I901" s="122"/>
      <c r="N901" s="122"/>
    </row>
    <row r="902">
      <c r="I902" s="122"/>
      <c r="N902" s="122"/>
    </row>
    <row r="903">
      <c r="I903" s="122"/>
      <c r="N903" s="122"/>
    </row>
    <row r="904">
      <c r="I904" s="122"/>
      <c r="N904" s="122"/>
    </row>
    <row r="905">
      <c r="I905" s="122"/>
      <c r="N905" s="122"/>
    </row>
    <row r="906">
      <c r="I906" s="122"/>
      <c r="N906" s="122"/>
    </row>
    <row r="907">
      <c r="I907" s="122"/>
      <c r="N907" s="122"/>
    </row>
    <row r="908">
      <c r="I908" s="122"/>
      <c r="N908" s="122"/>
    </row>
    <row r="909">
      <c r="I909" s="122"/>
      <c r="N909" s="122"/>
    </row>
    <row r="910">
      <c r="I910" s="122"/>
      <c r="N910" s="122"/>
    </row>
    <row r="911">
      <c r="I911" s="122"/>
      <c r="N911" s="122"/>
    </row>
    <row r="912">
      <c r="I912" s="122"/>
      <c r="N912" s="122"/>
    </row>
    <row r="913">
      <c r="I913" s="122"/>
      <c r="N913" s="122"/>
    </row>
    <row r="914">
      <c r="I914" s="122"/>
      <c r="N914" s="122"/>
    </row>
    <row r="915">
      <c r="I915" s="122"/>
      <c r="N915" s="122"/>
    </row>
    <row r="916">
      <c r="I916" s="122"/>
      <c r="N916" s="122"/>
    </row>
    <row r="917">
      <c r="I917" s="122"/>
      <c r="N917" s="122"/>
    </row>
    <row r="918">
      <c r="I918" s="122"/>
      <c r="N918" s="122"/>
    </row>
    <row r="919">
      <c r="I919" s="122"/>
      <c r="N919" s="122"/>
    </row>
    <row r="920">
      <c r="I920" s="122"/>
      <c r="N920" s="122"/>
    </row>
    <row r="921">
      <c r="I921" s="122"/>
      <c r="N921" s="122"/>
    </row>
    <row r="922">
      <c r="I922" s="122"/>
      <c r="N922" s="122"/>
    </row>
    <row r="923">
      <c r="I923" s="122"/>
      <c r="N923" s="122"/>
    </row>
    <row r="924">
      <c r="I924" s="122"/>
      <c r="N924" s="122"/>
    </row>
    <row r="925">
      <c r="I925" s="122"/>
      <c r="N925" s="122"/>
    </row>
    <row r="926">
      <c r="I926" s="122"/>
      <c r="N926" s="122"/>
    </row>
    <row r="927">
      <c r="I927" s="122"/>
      <c r="N927" s="122"/>
    </row>
    <row r="928">
      <c r="I928" s="122"/>
      <c r="N928" s="122"/>
    </row>
    <row r="929">
      <c r="I929" s="122"/>
      <c r="N929" s="122"/>
    </row>
    <row r="930">
      <c r="I930" s="122"/>
      <c r="N930" s="122"/>
    </row>
    <row r="931">
      <c r="I931" s="122"/>
      <c r="N931" s="122"/>
    </row>
    <row r="932">
      <c r="I932" s="122"/>
      <c r="N932" s="122"/>
    </row>
    <row r="933">
      <c r="I933" s="122"/>
      <c r="N933" s="122"/>
    </row>
    <row r="934">
      <c r="I934" s="122"/>
      <c r="N934" s="122"/>
    </row>
    <row r="935">
      <c r="I935" s="122"/>
      <c r="N935" s="122"/>
    </row>
    <row r="936">
      <c r="I936" s="122"/>
      <c r="N936" s="122"/>
    </row>
    <row r="937">
      <c r="I937" s="122"/>
      <c r="N937" s="122"/>
    </row>
    <row r="938">
      <c r="I938" s="122"/>
      <c r="N938" s="122"/>
    </row>
    <row r="939">
      <c r="I939" s="122"/>
      <c r="N939" s="122"/>
    </row>
    <row r="940">
      <c r="I940" s="122"/>
      <c r="N940" s="122"/>
    </row>
    <row r="941">
      <c r="I941" s="122"/>
      <c r="N941" s="122"/>
    </row>
    <row r="942">
      <c r="I942" s="122"/>
      <c r="N942" s="122"/>
    </row>
    <row r="943">
      <c r="I943" s="122"/>
      <c r="N943" s="122"/>
    </row>
    <row r="944">
      <c r="I944" s="122"/>
      <c r="N944" s="122"/>
    </row>
    <row r="945">
      <c r="I945" s="122"/>
      <c r="N945" s="122"/>
    </row>
    <row r="946">
      <c r="I946" s="122"/>
      <c r="N946" s="122"/>
    </row>
    <row r="947">
      <c r="I947" s="122"/>
      <c r="N947" s="122"/>
    </row>
    <row r="948">
      <c r="I948" s="122"/>
      <c r="N948" s="122"/>
    </row>
    <row r="949">
      <c r="I949" s="122"/>
      <c r="N949" s="122"/>
    </row>
    <row r="950">
      <c r="I950" s="122"/>
      <c r="N950" s="122"/>
    </row>
    <row r="951">
      <c r="I951" s="122"/>
      <c r="N951" s="122"/>
    </row>
    <row r="952">
      <c r="I952" s="122"/>
      <c r="N952" s="122"/>
    </row>
    <row r="953">
      <c r="I953" s="122"/>
      <c r="N953" s="122"/>
    </row>
    <row r="954">
      <c r="I954" s="122"/>
      <c r="N954" s="122"/>
    </row>
    <row r="955">
      <c r="I955" s="122"/>
      <c r="N955" s="122"/>
    </row>
    <row r="956">
      <c r="I956" s="122"/>
      <c r="N956" s="122"/>
    </row>
    <row r="957">
      <c r="I957" s="122"/>
      <c r="N957" s="122"/>
    </row>
    <row r="958">
      <c r="I958" s="122"/>
      <c r="N958" s="122"/>
    </row>
    <row r="959">
      <c r="I959" s="122"/>
      <c r="N959" s="122"/>
    </row>
    <row r="960">
      <c r="I960" s="122"/>
      <c r="N960" s="122"/>
    </row>
    <row r="961">
      <c r="I961" s="122"/>
      <c r="N961" s="122"/>
    </row>
    <row r="962">
      <c r="I962" s="122"/>
      <c r="N962" s="122"/>
    </row>
    <row r="963">
      <c r="I963" s="122"/>
      <c r="N963" s="122"/>
    </row>
    <row r="964">
      <c r="I964" s="122"/>
      <c r="N964" s="122"/>
    </row>
    <row r="965">
      <c r="I965" s="122"/>
      <c r="N965" s="122"/>
    </row>
    <row r="966">
      <c r="I966" s="122"/>
      <c r="N966" s="122"/>
    </row>
    <row r="967">
      <c r="I967" s="122"/>
      <c r="N967" s="122"/>
    </row>
    <row r="968">
      <c r="I968" s="122"/>
      <c r="N968" s="122"/>
    </row>
    <row r="969">
      <c r="I969" s="122"/>
      <c r="N969" s="122"/>
    </row>
    <row r="970">
      <c r="I970" s="122"/>
      <c r="N970" s="122"/>
    </row>
    <row r="971">
      <c r="I971" s="122"/>
      <c r="N971" s="122"/>
    </row>
    <row r="972">
      <c r="I972" s="122"/>
      <c r="N972" s="122"/>
    </row>
    <row r="973">
      <c r="I973" s="122"/>
      <c r="N973" s="122"/>
    </row>
    <row r="974">
      <c r="I974" s="122"/>
      <c r="N974" s="122"/>
    </row>
    <row r="975">
      <c r="I975" s="122"/>
      <c r="N975" s="122"/>
    </row>
    <row r="976">
      <c r="I976" s="122"/>
      <c r="N976" s="122"/>
    </row>
    <row r="977">
      <c r="I977" s="122"/>
      <c r="N977" s="122"/>
    </row>
    <row r="978">
      <c r="I978" s="122"/>
      <c r="N978" s="122"/>
    </row>
    <row r="979">
      <c r="I979" s="122"/>
      <c r="N979" s="122"/>
    </row>
    <row r="980">
      <c r="I980" s="122"/>
      <c r="N980" s="122"/>
    </row>
    <row r="981">
      <c r="I981" s="122"/>
      <c r="N981" s="122"/>
    </row>
    <row r="982">
      <c r="I982" s="122"/>
      <c r="N982" s="122"/>
    </row>
    <row r="983">
      <c r="I983" s="122"/>
      <c r="N983" s="122"/>
    </row>
    <row r="984">
      <c r="I984" s="122"/>
      <c r="N984" s="122"/>
    </row>
    <row r="985">
      <c r="I985" s="122"/>
      <c r="N985" s="122"/>
    </row>
    <row r="986">
      <c r="I986" s="122"/>
      <c r="N986" s="122"/>
    </row>
    <row r="987">
      <c r="I987" s="122"/>
      <c r="N987" s="122"/>
    </row>
    <row r="988">
      <c r="I988" s="122"/>
      <c r="N988" s="122"/>
    </row>
    <row r="989">
      <c r="I989" s="122"/>
      <c r="N989" s="122"/>
    </row>
    <row r="990">
      <c r="I990" s="122"/>
      <c r="N990" s="122"/>
    </row>
    <row r="991">
      <c r="I991" s="122"/>
      <c r="N991" s="122"/>
    </row>
    <row r="992">
      <c r="I992" s="122"/>
      <c r="N992" s="122"/>
    </row>
    <row r="993">
      <c r="I993" s="122"/>
      <c r="N993" s="122"/>
    </row>
    <row r="994">
      <c r="I994" s="122"/>
      <c r="N994" s="122"/>
    </row>
    <row r="995">
      <c r="I995" s="122"/>
      <c r="N995" s="122"/>
    </row>
    <row r="996">
      <c r="I996" s="122"/>
      <c r="N996" s="122"/>
    </row>
    <row r="997">
      <c r="I997" s="122"/>
      <c r="N997" s="122"/>
    </row>
    <row r="998">
      <c r="I998" s="122"/>
      <c r="N998" s="122"/>
    </row>
    <row r="999">
      <c r="I999" s="122"/>
      <c r="N999" s="122"/>
    </row>
    <row r="1000">
      <c r="I1000" s="122"/>
      <c r="N1000" s="122"/>
    </row>
    <row r="1001">
      <c r="I1001" s="122"/>
      <c r="N1001" s="122"/>
    </row>
    <row r="1002">
      <c r="I1002" s="122"/>
      <c r="N1002" s="122"/>
    </row>
    <row r="1003">
      <c r="I1003" s="122"/>
      <c r="N1003" s="122"/>
    </row>
    <row r="1004">
      <c r="I1004" s="122"/>
      <c r="N1004" s="122"/>
    </row>
    <row r="1005">
      <c r="I1005" s="122"/>
      <c r="N1005" s="122"/>
    </row>
  </sheetData>
  <mergeCells count="1">
    <mergeCell ref="I140:I14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7.0"/>
    <col customWidth="1" min="3" max="3" width="10.86"/>
    <col customWidth="1" min="4" max="4" width="5.86"/>
    <col customWidth="1" min="5" max="5" width="11.14"/>
  </cols>
  <sheetData>
    <row r="1">
      <c r="C1" s="819"/>
    </row>
    <row r="2">
      <c r="C2" s="819"/>
    </row>
    <row r="3">
      <c r="C3" s="819"/>
    </row>
    <row r="4">
      <c r="C4" s="819"/>
    </row>
    <row r="5">
      <c r="C5" s="819"/>
    </row>
    <row r="6">
      <c r="C6" s="897" t="s">
        <v>495</v>
      </c>
      <c r="D6" s="561" t="s">
        <v>496</v>
      </c>
      <c r="E6" s="561">
        <v>800.0</v>
      </c>
    </row>
    <row r="7">
      <c r="C7" s="897" t="s">
        <v>497</v>
      </c>
      <c r="D7" s="561" t="s">
        <v>498</v>
      </c>
      <c r="E7" s="561">
        <v>400.0</v>
      </c>
    </row>
    <row r="8">
      <c r="C8" s="819" t="s">
        <v>30</v>
      </c>
      <c r="D8" s="561" t="s">
        <v>499</v>
      </c>
      <c r="E8" s="561">
        <v>350.0</v>
      </c>
    </row>
    <row r="9">
      <c r="C9" s="819" t="s">
        <v>31</v>
      </c>
      <c r="D9" s="561" t="s">
        <v>496</v>
      </c>
      <c r="E9" s="561">
        <v>400.0</v>
      </c>
    </row>
    <row r="10">
      <c r="C10" s="819" t="s">
        <v>32</v>
      </c>
      <c r="D10" s="561" t="s">
        <v>496</v>
      </c>
      <c r="E10" s="561">
        <v>400.0</v>
      </c>
    </row>
    <row r="11">
      <c r="C11" s="819" t="s">
        <v>34</v>
      </c>
      <c r="D11" s="561" t="s">
        <v>496</v>
      </c>
      <c r="E11" s="561">
        <v>400.0</v>
      </c>
    </row>
    <row r="12">
      <c r="C12" s="819" t="s">
        <v>35</v>
      </c>
      <c r="D12" s="561" t="s">
        <v>498</v>
      </c>
      <c r="E12" s="561">
        <v>900.0</v>
      </c>
    </row>
    <row r="13">
      <c r="C13" s="819" t="s">
        <v>70</v>
      </c>
      <c r="D13" s="561" t="s">
        <v>500</v>
      </c>
      <c r="E13" s="561">
        <v>800.0</v>
      </c>
    </row>
    <row r="14">
      <c r="C14" s="819" t="s">
        <v>44</v>
      </c>
      <c r="D14" s="561" t="s">
        <v>500</v>
      </c>
      <c r="E14" s="561">
        <v>400.0</v>
      </c>
    </row>
    <row r="15">
      <c r="C15" s="819" t="s">
        <v>45</v>
      </c>
      <c r="D15" s="561" t="s">
        <v>501</v>
      </c>
      <c r="E15" s="561">
        <v>350.0</v>
      </c>
    </row>
    <row r="16">
      <c r="C16" s="819" t="s">
        <v>47</v>
      </c>
      <c r="D16" s="561" t="s">
        <v>496</v>
      </c>
      <c r="E16" s="561">
        <v>400.0</v>
      </c>
    </row>
    <row r="17">
      <c r="C17" s="819" t="s">
        <v>72</v>
      </c>
      <c r="D17" s="561" t="s">
        <v>499</v>
      </c>
      <c r="E17" s="561">
        <v>350.0</v>
      </c>
    </row>
    <row r="18">
      <c r="C18" s="897" t="s">
        <v>167</v>
      </c>
      <c r="D18" s="561" t="s">
        <v>502</v>
      </c>
      <c r="E18" s="561">
        <v>750.0</v>
      </c>
    </row>
    <row r="19">
      <c r="B19" s="899" t="s">
        <v>214</v>
      </c>
      <c r="C19" s="900" t="s">
        <v>66</v>
      </c>
      <c r="D19" s="899"/>
      <c r="E19" s="901">
        <f>sum(E6:E18)</f>
        <v>6700</v>
      </c>
    </row>
    <row r="20">
      <c r="C20" s="819"/>
    </row>
    <row r="21">
      <c r="C21" s="819"/>
    </row>
    <row r="22">
      <c r="C22" s="819"/>
    </row>
    <row r="23">
      <c r="B23" s="561" t="s">
        <v>203</v>
      </c>
      <c r="C23" s="902">
        <v>45293.0</v>
      </c>
      <c r="D23" s="561" t="s">
        <v>503</v>
      </c>
      <c r="E23" s="561">
        <v>400.0</v>
      </c>
    </row>
    <row r="24">
      <c r="C24" s="902">
        <v>45355.0</v>
      </c>
      <c r="D24" s="561" t="s">
        <v>504</v>
      </c>
      <c r="E24" s="561">
        <v>350.0</v>
      </c>
    </row>
    <row r="25">
      <c r="C25" s="897" t="s">
        <v>357</v>
      </c>
      <c r="D25" s="561" t="s">
        <v>505</v>
      </c>
      <c r="E25" s="561">
        <f>800+900</f>
        <v>1700</v>
      </c>
      <c r="F25" s="561" t="s">
        <v>506</v>
      </c>
    </row>
    <row r="26">
      <c r="C26" s="902">
        <v>45513.0</v>
      </c>
      <c r="D26" s="561" t="s">
        <v>500</v>
      </c>
      <c r="E26" s="561">
        <v>400.0</v>
      </c>
      <c r="F26" s="561" t="s">
        <v>507</v>
      </c>
    </row>
    <row r="27">
      <c r="C27" s="902">
        <v>45545.0</v>
      </c>
      <c r="D27" s="561" t="s">
        <v>504</v>
      </c>
      <c r="E27" s="561">
        <v>400.0</v>
      </c>
    </row>
    <row r="28">
      <c r="C28" s="902">
        <v>45577.0</v>
      </c>
      <c r="D28" s="561" t="s">
        <v>504</v>
      </c>
      <c r="E28" s="561">
        <v>700.0</v>
      </c>
    </row>
    <row r="29">
      <c r="C29" s="902">
        <v>45639.0</v>
      </c>
      <c r="D29" s="561" t="s">
        <v>501</v>
      </c>
      <c r="E29" s="561">
        <v>350.0</v>
      </c>
    </row>
    <row r="30">
      <c r="C30" s="819" t="s">
        <v>29</v>
      </c>
      <c r="D30" s="561" t="s">
        <v>496</v>
      </c>
      <c r="E30" s="561">
        <v>400.0</v>
      </c>
    </row>
    <row r="31">
      <c r="C31" s="819" t="s">
        <v>30</v>
      </c>
      <c r="D31" s="561" t="s">
        <v>504</v>
      </c>
      <c r="E31" s="561">
        <v>400.0</v>
      </c>
    </row>
    <row r="32">
      <c r="C32" s="819" t="s">
        <v>31</v>
      </c>
      <c r="D32" s="561" t="s">
        <v>500</v>
      </c>
      <c r="E32" s="561">
        <v>400.0</v>
      </c>
    </row>
    <row r="33">
      <c r="C33" s="819" t="s">
        <v>32</v>
      </c>
      <c r="D33" s="561" t="s">
        <v>496</v>
      </c>
      <c r="E33" s="561">
        <v>400.0</v>
      </c>
    </row>
    <row r="34">
      <c r="C34" s="819" t="s">
        <v>33</v>
      </c>
      <c r="D34" s="561" t="s">
        <v>496</v>
      </c>
      <c r="E34" s="561">
        <v>400.0</v>
      </c>
    </row>
    <row r="35">
      <c r="C35" s="819" t="s">
        <v>508</v>
      </c>
      <c r="D35" s="561" t="s">
        <v>509</v>
      </c>
      <c r="E35" s="561">
        <v>650.0</v>
      </c>
    </row>
    <row r="36">
      <c r="C36" s="819" t="s">
        <v>35</v>
      </c>
      <c r="D36" s="561" t="s">
        <v>498</v>
      </c>
      <c r="E36" s="561">
        <v>900.0</v>
      </c>
    </row>
    <row r="37">
      <c r="C37" s="819" t="s">
        <v>37</v>
      </c>
      <c r="D37" s="561" t="s">
        <v>496</v>
      </c>
      <c r="E37" s="561">
        <v>450.0</v>
      </c>
    </row>
    <row r="38">
      <c r="B38" s="565"/>
      <c r="C38" s="819" t="s">
        <v>41</v>
      </c>
      <c r="D38" s="561" t="s">
        <v>504</v>
      </c>
      <c r="E38" s="119">
        <v>400.0</v>
      </c>
    </row>
    <row r="39">
      <c r="B39" s="565"/>
      <c r="C39" s="819" t="s">
        <v>71</v>
      </c>
      <c r="D39" s="561" t="s">
        <v>504</v>
      </c>
      <c r="E39" s="119">
        <v>900.0</v>
      </c>
    </row>
    <row r="40">
      <c r="B40" s="565"/>
      <c r="C40" s="819" t="s">
        <v>86</v>
      </c>
      <c r="D40" s="561" t="s">
        <v>510</v>
      </c>
      <c r="E40" s="119">
        <v>800.0</v>
      </c>
    </row>
    <row r="41">
      <c r="B41" s="565"/>
      <c r="C41" s="819" t="s">
        <v>88</v>
      </c>
      <c r="D41" s="561">
        <v>1163.0</v>
      </c>
      <c r="E41" s="119">
        <v>900.0</v>
      </c>
    </row>
    <row r="42">
      <c r="B42" s="565"/>
      <c r="C42" s="819" t="s">
        <v>50</v>
      </c>
      <c r="D42" s="561" t="s">
        <v>503</v>
      </c>
      <c r="E42" s="119">
        <v>400.0</v>
      </c>
    </row>
    <row r="43">
      <c r="B43" s="565"/>
      <c r="C43" s="819" t="s">
        <v>52</v>
      </c>
      <c r="D43" s="561" t="s">
        <v>504</v>
      </c>
      <c r="E43" s="119">
        <v>950.0</v>
      </c>
    </row>
    <row r="44">
      <c r="B44" s="899" t="s">
        <v>40</v>
      </c>
      <c r="C44" s="900" t="s">
        <v>66</v>
      </c>
      <c r="D44" s="899"/>
      <c r="E44" s="901">
        <f>sum(E23:E43)</f>
        <v>12650</v>
      </c>
    </row>
    <row r="45">
      <c r="C45" s="819"/>
    </row>
    <row r="46">
      <c r="C46" s="819"/>
    </row>
    <row r="47">
      <c r="C47" s="819"/>
    </row>
    <row r="48">
      <c r="C48" s="819"/>
    </row>
    <row r="49">
      <c r="C49" s="819"/>
    </row>
    <row r="50">
      <c r="C50" s="819"/>
    </row>
    <row r="51">
      <c r="C51" s="819"/>
    </row>
    <row r="52">
      <c r="C52" s="819"/>
    </row>
    <row r="53">
      <c r="C53" s="819"/>
    </row>
    <row r="54">
      <c r="C54" s="819"/>
    </row>
    <row r="55">
      <c r="C55" s="819"/>
    </row>
    <row r="56">
      <c r="C56" s="819"/>
    </row>
    <row r="57">
      <c r="C57" s="819"/>
    </row>
    <row r="58">
      <c r="C58" s="819"/>
    </row>
    <row r="59">
      <c r="C59" s="819"/>
    </row>
    <row r="60">
      <c r="C60" s="819"/>
    </row>
    <row r="61">
      <c r="C61" s="819"/>
    </row>
    <row r="62">
      <c r="C62" s="819"/>
    </row>
    <row r="63">
      <c r="C63" s="819"/>
    </row>
    <row r="64">
      <c r="C64" s="819"/>
    </row>
    <row r="65">
      <c r="C65" s="819"/>
    </row>
    <row r="66">
      <c r="C66" s="819"/>
    </row>
    <row r="67">
      <c r="C67" s="819"/>
    </row>
    <row r="68">
      <c r="C68" s="819"/>
    </row>
    <row r="69">
      <c r="C69" s="819"/>
    </row>
    <row r="70">
      <c r="C70" s="819"/>
    </row>
    <row r="71">
      <c r="C71" s="819"/>
    </row>
    <row r="72">
      <c r="C72" s="819"/>
    </row>
    <row r="73">
      <c r="C73" s="819"/>
    </row>
    <row r="74">
      <c r="C74" s="819"/>
    </row>
    <row r="75">
      <c r="C75" s="819"/>
    </row>
    <row r="76">
      <c r="C76" s="819"/>
    </row>
    <row r="77">
      <c r="C77" s="819"/>
    </row>
    <row r="78">
      <c r="C78" s="819"/>
    </row>
    <row r="79">
      <c r="C79" s="819"/>
    </row>
    <row r="80">
      <c r="C80" s="819"/>
    </row>
    <row r="81">
      <c r="C81" s="819"/>
    </row>
    <row r="82">
      <c r="C82" s="819"/>
    </row>
    <row r="83">
      <c r="C83" s="819"/>
    </row>
    <row r="84">
      <c r="C84" s="819"/>
    </row>
    <row r="85">
      <c r="C85" s="819"/>
    </row>
    <row r="86">
      <c r="C86" s="819"/>
    </row>
    <row r="87">
      <c r="C87" s="819"/>
    </row>
    <row r="88">
      <c r="C88" s="819"/>
    </row>
    <row r="89">
      <c r="C89" s="819"/>
    </row>
    <row r="90">
      <c r="C90" s="819"/>
    </row>
    <row r="91">
      <c r="C91" s="819"/>
    </row>
    <row r="92">
      <c r="C92" s="819"/>
    </row>
    <row r="93">
      <c r="C93" s="819"/>
    </row>
    <row r="94">
      <c r="C94" s="819"/>
    </row>
    <row r="95">
      <c r="C95" s="819"/>
    </row>
    <row r="96">
      <c r="C96" s="819"/>
    </row>
    <row r="97">
      <c r="C97" s="819"/>
    </row>
    <row r="98">
      <c r="C98" s="819"/>
    </row>
    <row r="99">
      <c r="C99" s="819"/>
    </row>
    <row r="100">
      <c r="C100" s="819"/>
    </row>
    <row r="101">
      <c r="C101" s="819"/>
    </row>
    <row r="102">
      <c r="C102" s="819"/>
    </row>
    <row r="103">
      <c r="C103" s="819"/>
    </row>
    <row r="104">
      <c r="C104" s="819"/>
    </row>
    <row r="105">
      <c r="C105" s="819"/>
    </row>
    <row r="106">
      <c r="C106" s="819"/>
    </row>
    <row r="107">
      <c r="C107" s="819"/>
    </row>
    <row r="108">
      <c r="C108" s="819"/>
    </row>
    <row r="109">
      <c r="C109" s="819"/>
    </row>
    <row r="110">
      <c r="C110" s="819"/>
    </row>
    <row r="111">
      <c r="C111" s="819"/>
    </row>
    <row r="112">
      <c r="C112" s="819"/>
    </row>
    <row r="113">
      <c r="C113" s="819"/>
    </row>
    <row r="114">
      <c r="C114" s="819"/>
    </row>
    <row r="115">
      <c r="C115" s="819"/>
    </row>
    <row r="116">
      <c r="C116" s="819"/>
    </row>
    <row r="117">
      <c r="C117" s="819"/>
    </row>
    <row r="118">
      <c r="C118" s="819"/>
    </row>
    <row r="119">
      <c r="C119" s="819"/>
    </row>
    <row r="120">
      <c r="C120" s="819"/>
    </row>
    <row r="121">
      <c r="C121" s="819"/>
    </row>
    <row r="122">
      <c r="C122" s="819"/>
    </row>
    <row r="123">
      <c r="C123" s="819"/>
    </row>
    <row r="124">
      <c r="C124" s="819"/>
    </row>
    <row r="125">
      <c r="C125" s="819"/>
    </row>
    <row r="126">
      <c r="C126" s="819"/>
    </row>
    <row r="127">
      <c r="C127" s="819"/>
    </row>
    <row r="128">
      <c r="C128" s="819"/>
    </row>
    <row r="129">
      <c r="C129" s="819"/>
    </row>
    <row r="130">
      <c r="C130" s="819"/>
    </row>
    <row r="131">
      <c r="C131" s="819"/>
    </row>
    <row r="132">
      <c r="C132" s="819"/>
    </row>
    <row r="133">
      <c r="C133" s="819"/>
    </row>
    <row r="134">
      <c r="C134" s="819"/>
    </row>
    <row r="135">
      <c r="C135" s="819"/>
    </row>
    <row r="136">
      <c r="C136" s="819"/>
    </row>
    <row r="137">
      <c r="C137" s="819"/>
    </row>
    <row r="138">
      <c r="C138" s="819"/>
    </row>
    <row r="139">
      <c r="C139" s="819"/>
    </row>
    <row r="140">
      <c r="C140" s="819"/>
    </row>
    <row r="141">
      <c r="C141" s="819"/>
    </row>
    <row r="142">
      <c r="C142" s="819"/>
    </row>
    <row r="143">
      <c r="C143" s="819"/>
    </row>
    <row r="144">
      <c r="C144" s="819"/>
    </row>
    <row r="145">
      <c r="C145" s="819"/>
    </row>
    <row r="146">
      <c r="C146" s="819"/>
    </row>
    <row r="147">
      <c r="C147" s="819"/>
    </row>
    <row r="148">
      <c r="C148" s="819"/>
    </row>
    <row r="149">
      <c r="C149" s="819"/>
    </row>
    <row r="150">
      <c r="C150" s="819"/>
    </row>
    <row r="151">
      <c r="C151" s="819"/>
    </row>
    <row r="152">
      <c r="C152" s="819"/>
    </row>
    <row r="153">
      <c r="C153" s="819"/>
    </row>
    <row r="154">
      <c r="C154" s="819"/>
    </row>
    <row r="155">
      <c r="C155" s="819"/>
    </row>
    <row r="156">
      <c r="C156" s="819"/>
    </row>
    <row r="157">
      <c r="C157" s="819"/>
    </row>
    <row r="158">
      <c r="C158" s="819"/>
    </row>
    <row r="159">
      <c r="C159" s="819"/>
    </row>
    <row r="160">
      <c r="C160" s="819"/>
    </row>
    <row r="161">
      <c r="C161" s="819"/>
    </row>
    <row r="162">
      <c r="C162" s="819"/>
    </row>
    <row r="163">
      <c r="C163" s="819"/>
    </row>
    <row r="164">
      <c r="C164" s="819"/>
    </row>
    <row r="165">
      <c r="C165" s="819"/>
    </row>
    <row r="166">
      <c r="C166" s="819"/>
    </row>
    <row r="167">
      <c r="C167" s="819"/>
    </row>
    <row r="168">
      <c r="C168" s="819"/>
    </row>
    <row r="169">
      <c r="C169" s="819"/>
    </row>
    <row r="170">
      <c r="C170" s="819"/>
    </row>
    <row r="171">
      <c r="C171" s="819"/>
    </row>
    <row r="172">
      <c r="C172" s="819"/>
    </row>
    <row r="173">
      <c r="C173" s="819"/>
    </row>
    <row r="174">
      <c r="C174" s="819"/>
    </row>
    <row r="175">
      <c r="C175" s="819"/>
    </row>
    <row r="176">
      <c r="C176" s="819"/>
    </row>
    <row r="177">
      <c r="C177" s="819"/>
    </row>
    <row r="178">
      <c r="C178" s="819"/>
    </row>
    <row r="179">
      <c r="C179" s="819"/>
    </row>
    <row r="180">
      <c r="C180" s="819"/>
    </row>
    <row r="181">
      <c r="C181" s="819"/>
    </row>
    <row r="182">
      <c r="C182" s="819"/>
    </row>
    <row r="183">
      <c r="C183" s="819"/>
    </row>
    <row r="184">
      <c r="C184" s="819"/>
    </row>
    <row r="185">
      <c r="C185" s="819"/>
    </row>
    <row r="186">
      <c r="C186" s="819"/>
    </row>
    <row r="187">
      <c r="C187" s="819"/>
    </row>
    <row r="188">
      <c r="C188" s="819"/>
    </row>
    <row r="189">
      <c r="C189" s="819"/>
    </row>
    <row r="190">
      <c r="C190" s="819"/>
    </row>
    <row r="191">
      <c r="C191" s="819"/>
    </row>
    <row r="192">
      <c r="C192" s="819"/>
    </row>
    <row r="193">
      <c r="C193" s="819"/>
    </row>
    <row r="194">
      <c r="C194" s="819"/>
    </row>
    <row r="195">
      <c r="C195" s="819"/>
    </row>
    <row r="196">
      <c r="C196" s="819"/>
    </row>
    <row r="197">
      <c r="C197" s="819"/>
    </row>
    <row r="198">
      <c r="C198" s="819"/>
    </row>
    <row r="199">
      <c r="C199" s="819"/>
    </row>
    <row r="200">
      <c r="C200" s="819"/>
    </row>
    <row r="201">
      <c r="C201" s="819"/>
    </row>
    <row r="202">
      <c r="C202" s="819"/>
    </row>
    <row r="203">
      <c r="C203" s="819"/>
    </row>
    <row r="204">
      <c r="C204" s="819"/>
    </row>
    <row r="205">
      <c r="C205" s="819"/>
    </row>
    <row r="206">
      <c r="C206" s="819"/>
    </row>
    <row r="207">
      <c r="C207" s="819"/>
    </row>
    <row r="208">
      <c r="C208" s="819"/>
    </row>
    <row r="209">
      <c r="C209" s="819"/>
    </row>
    <row r="210">
      <c r="C210" s="819"/>
    </row>
    <row r="211">
      <c r="C211" s="819"/>
    </row>
    <row r="212">
      <c r="C212" s="819"/>
    </row>
    <row r="213">
      <c r="C213" s="819"/>
    </row>
    <row r="214">
      <c r="C214" s="819"/>
    </row>
    <row r="215">
      <c r="C215" s="819"/>
    </row>
    <row r="216">
      <c r="C216" s="819"/>
    </row>
    <row r="217">
      <c r="C217" s="819"/>
    </row>
    <row r="218">
      <c r="C218" s="819"/>
    </row>
    <row r="219">
      <c r="C219" s="819"/>
    </row>
    <row r="220">
      <c r="C220" s="819"/>
    </row>
    <row r="221">
      <c r="C221" s="819"/>
    </row>
    <row r="222">
      <c r="C222" s="819"/>
    </row>
    <row r="223">
      <c r="C223" s="819"/>
    </row>
    <row r="224">
      <c r="C224" s="819"/>
    </row>
    <row r="225">
      <c r="C225" s="819"/>
    </row>
    <row r="226">
      <c r="C226" s="819"/>
    </row>
    <row r="227">
      <c r="C227" s="819"/>
    </row>
    <row r="228">
      <c r="C228" s="819"/>
    </row>
    <row r="229">
      <c r="C229" s="819"/>
    </row>
    <row r="230">
      <c r="C230" s="819"/>
    </row>
    <row r="231">
      <c r="C231" s="819"/>
    </row>
    <row r="232">
      <c r="C232" s="819"/>
    </row>
    <row r="233">
      <c r="C233" s="819"/>
    </row>
    <row r="234">
      <c r="C234" s="819"/>
    </row>
    <row r="235">
      <c r="C235" s="819"/>
    </row>
    <row r="236">
      <c r="C236" s="819"/>
    </row>
    <row r="237">
      <c r="C237" s="819"/>
    </row>
    <row r="238">
      <c r="C238" s="819"/>
    </row>
    <row r="239">
      <c r="C239" s="819"/>
    </row>
    <row r="240">
      <c r="C240" s="819"/>
    </row>
    <row r="241">
      <c r="C241" s="819"/>
    </row>
    <row r="242">
      <c r="C242" s="819"/>
    </row>
    <row r="243">
      <c r="C243" s="819"/>
    </row>
    <row r="244">
      <c r="C244" s="819"/>
    </row>
    <row r="245">
      <c r="C245" s="819"/>
    </row>
    <row r="246">
      <c r="C246" s="819"/>
    </row>
    <row r="247">
      <c r="C247" s="819"/>
    </row>
    <row r="248">
      <c r="C248" s="819"/>
    </row>
    <row r="249">
      <c r="C249" s="819"/>
    </row>
    <row r="250">
      <c r="C250" s="819"/>
    </row>
    <row r="251">
      <c r="C251" s="819"/>
    </row>
    <row r="252">
      <c r="C252" s="819"/>
    </row>
    <row r="253">
      <c r="C253" s="819"/>
    </row>
    <row r="254">
      <c r="C254" s="819"/>
    </row>
    <row r="255">
      <c r="C255" s="819"/>
    </row>
    <row r="256">
      <c r="C256" s="819"/>
    </row>
    <row r="257">
      <c r="C257" s="819"/>
    </row>
    <row r="258">
      <c r="C258" s="819"/>
    </row>
    <row r="259">
      <c r="C259" s="819"/>
    </row>
    <row r="260">
      <c r="C260" s="819"/>
    </row>
    <row r="261">
      <c r="C261" s="819"/>
    </row>
    <row r="262">
      <c r="C262" s="819"/>
    </row>
    <row r="263">
      <c r="C263" s="819"/>
    </row>
    <row r="264">
      <c r="C264" s="819"/>
    </row>
    <row r="265">
      <c r="C265" s="819"/>
    </row>
    <row r="266">
      <c r="C266" s="819"/>
    </row>
    <row r="267">
      <c r="C267" s="819"/>
    </row>
    <row r="268">
      <c r="C268" s="819"/>
    </row>
    <row r="269">
      <c r="C269" s="819"/>
    </row>
    <row r="270">
      <c r="C270" s="819"/>
    </row>
    <row r="271">
      <c r="C271" s="819"/>
    </row>
    <row r="272">
      <c r="C272" s="819"/>
    </row>
    <row r="273">
      <c r="C273" s="819"/>
    </row>
    <row r="274">
      <c r="C274" s="819"/>
    </row>
    <row r="275">
      <c r="C275" s="819"/>
    </row>
    <row r="276">
      <c r="C276" s="819"/>
    </row>
    <row r="277">
      <c r="C277" s="819"/>
    </row>
    <row r="278">
      <c r="C278" s="819"/>
    </row>
    <row r="279">
      <c r="C279" s="819"/>
    </row>
    <row r="280">
      <c r="C280" s="819"/>
    </row>
    <row r="281">
      <c r="C281" s="819"/>
    </row>
    <row r="282">
      <c r="C282" s="819"/>
    </row>
    <row r="283">
      <c r="C283" s="819"/>
    </row>
    <row r="284">
      <c r="C284" s="819"/>
    </row>
    <row r="285">
      <c r="C285" s="819"/>
    </row>
    <row r="286">
      <c r="C286" s="819"/>
    </row>
    <row r="287">
      <c r="C287" s="819"/>
    </row>
    <row r="288">
      <c r="C288" s="819"/>
    </row>
    <row r="289">
      <c r="C289" s="819"/>
    </row>
    <row r="290">
      <c r="C290" s="819"/>
    </row>
    <row r="291">
      <c r="C291" s="819"/>
    </row>
    <row r="292">
      <c r="C292" s="819"/>
    </row>
    <row r="293">
      <c r="C293" s="819"/>
    </row>
    <row r="294">
      <c r="C294" s="819"/>
    </row>
    <row r="295">
      <c r="C295" s="819"/>
    </row>
    <row r="296">
      <c r="C296" s="819"/>
    </row>
    <row r="297">
      <c r="C297" s="819"/>
    </row>
    <row r="298">
      <c r="C298" s="819"/>
    </row>
    <row r="299">
      <c r="C299" s="819"/>
    </row>
    <row r="300">
      <c r="C300" s="819"/>
    </row>
    <row r="301">
      <c r="C301" s="819"/>
    </row>
    <row r="302">
      <c r="C302" s="819"/>
    </row>
    <row r="303">
      <c r="C303" s="819"/>
    </row>
    <row r="304">
      <c r="C304" s="819"/>
    </row>
    <row r="305">
      <c r="C305" s="819"/>
    </row>
    <row r="306">
      <c r="C306" s="819"/>
    </row>
    <row r="307">
      <c r="C307" s="819"/>
    </row>
    <row r="308">
      <c r="C308" s="819"/>
    </row>
    <row r="309">
      <c r="C309" s="819"/>
    </row>
    <row r="310">
      <c r="C310" s="819"/>
    </row>
    <row r="311">
      <c r="C311" s="819"/>
    </row>
    <row r="312">
      <c r="C312" s="819"/>
    </row>
    <row r="313">
      <c r="C313" s="819"/>
    </row>
    <row r="314">
      <c r="C314" s="819"/>
    </row>
    <row r="315">
      <c r="C315" s="819"/>
    </row>
    <row r="316">
      <c r="C316" s="819"/>
    </row>
    <row r="317">
      <c r="C317" s="819"/>
    </row>
    <row r="318">
      <c r="C318" s="819"/>
    </row>
    <row r="319">
      <c r="C319" s="819"/>
    </row>
    <row r="320">
      <c r="C320" s="819"/>
    </row>
    <row r="321">
      <c r="C321" s="819"/>
    </row>
    <row r="322">
      <c r="C322" s="819"/>
    </row>
    <row r="323">
      <c r="C323" s="819"/>
    </row>
    <row r="324">
      <c r="C324" s="819"/>
    </row>
    <row r="325">
      <c r="C325" s="819"/>
    </row>
    <row r="326">
      <c r="C326" s="819"/>
    </row>
    <row r="327">
      <c r="C327" s="819"/>
    </row>
    <row r="328">
      <c r="C328" s="819"/>
    </row>
    <row r="329">
      <c r="C329" s="819"/>
    </row>
    <row r="330">
      <c r="C330" s="819"/>
    </row>
    <row r="331">
      <c r="C331" s="819"/>
    </row>
    <row r="332">
      <c r="C332" s="819"/>
    </row>
    <row r="333">
      <c r="C333" s="819"/>
    </row>
    <row r="334">
      <c r="C334" s="819"/>
    </row>
    <row r="335">
      <c r="C335" s="819"/>
    </row>
    <row r="336">
      <c r="C336" s="819"/>
    </row>
    <row r="337">
      <c r="C337" s="819"/>
    </row>
    <row r="338">
      <c r="C338" s="819"/>
    </row>
    <row r="339">
      <c r="C339" s="819"/>
    </row>
    <row r="340">
      <c r="C340" s="819"/>
    </row>
    <row r="341">
      <c r="C341" s="819"/>
    </row>
    <row r="342">
      <c r="C342" s="819"/>
    </row>
    <row r="343">
      <c r="C343" s="819"/>
    </row>
    <row r="344">
      <c r="C344" s="819"/>
    </row>
    <row r="345">
      <c r="C345" s="819"/>
    </row>
    <row r="346">
      <c r="C346" s="819"/>
    </row>
    <row r="347">
      <c r="C347" s="819"/>
    </row>
    <row r="348">
      <c r="C348" s="819"/>
    </row>
    <row r="349">
      <c r="C349" s="819"/>
    </row>
    <row r="350">
      <c r="C350" s="819"/>
    </row>
    <row r="351">
      <c r="C351" s="819"/>
    </row>
    <row r="352">
      <c r="C352" s="819"/>
    </row>
    <row r="353">
      <c r="C353" s="819"/>
    </row>
    <row r="354">
      <c r="C354" s="819"/>
    </row>
    <row r="355">
      <c r="C355" s="819"/>
    </row>
    <row r="356">
      <c r="C356" s="819"/>
    </row>
    <row r="357">
      <c r="C357" s="819"/>
    </row>
    <row r="358">
      <c r="C358" s="819"/>
    </row>
    <row r="359">
      <c r="C359" s="819"/>
    </row>
    <row r="360">
      <c r="C360" s="819"/>
    </row>
    <row r="361">
      <c r="C361" s="819"/>
    </row>
    <row r="362">
      <c r="C362" s="819"/>
    </row>
    <row r="363">
      <c r="C363" s="819"/>
    </row>
    <row r="364">
      <c r="C364" s="819"/>
    </row>
    <row r="365">
      <c r="C365" s="819"/>
    </row>
    <row r="366">
      <c r="C366" s="819"/>
    </row>
    <row r="367">
      <c r="C367" s="819"/>
    </row>
    <row r="368">
      <c r="C368" s="819"/>
    </row>
    <row r="369">
      <c r="C369" s="819"/>
    </row>
    <row r="370">
      <c r="C370" s="819"/>
    </row>
    <row r="371">
      <c r="C371" s="819"/>
    </row>
    <row r="372">
      <c r="C372" s="819"/>
    </row>
    <row r="373">
      <c r="C373" s="819"/>
    </row>
    <row r="374">
      <c r="C374" s="819"/>
    </row>
    <row r="375">
      <c r="C375" s="819"/>
    </row>
    <row r="376">
      <c r="C376" s="819"/>
    </row>
    <row r="377">
      <c r="C377" s="819"/>
    </row>
    <row r="378">
      <c r="C378" s="819"/>
    </row>
    <row r="379">
      <c r="C379" s="819"/>
    </row>
    <row r="380">
      <c r="C380" s="819"/>
    </row>
    <row r="381">
      <c r="C381" s="819"/>
    </row>
    <row r="382">
      <c r="C382" s="819"/>
    </row>
    <row r="383">
      <c r="C383" s="819"/>
    </row>
    <row r="384">
      <c r="C384" s="819"/>
    </row>
    <row r="385">
      <c r="C385" s="819"/>
    </row>
    <row r="386">
      <c r="C386" s="819"/>
    </row>
    <row r="387">
      <c r="C387" s="819"/>
    </row>
    <row r="388">
      <c r="C388" s="819"/>
    </row>
    <row r="389">
      <c r="C389" s="819"/>
    </row>
    <row r="390">
      <c r="C390" s="819"/>
    </row>
    <row r="391">
      <c r="C391" s="819"/>
    </row>
    <row r="392">
      <c r="C392" s="819"/>
    </row>
    <row r="393">
      <c r="C393" s="819"/>
    </row>
    <row r="394">
      <c r="C394" s="819"/>
    </row>
    <row r="395">
      <c r="C395" s="819"/>
    </row>
    <row r="396">
      <c r="C396" s="819"/>
    </row>
    <row r="397">
      <c r="C397" s="819"/>
    </row>
    <row r="398">
      <c r="C398" s="819"/>
    </row>
    <row r="399">
      <c r="C399" s="819"/>
    </row>
    <row r="400">
      <c r="C400" s="819"/>
    </row>
    <row r="401">
      <c r="C401" s="819"/>
    </row>
    <row r="402">
      <c r="C402" s="819"/>
    </row>
    <row r="403">
      <c r="C403" s="819"/>
    </row>
    <row r="404">
      <c r="C404" s="819"/>
    </row>
    <row r="405">
      <c r="C405" s="819"/>
    </row>
    <row r="406">
      <c r="C406" s="819"/>
    </row>
    <row r="407">
      <c r="C407" s="819"/>
    </row>
    <row r="408">
      <c r="C408" s="819"/>
    </row>
    <row r="409">
      <c r="C409" s="819"/>
    </row>
    <row r="410">
      <c r="C410" s="819"/>
    </row>
    <row r="411">
      <c r="C411" s="819"/>
    </row>
    <row r="412">
      <c r="C412" s="819"/>
    </row>
    <row r="413">
      <c r="C413" s="819"/>
    </row>
    <row r="414">
      <c r="C414" s="819"/>
    </row>
    <row r="415">
      <c r="C415" s="819"/>
    </row>
    <row r="416">
      <c r="C416" s="819"/>
    </row>
    <row r="417">
      <c r="C417" s="819"/>
    </row>
    <row r="418">
      <c r="C418" s="819"/>
    </row>
    <row r="419">
      <c r="C419" s="819"/>
    </row>
    <row r="420">
      <c r="C420" s="819"/>
    </row>
    <row r="421">
      <c r="C421" s="819"/>
    </row>
    <row r="422">
      <c r="C422" s="819"/>
    </row>
    <row r="423">
      <c r="C423" s="819"/>
    </row>
    <row r="424">
      <c r="C424" s="819"/>
    </row>
    <row r="425">
      <c r="C425" s="819"/>
    </row>
    <row r="426">
      <c r="C426" s="819"/>
    </row>
    <row r="427">
      <c r="C427" s="819"/>
    </row>
    <row r="428">
      <c r="C428" s="819"/>
    </row>
    <row r="429">
      <c r="C429" s="819"/>
    </row>
    <row r="430">
      <c r="C430" s="819"/>
    </row>
    <row r="431">
      <c r="C431" s="819"/>
    </row>
    <row r="432">
      <c r="C432" s="819"/>
    </row>
    <row r="433">
      <c r="C433" s="819"/>
    </row>
    <row r="434">
      <c r="C434" s="819"/>
    </row>
    <row r="435">
      <c r="C435" s="819"/>
    </row>
    <row r="436">
      <c r="C436" s="819"/>
    </row>
    <row r="437">
      <c r="C437" s="819"/>
    </row>
    <row r="438">
      <c r="C438" s="819"/>
    </row>
    <row r="439">
      <c r="C439" s="819"/>
    </row>
    <row r="440">
      <c r="C440" s="819"/>
    </row>
    <row r="441">
      <c r="C441" s="819"/>
    </row>
    <row r="442">
      <c r="C442" s="819"/>
    </row>
    <row r="443">
      <c r="C443" s="819"/>
    </row>
    <row r="444">
      <c r="C444" s="819"/>
    </row>
    <row r="445">
      <c r="C445" s="819"/>
    </row>
    <row r="446">
      <c r="C446" s="819"/>
    </row>
    <row r="447">
      <c r="C447" s="819"/>
    </row>
    <row r="448">
      <c r="C448" s="819"/>
    </row>
    <row r="449">
      <c r="C449" s="819"/>
    </row>
    <row r="450">
      <c r="C450" s="819"/>
    </row>
    <row r="451">
      <c r="C451" s="819"/>
    </row>
    <row r="452">
      <c r="C452" s="819"/>
    </row>
    <row r="453">
      <c r="C453" s="819"/>
    </row>
    <row r="454">
      <c r="C454" s="819"/>
    </row>
    <row r="455">
      <c r="C455" s="819"/>
    </row>
    <row r="456">
      <c r="C456" s="819"/>
    </row>
    <row r="457">
      <c r="C457" s="819"/>
    </row>
    <row r="458">
      <c r="C458" s="819"/>
    </row>
    <row r="459">
      <c r="C459" s="819"/>
    </row>
    <row r="460">
      <c r="C460" s="819"/>
    </row>
    <row r="461">
      <c r="C461" s="819"/>
    </row>
    <row r="462">
      <c r="C462" s="819"/>
    </row>
    <row r="463">
      <c r="C463" s="819"/>
    </row>
    <row r="464">
      <c r="C464" s="819"/>
    </row>
    <row r="465">
      <c r="C465" s="819"/>
    </row>
    <row r="466">
      <c r="C466" s="819"/>
    </row>
    <row r="467">
      <c r="C467" s="819"/>
    </row>
    <row r="468">
      <c r="C468" s="819"/>
    </row>
    <row r="469">
      <c r="C469" s="819"/>
    </row>
    <row r="470">
      <c r="C470" s="819"/>
    </row>
    <row r="471">
      <c r="C471" s="819"/>
    </row>
    <row r="472">
      <c r="C472" s="819"/>
    </row>
    <row r="473">
      <c r="C473" s="819"/>
    </row>
    <row r="474">
      <c r="C474" s="819"/>
    </row>
    <row r="475">
      <c r="C475" s="819"/>
    </row>
    <row r="476">
      <c r="C476" s="819"/>
    </row>
    <row r="477">
      <c r="C477" s="819"/>
    </row>
    <row r="478">
      <c r="C478" s="819"/>
    </row>
    <row r="479">
      <c r="C479" s="819"/>
    </row>
    <row r="480">
      <c r="C480" s="819"/>
    </row>
    <row r="481">
      <c r="C481" s="819"/>
    </row>
    <row r="482">
      <c r="C482" s="819"/>
    </row>
    <row r="483">
      <c r="C483" s="819"/>
    </row>
    <row r="484">
      <c r="C484" s="819"/>
    </row>
    <row r="485">
      <c r="C485" s="819"/>
    </row>
    <row r="486">
      <c r="C486" s="819"/>
    </row>
    <row r="487">
      <c r="C487" s="819"/>
    </row>
    <row r="488">
      <c r="C488" s="819"/>
    </row>
    <row r="489">
      <c r="C489" s="819"/>
    </row>
    <row r="490">
      <c r="C490" s="819"/>
    </row>
    <row r="491">
      <c r="C491" s="819"/>
    </row>
    <row r="492">
      <c r="C492" s="819"/>
    </row>
    <row r="493">
      <c r="C493" s="819"/>
    </row>
    <row r="494">
      <c r="C494" s="819"/>
    </row>
    <row r="495">
      <c r="C495" s="819"/>
    </row>
    <row r="496">
      <c r="C496" s="819"/>
    </row>
    <row r="497">
      <c r="C497" s="819"/>
    </row>
    <row r="498">
      <c r="C498" s="819"/>
    </row>
    <row r="499">
      <c r="C499" s="819"/>
    </row>
    <row r="500">
      <c r="C500" s="819"/>
    </row>
    <row r="501">
      <c r="C501" s="819"/>
    </row>
    <row r="502">
      <c r="C502" s="819"/>
    </row>
    <row r="503">
      <c r="C503" s="819"/>
    </row>
    <row r="504">
      <c r="C504" s="819"/>
    </row>
    <row r="505">
      <c r="C505" s="819"/>
    </row>
    <row r="506">
      <c r="C506" s="819"/>
    </row>
    <row r="507">
      <c r="C507" s="819"/>
    </row>
    <row r="508">
      <c r="C508" s="819"/>
    </row>
    <row r="509">
      <c r="C509" s="819"/>
    </row>
    <row r="510">
      <c r="C510" s="819"/>
    </row>
    <row r="511">
      <c r="C511" s="819"/>
    </row>
    <row r="512">
      <c r="C512" s="819"/>
    </row>
    <row r="513">
      <c r="C513" s="819"/>
    </row>
    <row r="514">
      <c r="C514" s="819"/>
    </row>
    <row r="515">
      <c r="C515" s="819"/>
    </row>
    <row r="516">
      <c r="C516" s="819"/>
    </row>
    <row r="517">
      <c r="C517" s="819"/>
    </row>
    <row r="518">
      <c r="C518" s="819"/>
    </row>
    <row r="519">
      <c r="C519" s="819"/>
    </row>
    <row r="520">
      <c r="C520" s="819"/>
    </row>
    <row r="521">
      <c r="C521" s="819"/>
    </row>
    <row r="522">
      <c r="C522" s="819"/>
    </row>
    <row r="523">
      <c r="C523" s="819"/>
    </row>
    <row r="524">
      <c r="C524" s="819"/>
    </row>
    <row r="525">
      <c r="C525" s="819"/>
    </row>
    <row r="526">
      <c r="C526" s="819"/>
    </row>
    <row r="527">
      <c r="C527" s="819"/>
    </row>
    <row r="528">
      <c r="C528" s="819"/>
    </row>
    <row r="529">
      <c r="C529" s="819"/>
    </row>
    <row r="530">
      <c r="C530" s="819"/>
    </row>
    <row r="531">
      <c r="C531" s="819"/>
    </row>
    <row r="532">
      <c r="C532" s="819"/>
    </row>
    <row r="533">
      <c r="C533" s="819"/>
    </row>
    <row r="534">
      <c r="C534" s="819"/>
    </row>
    <row r="535">
      <c r="C535" s="819"/>
    </row>
    <row r="536">
      <c r="C536" s="819"/>
    </row>
    <row r="537">
      <c r="C537" s="819"/>
    </row>
    <row r="538">
      <c r="C538" s="819"/>
    </row>
    <row r="539">
      <c r="C539" s="819"/>
    </row>
    <row r="540">
      <c r="C540" s="819"/>
    </row>
    <row r="541">
      <c r="C541" s="819"/>
    </row>
    <row r="542">
      <c r="C542" s="819"/>
    </row>
    <row r="543">
      <c r="C543" s="819"/>
    </row>
    <row r="544">
      <c r="C544" s="819"/>
    </row>
    <row r="545">
      <c r="C545" s="819"/>
    </row>
    <row r="546">
      <c r="C546" s="819"/>
    </row>
    <row r="547">
      <c r="C547" s="819"/>
    </row>
    <row r="548">
      <c r="C548" s="819"/>
    </row>
    <row r="549">
      <c r="C549" s="819"/>
    </row>
    <row r="550">
      <c r="C550" s="819"/>
    </row>
    <row r="551">
      <c r="C551" s="819"/>
    </row>
    <row r="552">
      <c r="C552" s="819"/>
    </row>
    <row r="553">
      <c r="C553" s="819"/>
    </row>
    <row r="554">
      <c r="C554" s="819"/>
    </row>
    <row r="555">
      <c r="C555" s="819"/>
    </row>
    <row r="556">
      <c r="C556" s="819"/>
    </row>
    <row r="557">
      <c r="C557" s="819"/>
    </row>
    <row r="558">
      <c r="C558" s="819"/>
    </row>
    <row r="559">
      <c r="C559" s="819"/>
    </row>
    <row r="560">
      <c r="C560" s="819"/>
    </row>
    <row r="561">
      <c r="C561" s="819"/>
    </row>
    <row r="562">
      <c r="C562" s="819"/>
    </row>
    <row r="563">
      <c r="C563" s="819"/>
    </row>
    <row r="564">
      <c r="C564" s="819"/>
    </row>
    <row r="565">
      <c r="C565" s="819"/>
    </row>
    <row r="566">
      <c r="C566" s="819"/>
    </row>
    <row r="567">
      <c r="C567" s="819"/>
    </row>
    <row r="568">
      <c r="C568" s="819"/>
    </row>
    <row r="569">
      <c r="C569" s="819"/>
    </row>
    <row r="570">
      <c r="C570" s="819"/>
    </row>
    <row r="571">
      <c r="C571" s="819"/>
    </row>
    <row r="572">
      <c r="C572" s="819"/>
    </row>
    <row r="573">
      <c r="C573" s="819"/>
    </row>
    <row r="574">
      <c r="C574" s="819"/>
    </row>
    <row r="575">
      <c r="C575" s="819"/>
    </row>
    <row r="576">
      <c r="C576" s="819"/>
    </row>
    <row r="577">
      <c r="C577" s="819"/>
    </row>
    <row r="578">
      <c r="C578" s="819"/>
    </row>
    <row r="579">
      <c r="C579" s="819"/>
    </row>
    <row r="580">
      <c r="C580" s="819"/>
    </row>
    <row r="581">
      <c r="C581" s="819"/>
    </row>
    <row r="582">
      <c r="C582" s="819"/>
    </row>
    <row r="583">
      <c r="C583" s="819"/>
    </row>
    <row r="584">
      <c r="C584" s="819"/>
    </row>
    <row r="585">
      <c r="C585" s="819"/>
    </row>
    <row r="586">
      <c r="C586" s="819"/>
    </row>
    <row r="587">
      <c r="C587" s="819"/>
    </row>
    <row r="588">
      <c r="C588" s="819"/>
    </row>
    <row r="589">
      <c r="C589" s="819"/>
    </row>
    <row r="590">
      <c r="C590" s="819"/>
    </row>
    <row r="591">
      <c r="C591" s="819"/>
    </row>
    <row r="592">
      <c r="C592" s="819"/>
    </row>
    <row r="593">
      <c r="C593" s="819"/>
    </row>
    <row r="594">
      <c r="C594" s="819"/>
    </row>
    <row r="595">
      <c r="C595" s="819"/>
    </row>
    <row r="596">
      <c r="C596" s="819"/>
    </row>
    <row r="597">
      <c r="C597" s="819"/>
    </row>
    <row r="598">
      <c r="C598" s="819"/>
    </row>
    <row r="599">
      <c r="C599" s="819"/>
    </row>
    <row r="600">
      <c r="C600" s="819"/>
    </row>
    <row r="601">
      <c r="C601" s="819"/>
    </row>
    <row r="602">
      <c r="C602" s="819"/>
    </row>
    <row r="603">
      <c r="C603" s="819"/>
    </row>
    <row r="604">
      <c r="C604" s="819"/>
    </row>
    <row r="605">
      <c r="C605" s="819"/>
    </row>
    <row r="606">
      <c r="C606" s="819"/>
    </row>
    <row r="607">
      <c r="C607" s="819"/>
    </row>
    <row r="608">
      <c r="C608" s="819"/>
    </row>
    <row r="609">
      <c r="C609" s="819"/>
    </row>
    <row r="610">
      <c r="C610" s="819"/>
    </row>
    <row r="611">
      <c r="C611" s="819"/>
    </row>
    <row r="612">
      <c r="C612" s="819"/>
    </row>
    <row r="613">
      <c r="C613" s="819"/>
    </row>
    <row r="614">
      <c r="C614" s="819"/>
    </row>
    <row r="615">
      <c r="C615" s="819"/>
    </row>
    <row r="616">
      <c r="C616" s="819"/>
    </row>
    <row r="617">
      <c r="C617" s="819"/>
    </row>
    <row r="618">
      <c r="C618" s="819"/>
    </row>
    <row r="619">
      <c r="C619" s="819"/>
    </row>
    <row r="620">
      <c r="C620" s="819"/>
    </row>
    <row r="621">
      <c r="C621" s="819"/>
    </row>
    <row r="622">
      <c r="C622" s="819"/>
    </row>
    <row r="623">
      <c r="C623" s="819"/>
    </row>
    <row r="624">
      <c r="C624" s="819"/>
    </row>
    <row r="625">
      <c r="C625" s="819"/>
    </row>
    <row r="626">
      <c r="C626" s="819"/>
    </row>
    <row r="627">
      <c r="C627" s="819"/>
    </row>
    <row r="628">
      <c r="C628" s="819"/>
    </row>
    <row r="629">
      <c r="C629" s="819"/>
    </row>
    <row r="630">
      <c r="C630" s="819"/>
    </row>
    <row r="631">
      <c r="C631" s="819"/>
    </row>
    <row r="632">
      <c r="C632" s="819"/>
    </row>
    <row r="633">
      <c r="C633" s="819"/>
    </row>
    <row r="634">
      <c r="C634" s="819"/>
    </row>
    <row r="635">
      <c r="C635" s="819"/>
    </row>
    <row r="636">
      <c r="C636" s="819"/>
    </row>
    <row r="637">
      <c r="C637" s="819"/>
    </row>
    <row r="638">
      <c r="C638" s="819"/>
    </row>
    <row r="639">
      <c r="C639" s="819"/>
    </row>
    <row r="640">
      <c r="C640" s="819"/>
    </row>
    <row r="641">
      <c r="C641" s="819"/>
    </row>
    <row r="642">
      <c r="C642" s="819"/>
    </row>
    <row r="643">
      <c r="C643" s="819"/>
    </row>
    <row r="644">
      <c r="C644" s="819"/>
    </row>
    <row r="645">
      <c r="C645" s="819"/>
    </row>
    <row r="646">
      <c r="C646" s="819"/>
    </row>
    <row r="647">
      <c r="C647" s="819"/>
    </row>
    <row r="648">
      <c r="C648" s="819"/>
    </row>
    <row r="649">
      <c r="C649" s="819"/>
    </row>
    <row r="650">
      <c r="C650" s="819"/>
    </row>
    <row r="651">
      <c r="C651" s="819"/>
    </row>
    <row r="652">
      <c r="C652" s="819"/>
    </row>
    <row r="653">
      <c r="C653" s="819"/>
    </row>
    <row r="654">
      <c r="C654" s="819"/>
    </row>
    <row r="655">
      <c r="C655" s="819"/>
    </row>
    <row r="656">
      <c r="C656" s="819"/>
    </row>
    <row r="657">
      <c r="C657" s="819"/>
    </row>
    <row r="658">
      <c r="C658" s="819"/>
    </row>
    <row r="659">
      <c r="C659" s="819"/>
    </row>
    <row r="660">
      <c r="C660" s="819"/>
    </row>
    <row r="661">
      <c r="C661" s="819"/>
    </row>
    <row r="662">
      <c r="C662" s="819"/>
    </row>
    <row r="663">
      <c r="C663" s="819"/>
    </row>
    <row r="664">
      <c r="C664" s="819"/>
    </row>
    <row r="665">
      <c r="C665" s="819"/>
    </row>
    <row r="666">
      <c r="C666" s="819"/>
    </row>
    <row r="667">
      <c r="C667" s="819"/>
    </row>
    <row r="668">
      <c r="C668" s="819"/>
    </row>
    <row r="669">
      <c r="C669" s="819"/>
    </row>
    <row r="670">
      <c r="C670" s="819"/>
    </row>
    <row r="671">
      <c r="C671" s="819"/>
    </row>
    <row r="672">
      <c r="C672" s="819"/>
    </row>
    <row r="673">
      <c r="C673" s="819"/>
    </row>
    <row r="674">
      <c r="C674" s="819"/>
    </row>
    <row r="675">
      <c r="C675" s="819"/>
    </row>
    <row r="676">
      <c r="C676" s="819"/>
    </row>
    <row r="677">
      <c r="C677" s="819"/>
    </row>
    <row r="678">
      <c r="C678" s="819"/>
    </row>
    <row r="679">
      <c r="C679" s="819"/>
    </row>
    <row r="680">
      <c r="C680" s="819"/>
    </row>
    <row r="681">
      <c r="C681" s="819"/>
    </row>
    <row r="682">
      <c r="C682" s="819"/>
    </row>
    <row r="683">
      <c r="C683" s="819"/>
    </row>
    <row r="684">
      <c r="C684" s="819"/>
    </row>
    <row r="685">
      <c r="C685" s="819"/>
    </row>
    <row r="686">
      <c r="C686" s="819"/>
    </row>
    <row r="687">
      <c r="C687" s="819"/>
    </row>
    <row r="688">
      <c r="C688" s="819"/>
    </row>
    <row r="689">
      <c r="C689" s="819"/>
    </row>
    <row r="690">
      <c r="C690" s="819"/>
    </row>
    <row r="691">
      <c r="C691" s="819"/>
    </row>
    <row r="692">
      <c r="C692" s="819"/>
    </row>
    <row r="693">
      <c r="C693" s="819"/>
    </row>
    <row r="694">
      <c r="C694" s="819"/>
    </row>
    <row r="695">
      <c r="C695" s="819"/>
    </row>
    <row r="696">
      <c r="C696" s="819"/>
    </row>
    <row r="697">
      <c r="C697" s="819"/>
    </row>
    <row r="698">
      <c r="C698" s="819"/>
    </row>
    <row r="699">
      <c r="C699" s="819"/>
    </row>
    <row r="700">
      <c r="C700" s="819"/>
    </row>
    <row r="701">
      <c r="C701" s="819"/>
    </row>
    <row r="702">
      <c r="C702" s="819"/>
    </row>
    <row r="703">
      <c r="C703" s="819"/>
    </row>
    <row r="704">
      <c r="C704" s="819"/>
    </row>
    <row r="705">
      <c r="C705" s="819"/>
    </row>
    <row r="706">
      <c r="C706" s="819"/>
    </row>
    <row r="707">
      <c r="C707" s="819"/>
    </row>
    <row r="708">
      <c r="C708" s="819"/>
    </row>
    <row r="709">
      <c r="C709" s="819"/>
    </row>
    <row r="710">
      <c r="C710" s="819"/>
    </row>
    <row r="711">
      <c r="C711" s="819"/>
    </row>
    <row r="712">
      <c r="C712" s="819"/>
    </row>
    <row r="713">
      <c r="C713" s="819"/>
    </row>
    <row r="714">
      <c r="C714" s="819"/>
    </row>
    <row r="715">
      <c r="C715" s="819"/>
    </row>
    <row r="716">
      <c r="C716" s="819"/>
    </row>
    <row r="717">
      <c r="C717" s="819"/>
    </row>
    <row r="718">
      <c r="C718" s="819"/>
    </row>
    <row r="719">
      <c r="C719" s="819"/>
    </row>
    <row r="720">
      <c r="C720" s="819"/>
    </row>
    <row r="721">
      <c r="C721" s="819"/>
    </row>
    <row r="722">
      <c r="C722" s="819"/>
    </row>
    <row r="723">
      <c r="C723" s="819"/>
    </row>
    <row r="724">
      <c r="C724" s="819"/>
    </row>
    <row r="725">
      <c r="C725" s="819"/>
    </row>
    <row r="726">
      <c r="C726" s="819"/>
    </row>
    <row r="727">
      <c r="C727" s="819"/>
    </row>
    <row r="728">
      <c r="C728" s="819"/>
    </row>
    <row r="729">
      <c r="C729" s="819"/>
    </row>
    <row r="730">
      <c r="C730" s="819"/>
    </row>
    <row r="731">
      <c r="C731" s="819"/>
    </row>
    <row r="732">
      <c r="C732" s="819"/>
    </row>
    <row r="733">
      <c r="C733" s="819"/>
    </row>
    <row r="734">
      <c r="C734" s="819"/>
    </row>
    <row r="735">
      <c r="C735" s="819"/>
    </row>
    <row r="736">
      <c r="C736" s="819"/>
    </row>
    <row r="737">
      <c r="C737" s="819"/>
    </row>
    <row r="738">
      <c r="C738" s="819"/>
    </row>
    <row r="739">
      <c r="C739" s="819"/>
    </row>
    <row r="740">
      <c r="C740" s="819"/>
    </row>
    <row r="741">
      <c r="C741" s="819"/>
    </row>
    <row r="742">
      <c r="C742" s="819"/>
    </row>
    <row r="743">
      <c r="C743" s="819"/>
    </row>
    <row r="744">
      <c r="C744" s="819"/>
    </row>
    <row r="745">
      <c r="C745" s="819"/>
    </row>
    <row r="746">
      <c r="C746" s="819"/>
    </row>
    <row r="747">
      <c r="C747" s="819"/>
    </row>
    <row r="748">
      <c r="C748" s="819"/>
    </row>
    <row r="749">
      <c r="C749" s="819"/>
    </row>
    <row r="750">
      <c r="C750" s="819"/>
    </row>
    <row r="751">
      <c r="C751" s="819"/>
    </row>
    <row r="752">
      <c r="C752" s="819"/>
    </row>
    <row r="753">
      <c r="C753" s="819"/>
    </row>
    <row r="754">
      <c r="C754" s="819"/>
    </row>
    <row r="755">
      <c r="C755" s="819"/>
    </row>
    <row r="756">
      <c r="C756" s="819"/>
    </row>
    <row r="757">
      <c r="C757" s="819"/>
    </row>
    <row r="758">
      <c r="C758" s="819"/>
    </row>
    <row r="759">
      <c r="C759" s="819"/>
    </row>
    <row r="760">
      <c r="C760" s="819"/>
    </row>
    <row r="761">
      <c r="C761" s="819"/>
    </row>
    <row r="762">
      <c r="C762" s="819"/>
    </row>
    <row r="763">
      <c r="C763" s="819"/>
    </row>
    <row r="764">
      <c r="C764" s="819"/>
    </row>
    <row r="765">
      <c r="C765" s="819"/>
    </row>
    <row r="766">
      <c r="C766" s="819"/>
    </row>
    <row r="767">
      <c r="C767" s="819"/>
    </row>
    <row r="768">
      <c r="C768" s="819"/>
    </row>
    <row r="769">
      <c r="C769" s="819"/>
    </row>
    <row r="770">
      <c r="C770" s="819"/>
    </row>
    <row r="771">
      <c r="C771" s="819"/>
    </row>
    <row r="772">
      <c r="C772" s="819"/>
    </row>
    <row r="773">
      <c r="C773" s="819"/>
    </row>
    <row r="774">
      <c r="C774" s="819"/>
    </row>
    <row r="775">
      <c r="C775" s="819"/>
    </row>
    <row r="776">
      <c r="C776" s="819"/>
    </row>
    <row r="777">
      <c r="C777" s="819"/>
    </row>
    <row r="778">
      <c r="C778" s="819"/>
    </row>
    <row r="779">
      <c r="C779" s="819"/>
    </row>
    <row r="780">
      <c r="C780" s="819"/>
    </row>
    <row r="781">
      <c r="C781" s="819"/>
    </row>
    <row r="782">
      <c r="C782" s="819"/>
    </row>
    <row r="783">
      <c r="C783" s="819"/>
    </row>
    <row r="784">
      <c r="C784" s="819"/>
    </row>
    <row r="785">
      <c r="C785" s="819"/>
    </row>
    <row r="786">
      <c r="C786" s="819"/>
    </row>
    <row r="787">
      <c r="C787" s="819"/>
    </row>
    <row r="788">
      <c r="C788" s="819"/>
    </row>
    <row r="789">
      <c r="C789" s="819"/>
    </row>
    <row r="790">
      <c r="C790" s="819"/>
    </row>
    <row r="791">
      <c r="C791" s="819"/>
    </row>
    <row r="792">
      <c r="C792" s="819"/>
    </row>
    <row r="793">
      <c r="C793" s="819"/>
    </row>
    <row r="794">
      <c r="C794" s="819"/>
    </row>
    <row r="795">
      <c r="C795" s="819"/>
    </row>
    <row r="796">
      <c r="C796" s="819"/>
    </row>
    <row r="797">
      <c r="C797" s="819"/>
    </row>
    <row r="798">
      <c r="C798" s="819"/>
    </row>
    <row r="799">
      <c r="C799" s="819"/>
    </row>
    <row r="800">
      <c r="C800" s="819"/>
    </row>
    <row r="801">
      <c r="C801" s="819"/>
    </row>
    <row r="802">
      <c r="C802" s="819"/>
    </row>
    <row r="803">
      <c r="C803" s="819"/>
    </row>
    <row r="804">
      <c r="C804" s="819"/>
    </row>
    <row r="805">
      <c r="C805" s="819"/>
    </row>
    <row r="806">
      <c r="C806" s="819"/>
    </row>
    <row r="807">
      <c r="C807" s="819"/>
    </row>
    <row r="808">
      <c r="C808" s="819"/>
    </row>
    <row r="809">
      <c r="C809" s="819"/>
    </row>
    <row r="810">
      <c r="C810" s="819"/>
    </row>
    <row r="811">
      <c r="C811" s="819"/>
    </row>
    <row r="812">
      <c r="C812" s="819"/>
    </row>
    <row r="813">
      <c r="C813" s="819"/>
    </row>
    <row r="814">
      <c r="C814" s="819"/>
    </row>
    <row r="815">
      <c r="C815" s="819"/>
    </row>
    <row r="816">
      <c r="C816" s="819"/>
    </row>
    <row r="817">
      <c r="C817" s="819"/>
    </row>
    <row r="818">
      <c r="C818" s="819"/>
    </row>
    <row r="819">
      <c r="C819" s="819"/>
    </row>
    <row r="820">
      <c r="C820" s="819"/>
    </row>
    <row r="821">
      <c r="C821" s="819"/>
    </row>
    <row r="822">
      <c r="C822" s="819"/>
    </row>
    <row r="823">
      <c r="C823" s="819"/>
    </row>
    <row r="824">
      <c r="C824" s="819"/>
    </row>
    <row r="825">
      <c r="C825" s="819"/>
    </row>
    <row r="826">
      <c r="C826" s="819"/>
    </row>
    <row r="827">
      <c r="C827" s="819"/>
    </row>
    <row r="828">
      <c r="C828" s="819"/>
    </row>
    <row r="829">
      <c r="C829" s="819"/>
    </row>
    <row r="830">
      <c r="C830" s="819"/>
    </row>
    <row r="831">
      <c r="C831" s="819"/>
    </row>
    <row r="832">
      <c r="C832" s="819"/>
    </row>
    <row r="833">
      <c r="C833" s="819"/>
    </row>
    <row r="834">
      <c r="C834" s="819"/>
    </row>
    <row r="835">
      <c r="C835" s="819"/>
    </row>
    <row r="836">
      <c r="C836" s="819"/>
    </row>
    <row r="837">
      <c r="C837" s="819"/>
    </row>
    <row r="838">
      <c r="C838" s="819"/>
    </row>
    <row r="839">
      <c r="C839" s="819"/>
    </row>
    <row r="840">
      <c r="C840" s="819"/>
    </row>
    <row r="841">
      <c r="C841" s="819"/>
    </row>
    <row r="842">
      <c r="C842" s="819"/>
    </row>
    <row r="843">
      <c r="C843" s="819"/>
    </row>
    <row r="844">
      <c r="C844" s="819"/>
    </row>
    <row r="845">
      <c r="C845" s="819"/>
    </row>
    <row r="846">
      <c r="C846" s="819"/>
    </row>
    <row r="847">
      <c r="C847" s="819"/>
    </row>
    <row r="848">
      <c r="C848" s="819"/>
    </row>
    <row r="849">
      <c r="C849" s="819"/>
    </row>
    <row r="850">
      <c r="C850" s="819"/>
    </row>
    <row r="851">
      <c r="C851" s="819"/>
    </row>
    <row r="852">
      <c r="C852" s="819"/>
    </row>
    <row r="853">
      <c r="C853" s="819"/>
    </row>
    <row r="854">
      <c r="C854" s="819"/>
    </row>
    <row r="855">
      <c r="C855" s="819"/>
    </row>
    <row r="856">
      <c r="C856" s="819"/>
    </row>
    <row r="857">
      <c r="C857" s="819"/>
    </row>
    <row r="858">
      <c r="C858" s="819"/>
    </row>
    <row r="859">
      <c r="C859" s="819"/>
    </row>
    <row r="860">
      <c r="C860" s="819"/>
    </row>
    <row r="861">
      <c r="C861" s="819"/>
    </row>
    <row r="862">
      <c r="C862" s="819"/>
    </row>
    <row r="863">
      <c r="C863" s="819"/>
    </row>
    <row r="864">
      <c r="C864" s="819"/>
    </row>
    <row r="865">
      <c r="C865" s="819"/>
    </row>
    <row r="866">
      <c r="C866" s="819"/>
    </row>
    <row r="867">
      <c r="C867" s="819"/>
    </row>
    <row r="868">
      <c r="C868" s="819"/>
    </row>
    <row r="869">
      <c r="C869" s="819"/>
    </row>
    <row r="870">
      <c r="C870" s="819"/>
    </row>
    <row r="871">
      <c r="C871" s="819"/>
    </row>
    <row r="872">
      <c r="C872" s="819"/>
    </row>
    <row r="873">
      <c r="C873" s="819"/>
    </row>
    <row r="874">
      <c r="C874" s="819"/>
    </row>
    <row r="875">
      <c r="C875" s="819"/>
    </row>
    <row r="876">
      <c r="C876" s="819"/>
    </row>
    <row r="877">
      <c r="C877" s="819"/>
    </row>
    <row r="878">
      <c r="C878" s="819"/>
    </row>
    <row r="879">
      <c r="C879" s="819"/>
    </row>
    <row r="880">
      <c r="C880" s="819"/>
    </row>
    <row r="881">
      <c r="C881" s="819"/>
    </row>
    <row r="882">
      <c r="C882" s="819"/>
    </row>
    <row r="883">
      <c r="C883" s="819"/>
    </row>
    <row r="884">
      <c r="C884" s="819"/>
    </row>
    <row r="885">
      <c r="C885" s="819"/>
    </row>
    <row r="886">
      <c r="C886" s="819"/>
    </row>
    <row r="887">
      <c r="C887" s="819"/>
    </row>
    <row r="888">
      <c r="C888" s="819"/>
    </row>
    <row r="889">
      <c r="C889" s="819"/>
    </row>
    <row r="890">
      <c r="C890" s="819"/>
    </row>
    <row r="891">
      <c r="C891" s="819"/>
    </row>
    <row r="892">
      <c r="C892" s="819"/>
    </row>
    <row r="893">
      <c r="C893" s="819"/>
    </row>
    <row r="894">
      <c r="C894" s="819"/>
    </row>
    <row r="895">
      <c r="C895" s="819"/>
    </row>
    <row r="896">
      <c r="C896" s="819"/>
    </row>
    <row r="897">
      <c r="C897" s="819"/>
    </row>
    <row r="898">
      <c r="C898" s="819"/>
    </row>
    <row r="899">
      <c r="C899" s="819"/>
    </row>
    <row r="900">
      <c r="C900" s="819"/>
    </row>
    <row r="901">
      <c r="C901" s="819"/>
    </row>
    <row r="902">
      <c r="C902" s="819"/>
    </row>
    <row r="903">
      <c r="C903" s="819"/>
    </row>
    <row r="904">
      <c r="C904" s="819"/>
    </row>
    <row r="905">
      <c r="C905" s="819"/>
    </row>
    <row r="906">
      <c r="C906" s="819"/>
    </row>
    <row r="907">
      <c r="C907" s="819"/>
    </row>
    <row r="908">
      <c r="C908" s="819"/>
    </row>
    <row r="909">
      <c r="C909" s="819"/>
    </row>
    <row r="910">
      <c r="C910" s="819"/>
    </row>
    <row r="911">
      <c r="C911" s="819"/>
    </row>
    <row r="912">
      <c r="C912" s="819"/>
    </row>
    <row r="913">
      <c r="C913" s="819"/>
    </row>
    <row r="914">
      <c r="C914" s="819"/>
    </row>
    <row r="915">
      <c r="C915" s="819"/>
    </row>
    <row r="916">
      <c r="C916" s="819"/>
    </row>
    <row r="917">
      <c r="C917" s="819"/>
    </row>
    <row r="918">
      <c r="C918" s="819"/>
    </row>
    <row r="919">
      <c r="C919" s="819"/>
    </row>
    <row r="920">
      <c r="C920" s="819"/>
    </row>
    <row r="921">
      <c r="C921" s="819"/>
    </row>
    <row r="922">
      <c r="C922" s="819"/>
    </row>
    <row r="923">
      <c r="C923" s="819"/>
    </row>
    <row r="924">
      <c r="C924" s="819"/>
    </row>
    <row r="925">
      <c r="C925" s="819"/>
    </row>
    <row r="926">
      <c r="C926" s="819"/>
    </row>
    <row r="927">
      <c r="C927" s="819"/>
    </row>
    <row r="928">
      <c r="C928" s="819"/>
    </row>
    <row r="929">
      <c r="C929" s="819"/>
    </row>
    <row r="930">
      <c r="C930" s="819"/>
    </row>
    <row r="931">
      <c r="C931" s="819"/>
    </row>
    <row r="932">
      <c r="C932" s="819"/>
    </row>
    <row r="933">
      <c r="C933" s="819"/>
    </row>
    <row r="934">
      <c r="C934" s="819"/>
    </row>
    <row r="935">
      <c r="C935" s="819"/>
    </row>
    <row r="936">
      <c r="C936" s="819"/>
    </row>
    <row r="937">
      <c r="C937" s="819"/>
    </row>
    <row r="938">
      <c r="C938" s="819"/>
    </row>
    <row r="939">
      <c r="C939" s="819"/>
    </row>
    <row r="940">
      <c r="C940" s="819"/>
    </row>
    <row r="941">
      <c r="C941" s="819"/>
    </row>
    <row r="942">
      <c r="C942" s="819"/>
    </row>
    <row r="943">
      <c r="C943" s="819"/>
    </row>
    <row r="944">
      <c r="C944" s="819"/>
    </row>
    <row r="945">
      <c r="C945" s="819"/>
    </row>
    <row r="946">
      <c r="C946" s="819"/>
    </row>
    <row r="947">
      <c r="C947" s="819"/>
    </row>
    <row r="948">
      <c r="C948" s="819"/>
    </row>
    <row r="949">
      <c r="C949" s="819"/>
    </row>
    <row r="950">
      <c r="C950" s="819"/>
    </row>
    <row r="951">
      <c r="C951" s="819"/>
    </row>
    <row r="952">
      <c r="C952" s="819"/>
    </row>
    <row r="953">
      <c r="C953" s="819"/>
    </row>
    <row r="954">
      <c r="C954" s="819"/>
    </row>
    <row r="955">
      <c r="C955" s="819"/>
    </row>
    <row r="956">
      <c r="C956" s="819"/>
    </row>
    <row r="957">
      <c r="C957" s="819"/>
    </row>
    <row r="958">
      <c r="C958" s="819"/>
    </row>
    <row r="959">
      <c r="C959" s="819"/>
    </row>
    <row r="960">
      <c r="C960" s="819"/>
    </row>
    <row r="961">
      <c r="C961" s="819"/>
    </row>
    <row r="962">
      <c r="C962" s="819"/>
    </row>
    <row r="963">
      <c r="C963" s="819"/>
    </row>
    <row r="964">
      <c r="C964" s="819"/>
    </row>
    <row r="965">
      <c r="C965" s="819"/>
    </row>
    <row r="966">
      <c r="C966" s="819"/>
    </row>
    <row r="967">
      <c r="C967" s="819"/>
    </row>
    <row r="968">
      <c r="C968" s="819"/>
    </row>
    <row r="969">
      <c r="C969" s="819"/>
    </row>
    <row r="970">
      <c r="C970" s="819"/>
    </row>
    <row r="971">
      <c r="C971" s="819"/>
    </row>
    <row r="972">
      <c r="C972" s="819"/>
    </row>
    <row r="973">
      <c r="C973" s="819"/>
    </row>
    <row r="974">
      <c r="C974" s="819"/>
    </row>
    <row r="975">
      <c r="C975" s="819"/>
    </row>
    <row r="976">
      <c r="C976" s="819"/>
    </row>
    <row r="977">
      <c r="C977" s="819"/>
    </row>
    <row r="978">
      <c r="C978" s="819"/>
    </row>
    <row r="979">
      <c r="C979" s="819"/>
    </row>
    <row r="980">
      <c r="C980" s="819"/>
    </row>
    <row r="981">
      <c r="C981" s="819"/>
    </row>
    <row r="982">
      <c r="C982" s="819"/>
    </row>
    <row r="983">
      <c r="C983" s="819"/>
    </row>
    <row r="984">
      <c r="C984" s="819"/>
    </row>
    <row r="985">
      <c r="C985" s="819"/>
    </row>
    <row r="986">
      <c r="C986" s="819"/>
    </row>
    <row r="987">
      <c r="C987" s="819"/>
    </row>
    <row r="988">
      <c r="C988" s="819"/>
    </row>
    <row r="989">
      <c r="C989" s="819"/>
    </row>
    <row r="990">
      <c r="C990" s="819"/>
    </row>
    <row r="991">
      <c r="C991" s="819"/>
    </row>
    <row r="992">
      <c r="C992" s="819"/>
    </row>
    <row r="993">
      <c r="C993" s="819"/>
    </row>
    <row r="994">
      <c r="C994" s="819"/>
    </row>
    <row r="995">
      <c r="C995" s="819"/>
    </row>
    <row r="996">
      <c r="C996" s="819"/>
    </row>
    <row r="997">
      <c r="C997" s="819"/>
    </row>
    <row r="998">
      <c r="C998" s="819"/>
    </row>
    <row r="999">
      <c r="C999" s="819"/>
    </row>
    <row r="1000">
      <c r="C1000" s="819"/>
    </row>
    <row r="1001">
      <c r="C1001" s="819"/>
    </row>
    <row r="1002">
      <c r="C1002" s="819"/>
    </row>
    <row r="1003">
      <c r="C1003" s="819"/>
    </row>
    <row r="1004">
      <c r="C1004" s="819"/>
    </row>
    <row r="1005">
      <c r="C1005" s="819"/>
    </row>
    <row r="1006">
      <c r="C1006" s="819"/>
    </row>
    <row r="1007">
      <c r="C1007" s="819"/>
    </row>
    <row r="1008">
      <c r="C1008" s="819"/>
    </row>
    <row r="1009">
      <c r="C1009" s="819"/>
    </row>
    <row r="1010">
      <c r="C1010" s="819"/>
    </row>
    <row r="1011">
      <c r="C1011" s="819"/>
    </row>
    <row r="1012">
      <c r="C1012" s="819"/>
    </row>
    <row r="1013">
      <c r="C1013" s="819"/>
    </row>
    <row r="1014">
      <c r="C1014" s="819"/>
    </row>
    <row r="1015">
      <c r="C1015" s="819"/>
    </row>
    <row r="1016">
      <c r="C1016" s="819"/>
    </row>
    <row r="1017">
      <c r="C1017" s="819"/>
    </row>
    <row r="1018">
      <c r="C1018" s="81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5.14"/>
    <col customWidth="1" min="4" max="4" width="7.0"/>
    <col customWidth="1" min="5" max="5" width="8.71"/>
    <col customWidth="1" min="6" max="6" width="9.14"/>
    <col customWidth="1" min="7" max="26" width="8.71"/>
  </cols>
  <sheetData>
    <row r="1" ht="14.25" customHeight="1">
      <c r="B1" s="484"/>
    </row>
    <row r="2" ht="14.25" customHeight="1">
      <c r="B2" s="484"/>
    </row>
    <row r="3" ht="14.25" customHeight="1">
      <c r="B3" s="911" t="s">
        <v>511</v>
      </c>
    </row>
    <row r="4" ht="14.25" customHeight="1">
      <c r="B4" s="484"/>
    </row>
    <row r="5" ht="14.25" customHeight="1">
      <c r="B5" s="484"/>
    </row>
    <row r="6" ht="14.25" customHeight="1">
      <c r="B6" s="911">
        <v>1.0</v>
      </c>
      <c r="C6" s="561" t="s">
        <v>260</v>
      </c>
      <c r="D6" s="561" t="s">
        <v>46</v>
      </c>
      <c r="E6" s="561" t="s">
        <v>501</v>
      </c>
      <c r="F6" s="561">
        <v>300.0</v>
      </c>
    </row>
    <row r="7" ht="14.25" customHeight="1">
      <c r="B7" s="911">
        <v>2.0</v>
      </c>
      <c r="C7" s="561" t="s">
        <v>260</v>
      </c>
      <c r="D7" s="561" t="s">
        <v>99</v>
      </c>
      <c r="E7" s="561" t="s">
        <v>498</v>
      </c>
      <c r="F7" s="561">
        <v>600.0</v>
      </c>
    </row>
    <row r="8" ht="14.25" customHeight="1">
      <c r="B8" s="911">
        <v>1.0</v>
      </c>
      <c r="C8" s="561" t="s">
        <v>260</v>
      </c>
      <c r="D8" s="912">
        <v>45513.0</v>
      </c>
      <c r="E8" s="561" t="s">
        <v>501</v>
      </c>
      <c r="F8" s="561">
        <v>300.0</v>
      </c>
    </row>
    <row r="9" ht="14.25" customHeight="1">
      <c r="B9" s="911">
        <v>2.0</v>
      </c>
      <c r="C9" s="561" t="s">
        <v>260</v>
      </c>
      <c r="D9" s="912">
        <v>45546.0</v>
      </c>
      <c r="E9" s="561" t="s">
        <v>501</v>
      </c>
      <c r="F9" s="561">
        <v>600.0</v>
      </c>
    </row>
    <row r="10" ht="14.25" customHeight="1">
      <c r="B10" s="911">
        <v>1.0</v>
      </c>
      <c r="C10" s="561" t="s">
        <v>260</v>
      </c>
      <c r="D10" s="912">
        <v>45355.0</v>
      </c>
      <c r="E10" s="561" t="s">
        <v>512</v>
      </c>
      <c r="F10" s="561">
        <v>300.0</v>
      </c>
    </row>
    <row r="11" ht="14.25" customHeight="1">
      <c r="B11" s="911">
        <v>2.0</v>
      </c>
      <c r="C11" s="561" t="s">
        <v>260</v>
      </c>
      <c r="D11" s="913" t="s">
        <v>56</v>
      </c>
      <c r="E11" s="561" t="s">
        <v>501</v>
      </c>
      <c r="F11" s="561">
        <v>600.0</v>
      </c>
    </row>
    <row r="12" ht="14.25" customHeight="1">
      <c r="B12" s="911">
        <v>1.0</v>
      </c>
      <c r="C12" s="561" t="s">
        <v>260</v>
      </c>
      <c r="D12" s="912">
        <v>45418.0</v>
      </c>
      <c r="E12" s="561" t="s">
        <v>505</v>
      </c>
      <c r="F12" s="561">
        <v>300.0</v>
      </c>
    </row>
    <row r="13" ht="14.25" customHeight="1">
      <c r="B13" s="911">
        <v>1.0</v>
      </c>
      <c r="C13" s="561" t="s">
        <v>260</v>
      </c>
      <c r="D13" s="913" t="s">
        <v>46</v>
      </c>
      <c r="E13" s="561" t="s">
        <v>505</v>
      </c>
      <c r="F13" s="561">
        <v>300.0</v>
      </c>
    </row>
    <row r="14" ht="14.25" customHeight="1">
      <c r="B14" s="911">
        <v>1.0</v>
      </c>
      <c r="C14" s="561" t="s">
        <v>260</v>
      </c>
      <c r="D14" s="913" t="s">
        <v>32</v>
      </c>
      <c r="E14" s="561" t="s">
        <v>505</v>
      </c>
      <c r="F14" s="561">
        <v>300.0</v>
      </c>
    </row>
    <row r="15" ht="14.25" customHeight="1">
      <c r="B15" s="911">
        <v>1.0</v>
      </c>
      <c r="C15" s="561" t="s">
        <v>260</v>
      </c>
      <c r="D15" s="913" t="s">
        <v>32</v>
      </c>
      <c r="E15" s="561" t="s">
        <v>512</v>
      </c>
      <c r="F15" s="561">
        <v>300.0</v>
      </c>
    </row>
    <row r="16" ht="14.25" customHeight="1">
      <c r="B16" s="911">
        <v>1.0</v>
      </c>
      <c r="C16" s="561" t="s">
        <v>260</v>
      </c>
      <c r="D16" s="914" t="s">
        <v>513</v>
      </c>
      <c r="E16" s="561" t="s">
        <v>498</v>
      </c>
      <c r="F16" s="561">
        <v>300.0</v>
      </c>
    </row>
    <row r="17" ht="14.25" customHeight="1">
      <c r="B17" s="911">
        <v>1.0</v>
      </c>
      <c r="C17" s="561" t="s">
        <v>260</v>
      </c>
      <c r="D17" s="913" t="s">
        <v>30</v>
      </c>
      <c r="E17" s="561" t="s">
        <v>501</v>
      </c>
      <c r="F17" s="561">
        <v>300.0</v>
      </c>
    </row>
    <row r="18" ht="14.25" customHeight="1">
      <c r="B18" s="911">
        <v>1.0</v>
      </c>
      <c r="C18" s="561" t="s">
        <v>260</v>
      </c>
      <c r="D18" s="913" t="s">
        <v>69</v>
      </c>
      <c r="E18" s="561" t="s">
        <v>501</v>
      </c>
      <c r="F18" s="561">
        <v>300.0</v>
      </c>
    </row>
    <row r="19" ht="14.25" customHeight="1">
      <c r="B19" s="911">
        <v>2.0</v>
      </c>
      <c r="C19" s="561" t="s">
        <v>260</v>
      </c>
      <c r="D19" s="913" t="s">
        <v>70</v>
      </c>
      <c r="E19" s="561" t="s">
        <v>512</v>
      </c>
      <c r="F19" s="561">
        <v>600.0</v>
      </c>
    </row>
    <row r="20" ht="14.25" customHeight="1">
      <c r="B20" s="911">
        <v>1.0</v>
      </c>
      <c r="C20" s="561" t="s">
        <v>260</v>
      </c>
      <c r="D20" s="913" t="s">
        <v>50</v>
      </c>
      <c r="E20" s="561" t="s">
        <v>501</v>
      </c>
      <c r="F20" s="561">
        <v>300.0</v>
      </c>
    </row>
    <row r="21" ht="14.25" customHeight="1">
      <c r="B21" s="911">
        <v>1.0</v>
      </c>
      <c r="C21" s="561" t="s">
        <v>514</v>
      </c>
      <c r="D21" s="913" t="s">
        <v>515</v>
      </c>
      <c r="E21" s="561" t="s">
        <v>505</v>
      </c>
      <c r="F21" s="561">
        <v>300.0</v>
      </c>
    </row>
    <row r="22" ht="14.25" customHeight="1">
      <c r="B22" s="915">
        <f>SUM(B6:B21)</f>
        <v>20</v>
      </c>
      <c r="C22" s="916" t="s">
        <v>66</v>
      </c>
      <c r="D22" s="917"/>
      <c r="E22" s="918"/>
      <c r="F22" s="919">
        <f>SUM(F6:F21)</f>
        <v>6000</v>
      </c>
    </row>
    <row r="23" ht="14.25" customHeight="1">
      <c r="B23" s="484"/>
      <c r="C23" s="920" t="s">
        <v>516</v>
      </c>
      <c r="D23" s="707"/>
      <c r="E23" s="921"/>
      <c r="F23" s="709">
        <v>1000.0</v>
      </c>
    </row>
    <row r="24" ht="14.25" customHeight="1">
      <c r="B24" s="922"/>
      <c r="C24" s="923" t="s">
        <v>517</v>
      </c>
      <c r="D24" s="924"/>
      <c r="E24" s="925"/>
      <c r="F24" s="926">
        <f>SUM(F22:F23)</f>
        <v>7000</v>
      </c>
      <c r="G24" s="561" t="s">
        <v>518</v>
      </c>
    </row>
    <row r="25" ht="14.25" customHeight="1">
      <c r="B25" s="484"/>
    </row>
    <row r="26" ht="14.25" customHeight="1">
      <c r="B26" s="484"/>
      <c r="C26" s="927" t="s">
        <v>519</v>
      </c>
    </row>
    <row r="27" ht="14.25" customHeight="1">
      <c r="B27" s="484"/>
      <c r="C27" s="927" t="s">
        <v>520</v>
      </c>
    </row>
    <row r="28" ht="14.25" customHeight="1">
      <c r="B28" s="484"/>
    </row>
    <row r="29" ht="14.25" customHeight="1">
      <c r="B29" s="484"/>
    </row>
    <row r="30" ht="14.25" customHeight="1">
      <c r="B30" s="484"/>
    </row>
    <row r="31" ht="14.25" customHeight="1">
      <c r="B31" s="484"/>
    </row>
    <row r="32" ht="14.25" customHeight="1">
      <c r="B32" s="484"/>
    </row>
    <row r="33" ht="14.25" customHeight="1">
      <c r="B33" s="484"/>
    </row>
    <row r="34" ht="14.25" customHeight="1">
      <c r="B34" s="484"/>
    </row>
    <row r="35" ht="14.25" customHeight="1">
      <c r="B35" s="484"/>
    </row>
    <row r="36" ht="14.25" customHeight="1">
      <c r="B36" s="484"/>
    </row>
    <row r="37" ht="14.25" customHeight="1">
      <c r="B37" s="484"/>
    </row>
    <row r="38" ht="14.25" customHeight="1">
      <c r="B38" s="484"/>
    </row>
    <row r="39" ht="14.25" customHeight="1">
      <c r="B39" s="484"/>
    </row>
    <row r="40" ht="14.25" customHeight="1">
      <c r="B40" s="484"/>
    </row>
    <row r="41" ht="14.25" customHeight="1">
      <c r="B41" s="484"/>
    </row>
    <row r="42" ht="14.25" customHeight="1">
      <c r="B42" s="484"/>
    </row>
    <row r="43" ht="14.25" customHeight="1">
      <c r="B43" s="484"/>
    </row>
    <row r="44" ht="14.25" customHeight="1">
      <c r="B44" s="484"/>
    </row>
    <row r="45" ht="14.25" customHeight="1">
      <c r="B45" s="484"/>
    </row>
    <row r="46" ht="14.25" customHeight="1">
      <c r="B46" s="484"/>
    </row>
    <row r="47" ht="14.25" customHeight="1">
      <c r="B47" s="484"/>
    </row>
    <row r="48" ht="14.25" customHeight="1">
      <c r="B48" s="484"/>
    </row>
    <row r="49" ht="14.25" customHeight="1">
      <c r="B49" s="484"/>
    </row>
    <row r="50" ht="14.25" customHeight="1">
      <c r="B50" s="484"/>
    </row>
    <row r="51" ht="14.25" customHeight="1">
      <c r="B51" s="484"/>
    </row>
    <row r="52" ht="14.25" customHeight="1">
      <c r="B52" s="484"/>
    </row>
    <row r="53" ht="14.25" customHeight="1">
      <c r="B53" s="484"/>
    </row>
    <row r="54" ht="14.25" customHeight="1">
      <c r="B54" s="484"/>
    </row>
    <row r="55" ht="14.25" customHeight="1">
      <c r="B55" s="484"/>
    </row>
    <row r="56" ht="14.25" customHeight="1">
      <c r="B56" s="484"/>
    </row>
    <row r="57" ht="14.25" customHeight="1">
      <c r="B57" s="484"/>
    </row>
    <row r="58" ht="14.25" customHeight="1">
      <c r="B58" s="484"/>
    </row>
    <row r="59" ht="14.25" customHeight="1">
      <c r="B59" s="484"/>
    </row>
    <row r="60" ht="14.25" customHeight="1">
      <c r="B60" s="484"/>
    </row>
    <row r="61" ht="14.25" customHeight="1">
      <c r="B61" s="484"/>
    </row>
    <row r="62" ht="14.25" customHeight="1">
      <c r="B62" s="484"/>
    </row>
    <row r="63" ht="14.25" customHeight="1">
      <c r="B63" s="484"/>
    </row>
    <row r="64" ht="14.25" customHeight="1">
      <c r="B64" s="484"/>
    </row>
    <row r="65" ht="14.25" customHeight="1">
      <c r="B65" s="484"/>
    </row>
    <row r="66" ht="14.25" customHeight="1">
      <c r="B66" s="484"/>
    </row>
    <row r="67" ht="14.25" customHeight="1">
      <c r="B67" s="484"/>
    </row>
    <row r="68" ht="14.25" customHeight="1">
      <c r="B68" s="484"/>
    </row>
    <row r="69" ht="14.25" customHeight="1">
      <c r="B69" s="484"/>
    </row>
    <row r="70" ht="14.25" customHeight="1">
      <c r="B70" s="484"/>
    </row>
    <row r="71" ht="14.25" customHeight="1">
      <c r="B71" s="484"/>
    </row>
    <row r="72" ht="14.25" customHeight="1">
      <c r="B72" s="484"/>
    </row>
    <row r="73" ht="14.25" customHeight="1">
      <c r="B73" s="484"/>
    </row>
    <row r="74" ht="14.25" customHeight="1">
      <c r="B74" s="484"/>
    </row>
    <row r="75" ht="14.25" customHeight="1">
      <c r="B75" s="484"/>
    </row>
    <row r="76" ht="14.25" customHeight="1">
      <c r="B76" s="484"/>
    </row>
    <row r="77" ht="14.25" customHeight="1">
      <c r="B77" s="484"/>
    </row>
    <row r="78" ht="14.25" customHeight="1">
      <c r="B78" s="484"/>
    </row>
    <row r="79" ht="14.25" customHeight="1">
      <c r="B79" s="484"/>
    </row>
    <row r="80" ht="14.25" customHeight="1">
      <c r="B80" s="484"/>
    </row>
    <row r="81" ht="14.25" customHeight="1">
      <c r="B81" s="484"/>
    </row>
    <row r="82" ht="14.25" customHeight="1">
      <c r="B82" s="484"/>
    </row>
    <row r="83" ht="14.25" customHeight="1">
      <c r="B83" s="484"/>
    </row>
    <row r="84" ht="14.25" customHeight="1">
      <c r="B84" s="484"/>
    </row>
    <row r="85" ht="14.25" customHeight="1">
      <c r="B85" s="484"/>
    </row>
    <row r="86" ht="14.25" customHeight="1">
      <c r="B86" s="484"/>
    </row>
    <row r="87" ht="14.25" customHeight="1">
      <c r="B87" s="484"/>
    </row>
    <row r="88" ht="14.25" customHeight="1">
      <c r="B88" s="484"/>
    </row>
    <row r="89" ht="14.25" customHeight="1">
      <c r="B89" s="484"/>
    </row>
    <row r="90" ht="14.25" customHeight="1">
      <c r="B90" s="484"/>
    </row>
    <row r="91" ht="14.25" customHeight="1">
      <c r="B91" s="484"/>
    </row>
    <row r="92" ht="14.25" customHeight="1">
      <c r="B92" s="484"/>
    </row>
    <row r="93" ht="14.25" customHeight="1">
      <c r="B93" s="484"/>
    </row>
    <row r="94" ht="14.25" customHeight="1">
      <c r="B94" s="484"/>
    </row>
    <row r="95" ht="14.25" customHeight="1">
      <c r="B95" s="484"/>
    </row>
    <row r="96" ht="14.25" customHeight="1">
      <c r="B96" s="484"/>
    </row>
    <row r="97" ht="14.25" customHeight="1">
      <c r="B97" s="484"/>
    </row>
    <row r="98" ht="14.25" customHeight="1">
      <c r="B98" s="484"/>
    </row>
    <row r="99" ht="14.25" customHeight="1">
      <c r="B99" s="484"/>
    </row>
    <row r="100" ht="14.25" customHeight="1">
      <c r="B100" s="484"/>
    </row>
    <row r="101" ht="14.25" customHeight="1">
      <c r="B101" s="484"/>
    </row>
    <row r="102" ht="14.25" customHeight="1">
      <c r="B102" s="484"/>
    </row>
    <row r="103" ht="14.25" customHeight="1">
      <c r="B103" s="484"/>
    </row>
    <row r="104" ht="14.25" customHeight="1">
      <c r="B104" s="484"/>
    </row>
    <row r="105" ht="14.25" customHeight="1">
      <c r="B105" s="484"/>
    </row>
    <row r="106" ht="14.25" customHeight="1">
      <c r="B106" s="484"/>
    </row>
    <row r="107" ht="14.25" customHeight="1">
      <c r="B107" s="484"/>
    </row>
    <row r="108" ht="14.25" customHeight="1">
      <c r="B108" s="484"/>
    </row>
    <row r="109" ht="14.25" customHeight="1">
      <c r="B109" s="484"/>
    </row>
    <row r="110" ht="14.25" customHeight="1">
      <c r="B110" s="484"/>
    </row>
    <row r="111" ht="14.25" customHeight="1">
      <c r="B111" s="484"/>
    </row>
    <row r="112" ht="14.25" customHeight="1">
      <c r="B112" s="484"/>
    </row>
    <row r="113" ht="14.25" customHeight="1">
      <c r="B113" s="484"/>
    </row>
    <row r="114" ht="14.25" customHeight="1">
      <c r="B114" s="484"/>
    </row>
    <row r="115" ht="14.25" customHeight="1">
      <c r="B115" s="484"/>
    </row>
    <row r="116" ht="14.25" customHeight="1">
      <c r="B116" s="484"/>
    </row>
    <row r="117" ht="14.25" customHeight="1">
      <c r="B117" s="484"/>
    </row>
    <row r="118" ht="14.25" customHeight="1">
      <c r="B118" s="484"/>
    </row>
    <row r="119" ht="14.25" customHeight="1">
      <c r="B119" s="484"/>
    </row>
    <row r="120" ht="14.25" customHeight="1">
      <c r="B120" s="484"/>
    </row>
    <row r="121" ht="14.25" customHeight="1">
      <c r="B121" s="484"/>
    </row>
    <row r="122" ht="14.25" customHeight="1">
      <c r="B122" s="484"/>
    </row>
    <row r="123" ht="14.25" customHeight="1">
      <c r="B123" s="484"/>
    </row>
    <row r="124" ht="14.25" customHeight="1">
      <c r="B124" s="484"/>
    </row>
    <row r="125" ht="14.25" customHeight="1">
      <c r="B125" s="484"/>
    </row>
    <row r="126" ht="14.25" customHeight="1">
      <c r="B126" s="484"/>
    </row>
    <row r="127" ht="14.25" customHeight="1">
      <c r="B127" s="484"/>
    </row>
    <row r="128" ht="14.25" customHeight="1">
      <c r="B128" s="484"/>
    </row>
    <row r="129" ht="14.25" customHeight="1">
      <c r="B129" s="484"/>
    </row>
    <row r="130" ht="14.25" customHeight="1">
      <c r="B130" s="484"/>
    </row>
    <row r="131" ht="14.25" customHeight="1">
      <c r="B131" s="484"/>
    </row>
    <row r="132" ht="14.25" customHeight="1">
      <c r="B132" s="484"/>
    </row>
    <row r="133" ht="14.25" customHeight="1">
      <c r="B133" s="484"/>
    </row>
    <row r="134" ht="14.25" customHeight="1">
      <c r="B134" s="484"/>
    </row>
    <row r="135" ht="14.25" customHeight="1">
      <c r="B135" s="484"/>
    </row>
    <row r="136" ht="14.25" customHeight="1">
      <c r="B136" s="484"/>
    </row>
    <row r="137" ht="14.25" customHeight="1">
      <c r="B137" s="484"/>
    </row>
    <row r="138" ht="14.25" customHeight="1">
      <c r="B138" s="484"/>
    </row>
    <row r="139" ht="14.25" customHeight="1">
      <c r="B139" s="484"/>
    </row>
    <row r="140" ht="14.25" customHeight="1">
      <c r="B140" s="484"/>
    </row>
    <row r="141" ht="14.25" customHeight="1">
      <c r="B141" s="484"/>
    </row>
    <row r="142" ht="14.25" customHeight="1">
      <c r="B142" s="484"/>
    </row>
    <row r="143" ht="14.25" customHeight="1">
      <c r="B143" s="484"/>
    </row>
    <row r="144" ht="14.25" customHeight="1">
      <c r="B144" s="484"/>
    </row>
    <row r="145" ht="14.25" customHeight="1">
      <c r="B145" s="484"/>
    </row>
    <row r="146" ht="14.25" customHeight="1">
      <c r="B146" s="484"/>
    </row>
    <row r="147" ht="14.25" customHeight="1">
      <c r="B147" s="484"/>
    </row>
    <row r="148" ht="14.25" customHeight="1">
      <c r="B148" s="484"/>
    </row>
    <row r="149" ht="14.25" customHeight="1">
      <c r="B149" s="484"/>
    </row>
    <row r="150" ht="14.25" customHeight="1">
      <c r="B150" s="484"/>
    </row>
    <row r="151" ht="14.25" customHeight="1">
      <c r="B151" s="484"/>
    </row>
    <row r="152" ht="14.25" customHeight="1">
      <c r="B152" s="484"/>
    </row>
    <row r="153" ht="14.25" customHeight="1">
      <c r="B153" s="484"/>
    </row>
    <row r="154" ht="14.25" customHeight="1">
      <c r="B154" s="484"/>
    </row>
    <row r="155" ht="14.25" customHeight="1">
      <c r="B155" s="484"/>
    </row>
    <row r="156" ht="14.25" customHeight="1">
      <c r="B156" s="484"/>
    </row>
    <row r="157" ht="14.25" customHeight="1">
      <c r="B157" s="484"/>
    </row>
    <row r="158" ht="14.25" customHeight="1">
      <c r="B158" s="484"/>
    </row>
    <row r="159" ht="14.25" customHeight="1">
      <c r="B159" s="484"/>
    </row>
    <row r="160" ht="14.25" customHeight="1">
      <c r="B160" s="484"/>
    </row>
    <row r="161" ht="14.25" customHeight="1">
      <c r="B161" s="484"/>
    </row>
    <row r="162" ht="14.25" customHeight="1">
      <c r="B162" s="484"/>
    </row>
    <row r="163" ht="14.25" customHeight="1">
      <c r="B163" s="484"/>
    </row>
    <row r="164" ht="14.25" customHeight="1">
      <c r="B164" s="484"/>
    </row>
    <row r="165" ht="14.25" customHeight="1">
      <c r="B165" s="484"/>
    </row>
    <row r="166" ht="14.25" customHeight="1">
      <c r="B166" s="484"/>
    </row>
    <row r="167" ht="14.25" customHeight="1">
      <c r="B167" s="484"/>
    </row>
    <row r="168" ht="14.25" customHeight="1">
      <c r="B168" s="484"/>
    </row>
    <row r="169" ht="14.25" customHeight="1">
      <c r="B169" s="484"/>
    </row>
    <row r="170" ht="14.25" customHeight="1">
      <c r="B170" s="484"/>
    </row>
    <row r="171" ht="14.25" customHeight="1">
      <c r="B171" s="484"/>
    </row>
    <row r="172" ht="14.25" customHeight="1">
      <c r="B172" s="484"/>
    </row>
    <row r="173" ht="14.25" customHeight="1">
      <c r="B173" s="484"/>
    </row>
    <row r="174" ht="14.25" customHeight="1">
      <c r="B174" s="484"/>
    </row>
    <row r="175" ht="14.25" customHeight="1">
      <c r="B175" s="484"/>
    </row>
    <row r="176" ht="14.25" customHeight="1">
      <c r="B176" s="484"/>
    </row>
    <row r="177" ht="14.25" customHeight="1">
      <c r="B177" s="484"/>
    </row>
    <row r="178" ht="14.25" customHeight="1">
      <c r="B178" s="484"/>
    </row>
    <row r="179" ht="14.25" customHeight="1">
      <c r="B179" s="484"/>
    </row>
    <row r="180" ht="14.25" customHeight="1">
      <c r="B180" s="484"/>
    </row>
    <row r="181" ht="14.25" customHeight="1">
      <c r="B181" s="484"/>
    </row>
    <row r="182" ht="14.25" customHeight="1">
      <c r="B182" s="484"/>
    </row>
    <row r="183" ht="14.25" customHeight="1">
      <c r="B183" s="484"/>
    </row>
    <row r="184" ht="14.25" customHeight="1">
      <c r="B184" s="484"/>
    </row>
    <row r="185" ht="14.25" customHeight="1">
      <c r="B185" s="484"/>
    </row>
    <row r="186" ht="14.25" customHeight="1">
      <c r="B186" s="484"/>
    </row>
    <row r="187" ht="14.25" customHeight="1">
      <c r="B187" s="484"/>
    </row>
    <row r="188" ht="14.25" customHeight="1">
      <c r="B188" s="484"/>
    </row>
    <row r="189" ht="14.25" customHeight="1">
      <c r="B189" s="484"/>
    </row>
    <row r="190" ht="14.25" customHeight="1">
      <c r="B190" s="484"/>
    </row>
    <row r="191" ht="14.25" customHeight="1">
      <c r="B191" s="484"/>
    </row>
    <row r="192" ht="14.25" customHeight="1">
      <c r="B192" s="484"/>
    </row>
    <row r="193" ht="14.25" customHeight="1">
      <c r="B193" s="484"/>
    </row>
    <row r="194" ht="14.25" customHeight="1">
      <c r="B194" s="484"/>
    </row>
    <row r="195" ht="14.25" customHeight="1">
      <c r="B195" s="484"/>
    </row>
    <row r="196" ht="14.25" customHeight="1">
      <c r="B196" s="484"/>
    </row>
    <row r="197" ht="14.25" customHeight="1">
      <c r="B197" s="484"/>
    </row>
    <row r="198" ht="14.25" customHeight="1">
      <c r="B198" s="484"/>
    </row>
    <row r="199" ht="14.25" customHeight="1">
      <c r="B199" s="484"/>
    </row>
    <row r="200" ht="14.25" customHeight="1">
      <c r="B200" s="484"/>
    </row>
    <row r="201" ht="14.25" customHeight="1">
      <c r="B201" s="484"/>
    </row>
    <row r="202" ht="14.25" customHeight="1">
      <c r="B202" s="484"/>
    </row>
    <row r="203" ht="14.25" customHeight="1">
      <c r="B203" s="484"/>
    </row>
    <row r="204" ht="14.25" customHeight="1">
      <c r="B204" s="484"/>
    </row>
    <row r="205" ht="14.25" customHeight="1">
      <c r="B205" s="484"/>
    </row>
    <row r="206" ht="14.25" customHeight="1">
      <c r="B206" s="484"/>
    </row>
    <row r="207" ht="14.25" customHeight="1">
      <c r="B207" s="484"/>
    </row>
    <row r="208" ht="14.25" customHeight="1">
      <c r="B208" s="484"/>
    </row>
    <row r="209" ht="14.25" customHeight="1">
      <c r="B209" s="484"/>
    </row>
    <row r="210" ht="14.25" customHeight="1">
      <c r="B210" s="484"/>
    </row>
    <row r="211" ht="14.25" customHeight="1">
      <c r="B211" s="484"/>
    </row>
    <row r="212" ht="14.25" customHeight="1">
      <c r="B212" s="484"/>
    </row>
    <row r="213" ht="14.25" customHeight="1">
      <c r="B213" s="484"/>
    </row>
    <row r="214" ht="14.25" customHeight="1">
      <c r="B214" s="484"/>
    </row>
    <row r="215" ht="14.25" customHeight="1">
      <c r="B215" s="484"/>
    </row>
    <row r="216" ht="14.25" customHeight="1">
      <c r="B216" s="484"/>
    </row>
    <row r="217" ht="14.25" customHeight="1">
      <c r="B217" s="484"/>
    </row>
    <row r="218" ht="14.25" customHeight="1">
      <c r="B218" s="484"/>
    </row>
    <row r="219" ht="14.25" customHeight="1">
      <c r="B219" s="484"/>
    </row>
    <row r="220" ht="14.25" customHeight="1">
      <c r="B220" s="484"/>
    </row>
    <row r="221" ht="14.25" customHeight="1">
      <c r="B221" s="484"/>
    </row>
    <row r="222" ht="14.25" customHeight="1">
      <c r="B222" s="484"/>
    </row>
    <row r="223" ht="14.25" customHeight="1">
      <c r="B223" s="484"/>
    </row>
    <row r="224" ht="14.25" customHeight="1">
      <c r="B224" s="484"/>
    </row>
    <row r="225" ht="14.25" customHeight="1">
      <c r="B225" s="484"/>
    </row>
    <row r="226" ht="14.25" customHeight="1">
      <c r="B226" s="484"/>
    </row>
    <row r="227" ht="14.25" customHeight="1">
      <c r="B227" s="484"/>
    </row>
    <row r="228" ht="14.25" customHeight="1">
      <c r="B228" s="484"/>
    </row>
    <row r="229" ht="14.25" customHeight="1">
      <c r="B229" s="484"/>
    </row>
    <row r="230" ht="14.25" customHeight="1">
      <c r="B230" s="484"/>
    </row>
    <row r="231" ht="14.25" customHeight="1">
      <c r="B231" s="484"/>
    </row>
    <row r="232" ht="14.25" customHeight="1">
      <c r="B232" s="484"/>
    </row>
    <row r="233" ht="14.25" customHeight="1">
      <c r="B233" s="484"/>
    </row>
    <row r="234" ht="14.25" customHeight="1">
      <c r="B234" s="484"/>
    </row>
    <row r="235" ht="14.25" customHeight="1">
      <c r="B235" s="484"/>
    </row>
    <row r="236" ht="14.25" customHeight="1">
      <c r="B236" s="484"/>
    </row>
    <row r="237" ht="14.25" customHeight="1">
      <c r="B237" s="484"/>
    </row>
    <row r="238" ht="14.25" customHeight="1">
      <c r="B238" s="484"/>
    </row>
    <row r="239" ht="14.25" customHeight="1">
      <c r="B239" s="484"/>
    </row>
    <row r="240" ht="14.25" customHeight="1">
      <c r="B240" s="484"/>
    </row>
    <row r="241" ht="14.25" customHeight="1">
      <c r="B241" s="484"/>
    </row>
    <row r="242" ht="14.25" customHeight="1">
      <c r="B242" s="484"/>
    </row>
    <row r="243" ht="14.25" customHeight="1">
      <c r="B243" s="484"/>
    </row>
    <row r="244" ht="14.25" customHeight="1">
      <c r="B244" s="484"/>
    </row>
    <row r="245" ht="14.25" customHeight="1">
      <c r="B245" s="484"/>
    </row>
    <row r="246" ht="14.25" customHeight="1">
      <c r="B246" s="484"/>
    </row>
    <row r="247" ht="14.25" customHeight="1">
      <c r="B247" s="484"/>
    </row>
    <row r="248" ht="14.25" customHeight="1">
      <c r="B248" s="484"/>
    </row>
    <row r="249" ht="14.25" customHeight="1">
      <c r="B249" s="484"/>
    </row>
    <row r="250" ht="14.25" customHeight="1">
      <c r="B250" s="484"/>
    </row>
    <row r="251" ht="14.25" customHeight="1">
      <c r="B251" s="484"/>
    </row>
    <row r="252" ht="14.25" customHeight="1">
      <c r="B252" s="484"/>
    </row>
    <row r="253" ht="14.25" customHeight="1">
      <c r="B253" s="484"/>
    </row>
    <row r="254" ht="14.25" customHeight="1">
      <c r="B254" s="484"/>
    </row>
    <row r="255" ht="14.25" customHeight="1">
      <c r="B255" s="484"/>
    </row>
    <row r="256" ht="14.25" customHeight="1">
      <c r="B256" s="484"/>
    </row>
    <row r="257" ht="14.25" customHeight="1">
      <c r="B257" s="484"/>
    </row>
    <row r="258" ht="14.25" customHeight="1">
      <c r="B258" s="484"/>
    </row>
    <row r="259" ht="14.25" customHeight="1">
      <c r="B259" s="484"/>
    </row>
    <row r="260" ht="14.25" customHeight="1">
      <c r="B260" s="484"/>
    </row>
    <row r="261" ht="14.25" customHeight="1">
      <c r="B261" s="484"/>
    </row>
    <row r="262" ht="14.25" customHeight="1">
      <c r="B262" s="484"/>
    </row>
    <row r="263" ht="14.25" customHeight="1">
      <c r="B263" s="484"/>
    </row>
    <row r="264" ht="14.25" customHeight="1">
      <c r="B264" s="484"/>
    </row>
    <row r="265" ht="14.25" customHeight="1">
      <c r="B265" s="484"/>
    </row>
    <row r="266" ht="14.25" customHeight="1">
      <c r="B266" s="484"/>
    </row>
    <row r="267" ht="14.25" customHeight="1">
      <c r="B267" s="484"/>
    </row>
    <row r="268" ht="14.25" customHeight="1">
      <c r="B268" s="484"/>
    </row>
    <row r="269" ht="14.25" customHeight="1">
      <c r="B269" s="484"/>
    </row>
    <row r="270" ht="14.25" customHeight="1">
      <c r="B270" s="484"/>
    </row>
    <row r="271" ht="14.25" customHeight="1">
      <c r="B271" s="484"/>
    </row>
    <row r="272" ht="14.25" customHeight="1">
      <c r="B272" s="484"/>
    </row>
    <row r="273" ht="14.25" customHeight="1">
      <c r="B273" s="484"/>
    </row>
    <row r="274" ht="14.25" customHeight="1">
      <c r="B274" s="484"/>
    </row>
    <row r="275" ht="14.25" customHeight="1">
      <c r="B275" s="484"/>
    </row>
    <row r="276" ht="14.25" customHeight="1">
      <c r="B276" s="484"/>
    </row>
    <row r="277" ht="14.25" customHeight="1">
      <c r="B277" s="484"/>
    </row>
    <row r="278" ht="14.25" customHeight="1">
      <c r="B278" s="484"/>
    </row>
    <row r="279" ht="14.25" customHeight="1">
      <c r="B279" s="484"/>
    </row>
    <row r="280" ht="14.25" customHeight="1">
      <c r="B280" s="484"/>
    </row>
    <row r="281" ht="14.25" customHeight="1">
      <c r="B281" s="484"/>
    </row>
    <row r="282" ht="14.25" customHeight="1">
      <c r="B282" s="484"/>
    </row>
    <row r="283" ht="14.25" customHeight="1">
      <c r="B283" s="484"/>
    </row>
    <row r="284" ht="14.25" customHeight="1">
      <c r="B284" s="484"/>
    </row>
    <row r="285" ht="14.25" customHeight="1">
      <c r="B285" s="484"/>
    </row>
    <row r="286" ht="14.25" customHeight="1">
      <c r="B286" s="484"/>
    </row>
    <row r="287" ht="14.25" customHeight="1">
      <c r="B287" s="484"/>
    </row>
    <row r="288" ht="14.25" customHeight="1">
      <c r="B288" s="484"/>
    </row>
    <row r="289" ht="14.25" customHeight="1">
      <c r="B289" s="484"/>
    </row>
    <row r="290" ht="14.25" customHeight="1">
      <c r="B290" s="484"/>
    </row>
    <row r="291" ht="14.25" customHeight="1">
      <c r="B291" s="484"/>
    </row>
    <row r="292" ht="14.25" customHeight="1">
      <c r="B292" s="484"/>
    </row>
    <row r="293" ht="14.25" customHeight="1">
      <c r="B293" s="484"/>
    </row>
    <row r="294" ht="14.25" customHeight="1">
      <c r="B294" s="484"/>
    </row>
    <row r="295" ht="14.25" customHeight="1">
      <c r="B295" s="484"/>
    </row>
    <row r="296" ht="14.25" customHeight="1">
      <c r="B296" s="484"/>
    </row>
    <row r="297" ht="14.25" customHeight="1">
      <c r="B297" s="484"/>
    </row>
    <row r="298" ht="14.25" customHeight="1">
      <c r="B298" s="484"/>
    </row>
    <row r="299" ht="14.25" customHeight="1">
      <c r="B299" s="484"/>
    </row>
    <row r="300" ht="14.25" customHeight="1">
      <c r="B300" s="484"/>
    </row>
    <row r="301" ht="14.25" customHeight="1">
      <c r="B301" s="484"/>
    </row>
    <row r="302" ht="14.25" customHeight="1">
      <c r="B302" s="484"/>
    </row>
    <row r="303" ht="14.25" customHeight="1">
      <c r="B303" s="484"/>
    </row>
    <row r="304" ht="14.25" customHeight="1">
      <c r="B304" s="484"/>
    </row>
    <row r="305" ht="14.25" customHeight="1">
      <c r="B305" s="484"/>
    </row>
    <row r="306" ht="14.25" customHeight="1">
      <c r="B306" s="484"/>
    </row>
    <row r="307" ht="14.25" customHeight="1">
      <c r="B307" s="484"/>
    </row>
    <row r="308" ht="14.25" customHeight="1">
      <c r="B308" s="484"/>
    </row>
    <row r="309" ht="14.25" customHeight="1">
      <c r="B309" s="484"/>
    </row>
    <row r="310" ht="14.25" customHeight="1">
      <c r="B310" s="484"/>
    </row>
    <row r="311" ht="14.25" customHeight="1">
      <c r="B311" s="484"/>
    </row>
    <row r="312" ht="14.25" customHeight="1">
      <c r="B312" s="484"/>
    </row>
    <row r="313" ht="14.25" customHeight="1">
      <c r="B313" s="484"/>
    </row>
    <row r="314" ht="14.25" customHeight="1">
      <c r="B314" s="484"/>
    </row>
    <row r="315" ht="14.25" customHeight="1">
      <c r="B315" s="484"/>
    </row>
    <row r="316" ht="14.25" customHeight="1">
      <c r="B316" s="484"/>
    </row>
    <row r="317" ht="14.25" customHeight="1">
      <c r="B317" s="484"/>
    </row>
    <row r="318" ht="14.25" customHeight="1">
      <c r="B318" s="484"/>
    </row>
    <row r="319" ht="14.25" customHeight="1">
      <c r="B319" s="484"/>
    </row>
    <row r="320" ht="14.25" customHeight="1">
      <c r="B320" s="484"/>
    </row>
    <row r="321" ht="14.25" customHeight="1">
      <c r="B321" s="484"/>
    </row>
    <row r="322" ht="14.25" customHeight="1">
      <c r="B322" s="484"/>
    </row>
    <row r="323" ht="14.25" customHeight="1">
      <c r="B323" s="484"/>
    </row>
    <row r="324" ht="14.25" customHeight="1">
      <c r="B324" s="484"/>
    </row>
    <row r="325" ht="14.25" customHeight="1">
      <c r="B325" s="484"/>
    </row>
    <row r="326" ht="14.25" customHeight="1">
      <c r="B326" s="484"/>
    </row>
    <row r="327" ht="14.25" customHeight="1">
      <c r="B327" s="484"/>
    </row>
    <row r="328" ht="14.25" customHeight="1">
      <c r="B328" s="484"/>
    </row>
    <row r="329" ht="14.25" customHeight="1">
      <c r="B329" s="484"/>
    </row>
    <row r="330" ht="14.25" customHeight="1">
      <c r="B330" s="484"/>
    </row>
    <row r="331" ht="14.25" customHeight="1">
      <c r="B331" s="484"/>
    </row>
    <row r="332" ht="14.25" customHeight="1">
      <c r="B332" s="484"/>
    </row>
    <row r="333" ht="14.25" customHeight="1">
      <c r="B333" s="484"/>
    </row>
    <row r="334" ht="14.25" customHeight="1">
      <c r="B334" s="484"/>
    </row>
    <row r="335" ht="14.25" customHeight="1">
      <c r="B335" s="484"/>
    </row>
    <row r="336" ht="14.25" customHeight="1">
      <c r="B336" s="484"/>
    </row>
    <row r="337" ht="14.25" customHeight="1">
      <c r="B337" s="484"/>
    </row>
    <row r="338" ht="14.25" customHeight="1">
      <c r="B338" s="484"/>
    </row>
    <row r="339" ht="14.25" customHeight="1">
      <c r="B339" s="484"/>
    </row>
    <row r="340" ht="14.25" customHeight="1">
      <c r="B340" s="484"/>
    </row>
    <row r="341" ht="14.25" customHeight="1">
      <c r="B341" s="484"/>
    </row>
    <row r="342" ht="14.25" customHeight="1">
      <c r="B342" s="484"/>
    </row>
    <row r="343" ht="14.25" customHeight="1">
      <c r="B343" s="484"/>
    </row>
    <row r="344" ht="14.25" customHeight="1">
      <c r="B344" s="484"/>
    </row>
    <row r="345" ht="14.25" customHeight="1">
      <c r="B345" s="484"/>
    </row>
    <row r="346" ht="14.25" customHeight="1">
      <c r="B346" s="484"/>
    </row>
    <row r="347" ht="14.25" customHeight="1">
      <c r="B347" s="484"/>
    </row>
    <row r="348" ht="14.25" customHeight="1">
      <c r="B348" s="484"/>
    </row>
    <row r="349" ht="14.25" customHeight="1">
      <c r="B349" s="484"/>
    </row>
    <row r="350" ht="14.25" customHeight="1">
      <c r="B350" s="484"/>
    </row>
    <row r="351" ht="14.25" customHeight="1">
      <c r="B351" s="484"/>
    </row>
    <row r="352" ht="14.25" customHeight="1">
      <c r="B352" s="484"/>
    </row>
    <row r="353" ht="14.25" customHeight="1">
      <c r="B353" s="484"/>
    </row>
    <row r="354" ht="14.25" customHeight="1">
      <c r="B354" s="484"/>
    </row>
    <row r="355" ht="14.25" customHeight="1">
      <c r="B355" s="484"/>
    </row>
    <row r="356" ht="14.25" customHeight="1">
      <c r="B356" s="484"/>
    </row>
    <row r="357" ht="14.25" customHeight="1">
      <c r="B357" s="484"/>
    </row>
    <row r="358" ht="14.25" customHeight="1">
      <c r="B358" s="484"/>
    </row>
    <row r="359" ht="14.25" customHeight="1">
      <c r="B359" s="484"/>
    </row>
    <row r="360" ht="14.25" customHeight="1">
      <c r="B360" s="484"/>
    </row>
    <row r="361" ht="14.25" customHeight="1">
      <c r="B361" s="484"/>
    </row>
    <row r="362" ht="14.25" customHeight="1">
      <c r="B362" s="484"/>
    </row>
    <row r="363" ht="14.25" customHeight="1">
      <c r="B363" s="484"/>
    </row>
    <row r="364" ht="14.25" customHeight="1">
      <c r="B364" s="484"/>
    </row>
    <row r="365" ht="14.25" customHeight="1">
      <c r="B365" s="484"/>
    </row>
    <row r="366" ht="14.25" customHeight="1">
      <c r="B366" s="484"/>
    </row>
    <row r="367" ht="14.25" customHeight="1">
      <c r="B367" s="484"/>
    </row>
    <row r="368" ht="14.25" customHeight="1">
      <c r="B368" s="484"/>
    </row>
    <row r="369" ht="14.25" customHeight="1">
      <c r="B369" s="484"/>
    </row>
    <row r="370" ht="14.25" customHeight="1">
      <c r="B370" s="484"/>
    </row>
    <row r="371" ht="14.25" customHeight="1">
      <c r="B371" s="484"/>
    </row>
    <row r="372" ht="14.25" customHeight="1">
      <c r="B372" s="484"/>
    </row>
    <row r="373" ht="14.25" customHeight="1">
      <c r="B373" s="484"/>
    </row>
    <row r="374" ht="14.25" customHeight="1">
      <c r="B374" s="484"/>
    </row>
    <row r="375" ht="14.25" customHeight="1">
      <c r="B375" s="484"/>
    </row>
    <row r="376" ht="14.25" customHeight="1">
      <c r="B376" s="484"/>
    </row>
    <row r="377" ht="14.25" customHeight="1">
      <c r="B377" s="484"/>
    </row>
    <row r="378" ht="14.25" customHeight="1">
      <c r="B378" s="484"/>
    </row>
    <row r="379" ht="14.25" customHeight="1">
      <c r="B379" s="484"/>
    </row>
    <row r="380" ht="14.25" customHeight="1">
      <c r="B380" s="484"/>
    </row>
    <row r="381" ht="14.25" customHeight="1">
      <c r="B381" s="484"/>
    </row>
    <row r="382" ht="14.25" customHeight="1">
      <c r="B382" s="484"/>
    </row>
    <row r="383" ht="14.25" customHeight="1">
      <c r="B383" s="484"/>
    </row>
    <row r="384" ht="14.25" customHeight="1">
      <c r="B384" s="484"/>
    </row>
    <row r="385" ht="14.25" customHeight="1">
      <c r="B385" s="484"/>
    </row>
    <row r="386" ht="14.25" customHeight="1">
      <c r="B386" s="484"/>
    </row>
    <row r="387" ht="14.25" customHeight="1">
      <c r="B387" s="484"/>
    </row>
    <row r="388" ht="14.25" customHeight="1">
      <c r="B388" s="484"/>
    </row>
    <row r="389" ht="14.25" customHeight="1">
      <c r="B389" s="484"/>
    </row>
    <row r="390" ht="14.25" customHeight="1">
      <c r="B390" s="484"/>
    </row>
    <row r="391" ht="14.25" customHeight="1">
      <c r="B391" s="484"/>
    </row>
    <row r="392" ht="14.25" customHeight="1">
      <c r="B392" s="484"/>
    </row>
    <row r="393" ht="14.25" customHeight="1">
      <c r="B393" s="484"/>
    </row>
    <row r="394" ht="14.25" customHeight="1">
      <c r="B394" s="484"/>
    </row>
    <row r="395" ht="14.25" customHeight="1">
      <c r="B395" s="484"/>
    </row>
    <row r="396" ht="14.25" customHeight="1">
      <c r="B396" s="484"/>
    </row>
    <row r="397" ht="14.25" customHeight="1">
      <c r="B397" s="484"/>
    </row>
    <row r="398" ht="14.25" customHeight="1">
      <c r="B398" s="484"/>
    </row>
    <row r="399" ht="14.25" customHeight="1">
      <c r="B399" s="484"/>
    </row>
    <row r="400" ht="14.25" customHeight="1">
      <c r="B400" s="484"/>
    </row>
    <row r="401" ht="14.25" customHeight="1">
      <c r="B401" s="484"/>
    </row>
    <row r="402" ht="14.25" customHeight="1">
      <c r="B402" s="484"/>
    </row>
    <row r="403" ht="14.25" customHeight="1">
      <c r="B403" s="484"/>
    </row>
    <row r="404" ht="14.25" customHeight="1">
      <c r="B404" s="484"/>
    </row>
    <row r="405" ht="14.25" customHeight="1">
      <c r="B405" s="484"/>
    </row>
    <row r="406" ht="14.25" customHeight="1">
      <c r="B406" s="484"/>
    </row>
    <row r="407" ht="14.25" customHeight="1">
      <c r="B407" s="484"/>
    </row>
    <row r="408" ht="14.25" customHeight="1">
      <c r="B408" s="484"/>
    </row>
    <row r="409" ht="14.25" customHeight="1">
      <c r="B409" s="484"/>
    </row>
    <row r="410" ht="14.25" customHeight="1">
      <c r="B410" s="484"/>
    </row>
    <row r="411" ht="14.25" customHeight="1">
      <c r="B411" s="484"/>
    </row>
    <row r="412" ht="14.25" customHeight="1">
      <c r="B412" s="484"/>
    </row>
    <row r="413" ht="14.25" customHeight="1">
      <c r="B413" s="484"/>
    </row>
    <row r="414" ht="14.25" customHeight="1">
      <c r="B414" s="484"/>
    </row>
    <row r="415" ht="14.25" customHeight="1">
      <c r="B415" s="484"/>
    </row>
    <row r="416" ht="14.25" customHeight="1">
      <c r="B416" s="484"/>
    </row>
    <row r="417" ht="14.25" customHeight="1">
      <c r="B417" s="484"/>
    </row>
    <row r="418" ht="14.25" customHeight="1">
      <c r="B418" s="484"/>
    </row>
    <row r="419" ht="14.25" customHeight="1">
      <c r="B419" s="484"/>
    </row>
    <row r="420" ht="14.25" customHeight="1">
      <c r="B420" s="484"/>
    </row>
    <row r="421" ht="14.25" customHeight="1">
      <c r="B421" s="484"/>
    </row>
    <row r="422" ht="14.25" customHeight="1">
      <c r="B422" s="484"/>
    </row>
    <row r="423" ht="14.25" customHeight="1">
      <c r="B423" s="484"/>
    </row>
    <row r="424" ht="14.25" customHeight="1">
      <c r="B424" s="484"/>
    </row>
    <row r="425" ht="14.25" customHeight="1">
      <c r="B425" s="484"/>
    </row>
    <row r="426" ht="14.25" customHeight="1">
      <c r="B426" s="484"/>
    </row>
    <row r="427" ht="14.25" customHeight="1">
      <c r="B427" s="484"/>
    </row>
    <row r="428" ht="14.25" customHeight="1">
      <c r="B428" s="484"/>
    </row>
    <row r="429" ht="14.25" customHeight="1">
      <c r="B429" s="484"/>
    </row>
    <row r="430" ht="14.25" customHeight="1">
      <c r="B430" s="484"/>
    </row>
    <row r="431" ht="14.25" customHeight="1">
      <c r="B431" s="484"/>
    </row>
    <row r="432" ht="14.25" customHeight="1">
      <c r="B432" s="484"/>
    </row>
    <row r="433" ht="14.25" customHeight="1">
      <c r="B433" s="484"/>
    </row>
    <row r="434" ht="14.25" customHeight="1">
      <c r="B434" s="484"/>
    </row>
    <row r="435" ht="14.25" customHeight="1">
      <c r="B435" s="484"/>
    </row>
    <row r="436" ht="14.25" customHeight="1">
      <c r="B436" s="484"/>
    </row>
    <row r="437" ht="14.25" customHeight="1">
      <c r="B437" s="484"/>
    </row>
    <row r="438" ht="14.25" customHeight="1">
      <c r="B438" s="484"/>
    </row>
    <row r="439" ht="14.25" customHeight="1">
      <c r="B439" s="484"/>
    </row>
    <row r="440" ht="14.25" customHeight="1">
      <c r="B440" s="484"/>
    </row>
    <row r="441" ht="14.25" customHeight="1">
      <c r="B441" s="484"/>
    </row>
    <row r="442" ht="14.25" customHeight="1">
      <c r="B442" s="484"/>
    </row>
    <row r="443" ht="14.25" customHeight="1">
      <c r="B443" s="484"/>
    </row>
    <row r="444" ht="14.25" customHeight="1">
      <c r="B444" s="484"/>
    </row>
    <row r="445" ht="14.25" customHeight="1">
      <c r="B445" s="484"/>
    </row>
    <row r="446" ht="14.25" customHeight="1">
      <c r="B446" s="484"/>
    </row>
    <row r="447" ht="14.25" customHeight="1">
      <c r="B447" s="484"/>
    </row>
    <row r="448" ht="14.25" customHeight="1">
      <c r="B448" s="484"/>
    </row>
    <row r="449" ht="14.25" customHeight="1">
      <c r="B449" s="484"/>
    </row>
    <row r="450" ht="14.25" customHeight="1">
      <c r="B450" s="484"/>
    </row>
    <row r="451" ht="14.25" customHeight="1">
      <c r="B451" s="484"/>
    </row>
    <row r="452" ht="14.25" customHeight="1">
      <c r="B452" s="484"/>
    </row>
    <row r="453" ht="14.25" customHeight="1">
      <c r="B453" s="484"/>
    </row>
    <row r="454" ht="14.25" customHeight="1">
      <c r="B454" s="484"/>
    </row>
    <row r="455" ht="14.25" customHeight="1">
      <c r="B455" s="484"/>
    </row>
    <row r="456" ht="14.25" customHeight="1">
      <c r="B456" s="484"/>
    </row>
    <row r="457" ht="14.25" customHeight="1">
      <c r="B457" s="484"/>
    </row>
    <row r="458" ht="14.25" customHeight="1">
      <c r="B458" s="484"/>
    </row>
    <row r="459" ht="14.25" customHeight="1">
      <c r="B459" s="484"/>
    </row>
    <row r="460" ht="14.25" customHeight="1">
      <c r="B460" s="484"/>
    </row>
    <row r="461" ht="14.25" customHeight="1">
      <c r="B461" s="484"/>
    </row>
    <row r="462" ht="14.25" customHeight="1">
      <c r="B462" s="484"/>
    </row>
    <row r="463" ht="14.25" customHeight="1">
      <c r="B463" s="484"/>
    </row>
    <row r="464" ht="14.25" customHeight="1">
      <c r="B464" s="484"/>
    </row>
    <row r="465" ht="14.25" customHeight="1">
      <c r="B465" s="484"/>
    </row>
    <row r="466" ht="14.25" customHeight="1">
      <c r="B466" s="484"/>
    </row>
    <row r="467" ht="14.25" customHeight="1">
      <c r="B467" s="484"/>
    </row>
    <row r="468" ht="14.25" customHeight="1">
      <c r="B468" s="484"/>
    </row>
    <row r="469" ht="14.25" customHeight="1">
      <c r="B469" s="484"/>
    </row>
    <row r="470" ht="14.25" customHeight="1">
      <c r="B470" s="484"/>
    </row>
    <row r="471" ht="14.25" customHeight="1">
      <c r="B471" s="484"/>
    </row>
    <row r="472" ht="14.25" customHeight="1">
      <c r="B472" s="484"/>
    </row>
    <row r="473" ht="14.25" customHeight="1">
      <c r="B473" s="484"/>
    </row>
    <row r="474" ht="14.25" customHeight="1">
      <c r="B474" s="484"/>
    </row>
    <row r="475" ht="14.25" customHeight="1">
      <c r="B475" s="484"/>
    </row>
    <row r="476" ht="14.25" customHeight="1">
      <c r="B476" s="484"/>
    </row>
    <row r="477" ht="14.25" customHeight="1">
      <c r="B477" s="484"/>
    </row>
    <row r="478" ht="14.25" customHeight="1">
      <c r="B478" s="484"/>
    </row>
    <row r="479" ht="14.25" customHeight="1">
      <c r="B479" s="484"/>
    </row>
    <row r="480" ht="14.25" customHeight="1">
      <c r="B480" s="484"/>
    </row>
    <row r="481" ht="14.25" customHeight="1">
      <c r="B481" s="484"/>
    </row>
    <row r="482" ht="14.25" customHeight="1">
      <c r="B482" s="484"/>
    </row>
    <row r="483" ht="14.25" customHeight="1">
      <c r="B483" s="484"/>
    </row>
    <row r="484" ht="14.25" customHeight="1">
      <c r="B484" s="484"/>
    </row>
    <row r="485" ht="14.25" customHeight="1">
      <c r="B485" s="484"/>
    </row>
    <row r="486" ht="14.25" customHeight="1">
      <c r="B486" s="484"/>
    </row>
    <row r="487" ht="14.25" customHeight="1">
      <c r="B487" s="484"/>
    </row>
    <row r="488" ht="14.25" customHeight="1">
      <c r="B488" s="484"/>
    </row>
    <row r="489" ht="14.25" customHeight="1">
      <c r="B489" s="484"/>
    </row>
    <row r="490" ht="14.25" customHeight="1">
      <c r="B490" s="484"/>
    </row>
    <row r="491" ht="14.25" customHeight="1">
      <c r="B491" s="484"/>
    </row>
    <row r="492" ht="14.25" customHeight="1">
      <c r="B492" s="484"/>
    </row>
    <row r="493" ht="14.25" customHeight="1">
      <c r="B493" s="484"/>
    </row>
    <row r="494" ht="14.25" customHeight="1">
      <c r="B494" s="484"/>
    </row>
    <row r="495" ht="14.25" customHeight="1">
      <c r="B495" s="484"/>
    </row>
    <row r="496" ht="14.25" customHeight="1">
      <c r="B496" s="484"/>
    </row>
    <row r="497" ht="14.25" customHeight="1">
      <c r="B497" s="484"/>
    </row>
    <row r="498" ht="14.25" customHeight="1">
      <c r="B498" s="484"/>
    </row>
    <row r="499" ht="14.25" customHeight="1">
      <c r="B499" s="484"/>
    </row>
    <row r="500" ht="14.25" customHeight="1">
      <c r="B500" s="484"/>
    </row>
    <row r="501" ht="14.25" customHeight="1">
      <c r="B501" s="484"/>
    </row>
    <row r="502" ht="14.25" customHeight="1">
      <c r="B502" s="484"/>
    </row>
    <row r="503" ht="14.25" customHeight="1">
      <c r="B503" s="484"/>
    </row>
    <row r="504" ht="14.25" customHeight="1">
      <c r="B504" s="484"/>
    </row>
    <row r="505" ht="14.25" customHeight="1">
      <c r="B505" s="484"/>
    </row>
    <row r="506" ht="14.25" customHeight="1">
      <c r="B506" s="484"/>
    </row>
    <row r="507" ht="14.25" customHeight="1">
      <c r="B507" s="484"/>
    </row>
    <row r="508" ht="14.25" customHeight="1">
      <c r="B508" s="484"/>
    </row>
    <row r="509" ht="14.25" customHeight="1">
      <c r="B509" s="484"/>
    </row>
    <row r="510" ht="14.25" customHeight="1">
      <c r="B510" s="484"/>
    </row>
    <row r="511" ht="14.25" customHeight="1">
      <c r="B511" s="484"/>
    </row>
    <row r="512" ht="14.25" customHeight="1">
      <c r="B512" s="484"/>
    </row>
    <row r="513" ht="14.25" customHeight="1">
      <c r="B513" s="484"/>
    </row>
    <row r="514" ht="14.25" customHeight="1">
      <c r="B514" s="484"/>
    </row>
    <row r="515" ht="14.25" customHeight="1">
      <c r="B515" s="484"/>
    </row>
    <row r="516" ht="14.25" customHeight="1">
      <c r="B516" s="484"/>
    </row>
    <row r="517" ht="14.25" customHeight="1">
      <c r="B517" s="484"/>
    </row>
    <row r="518" ht="14.25" customHeight="1">
      <c r="B518" s="484"/>
    </row>
    <row r="519" ht="14.25" customHeight="1">
      <c r="B519" s="484"/>
    </row>
    <row r="520" ht="14.25" customHeight="1">
      <c r="B520" s="484"/>
    </row>
    <row r="521" ht="14.25" customHeight="1">
      <c r="B521" s="484"/>
    </row>
    <row r="522" ht="14.25" customHeight="1">
      <c r="B522" s="484"/>
    </row>
    <row r="523" ht="14.25" customHeight="1">
      <c r="B523" s="484"/>
    </row>
    <row r="524" ht="14.25" customHeight="1">
      <c r="B524" s="484"/>
    </row>
    <row r="525" ht="14.25" customHeight="1">
      <c r="B525" s="484"/>
    </row>
    <row r="526" ht="14.25" customHeight="1">
      <c r="B526" s="484"/>
    </row>
    <row r="527" ht="14.25" customHeight="1">
      <c r="B527" s="484"/>
    </row>
    <row r="528" ht="14.25" customHeight="1">
      <c r="B528" s="484"/>
    </row>
    <row r="529" ht="14.25" customHeight="1">
      <c r="B529" s="484"/>
    </row>
    <row r="530" ht="14.25" customHeight="1">
      <c r="B530" s="484"/>
    </row>
    <row r="531" ht="14.25" customHeight="1">
      <c r="B531" s="484"/>
    </row>
    <row r="532" ht="14.25" customHeight="1">
      <c r="B532" s="484"/>
    </row>
    <row r="533" ht="14.25" customHeight="1">
      <c r="B533" s="484"/>
    </row>
    <row r="534" ht="14.25" customHeight="1">
      <c r="B534" s="484"/>
    </row>
    <row r="535" ht="14.25" customHeight="1">
      <c r="B535" s="484"/>
    </row>
    <row r="536" ht="14.25" customHeight="1">
      <c r="B536" s="484"/>
    </row>
    <row r="537" ht="14.25" customHeight="1">
      <c r="B537" s="484"/>
    </row>
    <row r="538" ht="14.25" customHeight="1">
      <c r="B538" s="484"/>
    </row>
    <row r="539" ht="14.25" customHeight="1">
      <c r="B539" s="484"/>
    </row>
    <row r="540" ht="14.25" customHeight="1">
      <c r="B540" s="484"/>
    </row>
    <row r="541" ht="14.25" customHeight="1">
      <c r="B541" s="484"/>
    </row>
    <row r="542" ht="14.25" customHeight="1">
      <c r="B542" s="484"/>
    </row>
    <row r="543" ht="14.25" customHeight="1">
      <c r="B543" s="484"/>
    </row>
    <row r="544" ht="14.25" customHeight="1">
      <c r="B544" s="484"/>
    </row>
    <row r="545" ht="14.25" customHeight="1">
      <c r="B545" s="484"/>
    </row>
    <row r="546" ht="14.25" customHeight="1">
      <c r="B546" s="484"/>
    </row>
    <row r="547" ht="14.25" customHeight="1">
      <c r="B547" s="484"/>
    </row>
    <row r="548" ht="14.25" customHeight="1">
      <c r="B548" s="484"/>
    </row>
    <row r="549" ht="14.25" customHeight="1">
      <c r="B549" s="484"/>
    </row>
    <row r="550" ht="14.25" customHeight="1">
      <c r="B550" s="484"/>
    </row>
    <row r="551" ht="14.25" customHeight="1">
      <c r="B551" s="484"/>
    </row>
    <row r="552" ht="14.25" customHeight="1">
      <c r="B552" s="484"/>
    </row>
    <row r="553" ht="14.25" customHeight="1">
      <c r="B553" s="484"/>
    </row>
    <row r="554" ht="14.25" customHeight="1">
      <c r="B554" s="484"/>
    </row>
    <row r="555" ht="14.25" customHeight="1">
      <c r="B555" s="484"/>
    </row>
    <row r="556" ht="14.25" customHeight="1">
      <c r="B556" s="484"/>
    </row>
    <row r="557" ht="14.25" customHeight="1">
      <c r="B557" s="484"/>
    </row>
    <row r="558" ht="14.25" customHeight="1">
      <c r="B558" s="484"/>
    </row>
    <row r="559" ht="14.25" customHeight="1">
      <c r="B559" s="484"/>
    </row>
    <row r="560" ht="14.25" customHeight="1">
      <c r="B560" s="484"/>
    </row>
    <row r="561" ht="14.25" customHeight="1">
      <c r="B561" s="484"/>
    </row>
    <row r="562" ht="14.25" customHeight="1">
      <c r="B562" s="484"/>
    </row>
    <row r="563" ht="14.25" customHeight="1">
      <c r="B563" s="484"/>
    </row>
    <row r="564" ht="14.25" customHeight="1">
      <c r="B564" s="484"/>
    </row>
    <row r="565" ht="14.25" customHeight="1">
      <c r="B565" s="484"/>
    </row>
    <row r="566" ht="14.25" customHeight="1">
      <c r="B566" s="484"/>
    </row>
    <row r="567" ht="14.25" customHeight="1">
      <c r="B567" s="484"/>
    </row>
    <row r="568" ht="14.25" customHeight="1">
      <c r="B568" s="484"/>
    </row>
    <row r="569" ht="14.25" customHeight="1">
      <c r="B569" s="484"/>
    </row>
    <row r="570" ht="14.25" customHeight="1">
      <c r="B570" s="484"/>
    </row>
    <row r="571" ht="14.25" customHeight="1">
      <c r="B571" s="484"/>
    </row>
    <row r="572" ht="14.25" customHeight="1">
      <c r="B572" s="484"/>
    </row>
    <row r="573" ht="14.25" customHeight="1">
      <c r="B573" s="484"/>
    </row>
    <row r="574" ht="14.25" customHeight="1">
      <c r="B574" s="484"/>
    </row>
    <row r="575" ht="14.25" customHeight="1">
      <c r="B575" s="484"/>
    </row>
    <row r="576" ht="14.25" customHeight="1">
      <c r="B576" s="484"/>
    </row>
    <row r="577" ht="14.25" customHeight="1">
      <c r="B577" s="484"/>
    </row>
    <row r="578" ht="14.25" customHeight="1">
      <c r="B578" s="484"/>
    </row>
    <row r="579" ht="14.25" customHeight="1">
      <c r="B579" s="484"/>
    </row>
    <row r="580" ht="14.25" customHeight="1">
      <c r="B580" s="484"/>
    </row>
    <row r="581" ht="14.25" customHeight="1">
      <c r="B581" s="484"/>
    </row>
    <row r="582" ht="14.25" customHeight="1">
      <c r="B582" s="484"/>
    </row>
    <row r="583" ht="14.25" customHeight="1">
      <c r="B583" s="484"/>
    </row>
    <row r="584" ht="14.25" customHeight="1">
      <c r="B584" s="484"/>
    </row>
    <row r="585" ht="14.25" customHeight="1">
      <c r="B585" s="484"/>
    </row>
    <row r="586" ht="14.25" customHeight="1">
      <c r="B586" s="484"/>
    </row>
    <row r="587" ht="14.25" customHeight="1">
      <c r="B587" s="484"/>
    </row>
    <row r="588" ht="14.25" customHeight="1">
      <c r="B588" s="484"/>
    </row>
    <row r="589" ht="14.25" customHeight="1">
      <c r="B589" s="484"/>
    </row>
    <row r="590" ht="14.25" customHeight="1">
      <c r="B590" s="484"/>
    </row>
    <row r="591" ht="14.25" customHeight="1">
      <c r="B591" s="484"/>
    </row>
    <row r="592" ht="14.25" customHeight="1">
      <c r="B592" s="484"/>
    </row>
    <row r="593" ht="14.25" customHeight="1">
      <c r="B593" s="484"/>
    </row>
    <row r="594" ht="14.25" customHeight="1">
      <c r="B594" s="484"/>
    </row>
    <row r="595" ht="14.25" customHeight="1">
      <c r="B595" s="484"/>
    </row>
    <row r="596" ht="14.25" customHeight="1">
      <c r="B596" s="484"/>
    </row>
    <row r="597" ht="14.25" customHeight="1">
      <c r="B597" s="484"/>
    </row>
    <row r="598" ht="14.25" customHeight="1">
      <c r="B598" s="484"/>
    </row>
    <row r="599" ht="14.25" customHeight="1">
      <c r="B599" s="484"/>
    </row>
    <row r="600" ht="14.25" customHeight="1">
      <c r="B600" s="484"/>
    </row>
    <row r="601" ht="14.25" customHeight="1">
      <c r="B601" s="484"/>
    </row>
    <row r="602" ht="14.25" customHeight="1">
      <c r="B602" s="484"/>
    </row>
    <row r="603" ht="14.25" customHeight="1">
      <c r="B603" s="484"/>
    </row>
    <row r="604" ht="14.25" customHeight="1">
      <c r="B604" s="484"/>
    </row>
    <row r="605" ht="14.25" customHeight="1">
      <c r="B605" s="484"/>
    </row>
    <row r="606" ht="14.25" customHeight="1">
      <c r="B606" s="484"/>
    </row>
    <row r="607" ht="14.25" customHeight="1">
      <c r="B607" s="484"/>
    </row>
    <row r="608" ht="14.25" customHeight="1">
      <c r="B608" s="484"/>
    </row>
    <row r="609" ht="14.25" customHeight="1">
      <c r="B609" s="484"/>
    </row>
    <row r="610" ht="14.25" customHeight="1">
      <c r="B610" s="484"/>
    </row>
    <row r="611" ht="14.25" customHeight="1">
      <c r="B611" s="484"/>
    </row>
    <row r="612" ht="14.25" customHeight="1">
      <c r="B612" s="484"/>
    </row>
    <row r="613" ht="14.25" customHeight="1">
      <c r="B613" s="484"/>
    </row>
    <row r="614" ht="14.25" customHeight="1">
      <c r="B614" s="484"/>
    </row>
    <row r="615" ht="14.25" customHeight="1">
      <c r="B615" s="484"/>
    </row>
    <row r="616" ht="14.25" customHeight="1">
      <c r="B616" s="484"/>
    </row>
    <row r="617" ht="14.25" customHeight="1">
      <c r="B617" s="484"/>
    </row>
    <row r="618" ht="14.25" customHeight="1">
      <c r="B618" s="484"/>
    </row>
    <row r="619" ht="14.25" customHeight="1">
      <c r="B619" s="484"/>
    </row>
    <row r="620" ht="14.25" customHeight="1">
      <c r="B620" s="484"/>
    </row>
    <row r="621" ht="14.25" customHeight="1">
      <c r="B621" s="484"/>
    </row>
    <row r="622" ht="14.25" customHeight="1">
      <c r="B622" s="484"/>
    </row>
    <row r="623" ht="14.25" customHeight="1">
      <c r="B623" s="484"/>
    </row>
    <row r="624" ht="14.25" customHeight="1">
      <c r="B624" s="484"/>
    </row>
    <row r="625" ht="14.25" customHeight="1">
      <c r="B625" s="484"/>
    </row>
    <row r="626" ht="14.25" customHeight="1">
      <c r="B626" s="484"/>
    </row>
    <row r="627" ht="14.25" customHeight="1">
      <c r="B627" s="484"/>
    </row>
    <row r="628" ht="14.25" customHeight="1">
      <c r="B628" s="484"/>
    </row>
    <row r="629" ht="14.25" customHeight="1">
      <c r="B629" s="484"/>
    </row>
    <row r="630" ht="14.25" customHeight="1">
      <c r="B630" s="484"/>
    </row>
    <row r="631" ht="14.25" customHeight="1">
      <c r="B631" s="484"/>
    </row>
    <row r="632" ht="14.25" customHeight="1">
      <c r="B632" s="484"/>
    </row>
    <row r="633" ht="14.25" customHeight="1">
      <c r="B633" s="484"/>
    </row>
    <row r="634" ht="14.25" customHeight="1">
      <c r="B634" s="484"/>
    </row>
    <row r="635" ht="14.25" customHeight="1">
      <c r="B635" s="484"/>
    </row>
    <row r="636" ht="14.25" customHeight="1">
      <c r="B636" s="484"/>
    </row>
    <row r="637" ht="14.25" customHeight="1">
      <c r="B637" s="484"/>
    </row>
    <row r="638" ht="14.25" customHeight="1">
      <c r="B638" s="484"/>
    </row>
    <row r="639" ht="14.25" customHeight="1">
      <c r="B639" s="484"/>
    </row>
    <row r="640" ht="14.25" customHeight="1">
      <c r="B640" s="484"/>
    </row>
    <row r="641" ht="14.25" customHeight="1">
      <c r="B641" s="484"/>
    </row>
    <row r="642" ht="14.25" customHeight="1">
      <c r="B642" s="484"/>
    </row>
    <row r="643" ht="14.25" customHeight="1">
      <c r="B643" s="484"/>
    </row>
    <row r="644" ht="14.25" customHeight="1">
      <c r="B644" s="484"/>
    </row>
    <row r="645" ht="14.25" customHeight="1">
      <c r="B645" s="484"/>
    </row>
    <row r="646" ht="14.25" customHeight="1">
      <c r="B646" s="484"/>
    </row>
    <row r="647" ht="14.25" customHeight="1">
      <c r="B647" s="484"/>
    </row>
    <row r="648" ht="14.25" customHeight="1">
      <c r="B648" s="484"/>
    </row>
    <row r="649" ht="14.25" customHeight="1">
      <c r="B649" s="484"/>
    </row>
    <row r="650" ht="14.25" customHeight="1">
      <c r="B650" s="484"/>
    </row>
    <row r="651" ht="14.25" customHeight="1">
      <c r="B651" s="484"/>
    </row>
    <row r="652" ht="14.25" customHeight="1">
      <c r="B652" s="484"/>
    </row>
    <row r="653" ht="14.25" customHeight="1">
      <c r="B653" s="484"/>
    </row>
    <row r="654" ht="14.25" customHeight="1">
      <c r="B654" s="484"/>
    </row>
    <row r="655" ht="14.25" customHeight="1">
      <c r="B655" s="484"/>
    </row>
    <row r="656" ht="14.25" customHeight="1">
      <c r="B656" s="484"/>
    </row>
    <row r="657" ht="14.25" customHeight="1">
      <c r="B657" s="484"/>
    </row>
    <row r="658" ht="14.25" customHeight="1">
      <c r="B658" s="484"/>
    </row>
    <row r="659" ht="14.25" customHeight="1">
      <c r="B659" s="484"/>
    </row>
    <row r="660" ht="14.25" customHeight="1">
      <c r="B660" s="484"/>
    </row>
    <row r="661" ht="14.25" customHeight="1">
      <c r="B661" s="484"/>
    </row>
    <row r="662" ht="14.25" customHeight="1">
      <c r="B662" s="484"/>
    </row>
    <row r="663" ht="14.25" customHeight="1">
      <c r="B663" s="484"/>
    </row>
    <row r="664" ht="14.25" customHeight="1">
      <c r="B664" s="484"/>
    </row>
    <row r="665" ht="14.25" customHeight="1">
      <c r="B665" s="484"/>
    </row>
    <row r="666" ht="14.25" customHeight="1">
      <c r="B666" s="484"/>
    </row>
    <row r="667" ht="14.25" customHeight="1">
      <c r="B667" s="484"/>
    </row>
    <row r="668" ht="14.25" customHeight="1">
      <c r="B668" s="484"/>
    </row>
    <row r="669" ht="14.25" customHeight="1">
      <c r="B669" s="484"/>
    </row>
    <row r="670" ht="14.25" customHeight="1">
      <c r="B670" s="484"/>
    </row>
    <row r="671" ht="14.25" customHeight="1">
      <c r="B671" s="484"/>
    </row>
    <row r="672" ht="14.25" customHeight="1">
      <c r="B672" s="484"/>
    </row>
    <row r="673" ht="14.25" customHeight="1">
      <c r="B673" s="484"/>
    </row>
    <row r="674" ht="14.25" customHeight="1">
      <c r="B674" s="484"/>
    </row>
    <row r="675" ht="14.25" customHeight="1">
      <c r="B675" s="484"/>
    </row>
    <row r="676" ht="14.25" customHeight="1">
      <c r="B676" s="484"/>
    </row>
    <row r="677" ht="14.25" customHeight="1">
      <c r="B677" s="484"/>
    </row>
    <row r="678" ht="14.25" customHeight="1">
      <c r="B678" s="484"/>
    </row>
    <row r="679" ht="14.25" customHeight="1">
      <c r="B679" s="484"/>
    </row>
    <row r="680" ht="14.25" customHeight="1">
      <c r="B680" s="484"/>
    </row>
    <row r="681" ht="14.25" customHeight="1">
      <c r="B681" s="484"/>
    </row>
    <row r="682" ht="14.25" customHeight="1">
      <c r="B682" s="484"/>
    </row>
    <row r="683" ht="14.25" customHeight="1">
      <c r="B683" s="484"/>
    </row>
    <row r="684" ht="14.25" customHeight="1">
      <c r="B684" s="484"/>
    </row>
    <row r="685" ht="14.25" customHeight="1">
      <c r="B685" s="484"/>
    </row>
    <row r="686" ht="14.25" customHeight="1">
      <c r="B686" s="484"/>
    </row>
    <row r="687" ht="14.25" customHeight="1">
      <c r="B687" s="484"/>
    </row>
    <row r="688" ht="14.25" customHeight="1">
      <c r="B688" s="484"/>
    </row>
    <row r="689" ht="14.25" customHeight="1">
      <c r="B689" s="484"/>
    </row>
    <row r="690" ht="14.25" customHeight="1">
      <c r="B690" s="484"/>
    </row>
    <row r="691" ht="14.25" customHeight="1">
      <c r="B691" s="484"/>
    </row>
    <row r="692" ht="14.25" customHeight="1">
      <c r="B692" s="484"/>
    </row>
    <row r="693" ht="14.25" customHeight="1">
      <c r="B693" s="484"/>
    </row>
    <row r="694" ht="14.25" customHeight="1">
      <c r="B694" s="484"/>
    </row>
    <row r="695" ht="14.25" customHeight="1">
      <c r="B695" s="484"/>
    </row>
    <row r="696" ht="14.25" customHeight="1">
      <c r="B696" s="484"/>
    </row>
    <row r="697" ht="14.25" customHeight="1">
      <c r="B697" s="484"/>
    </row>
    <row r="698" ht="14.25" customHeight="1">
      <c r="B698" s="484"/>
    </row>
    <row r="699" ht="14.25" customHeight="1">
      <c r="B699" s="484"/>
    </row>
    <row r="700" ht="14.25" customHeight="1">
      <c r="B700" s="484"/>
    </row>
    <row r="701" ht="14.25" customHeight="1">
      <c r="B701" s="484"/>
    </row>
    <row r="702" ht="14.25" customHeight="1">
      <c r="B702" s="484"/>
    </row>
    <row r="703" ht="14.25" customHeight="1">
      <c r="B703" s="484"/>
    </row>
    <row r="704" ht="14.25" customHeight="1">
      <c r="B704" s="484"/>
    </row>
    <row r="705" ht="14.25" customHeight="1">
      <c r="B705" s="484"/>
    </row>
    <row r="706" ht="14.25" customHeight="1">
      <c r="B706" s="484"/>
    </row>
    <row r="707" ht="14.25" customHeight="1">
      <c r="B707" s="484"/>
    </row>
    <row r="708" ht="14.25" customHeight="1">
      <c r="B708" s="484"/>
    </row>
    <row r="709" ht="14.25" customHeight="1">
      <c r="B709" s="484"/>
    </row>
    <row r="710" ht="14.25" customHeight="1">
      <c r="B710" s="484"/>
    </row>
    <row r="711" ht="14.25" customHeight="1">
      <c r="B711" s="484"/>
    </row>
    <row r="712" ht="14.25" customHeight="1">
      <c r="B712" s="484"/>
    </row>
    <row r="713" ht="14.25" customHeight="1">
      <c r="B713" s="484"/>
    </row>
    <row r="714" ht="14.25" customHeight="1">
      <c r="B714" s="484"/>
    </row>
    <row r="715" ht="14.25" customHeight="1">
      <c r="B715" s="484"/>
    </row>
    <row r="716" ht="14.25" customHeight="1">
      <c r="B716" s="484"/>
    </row>
    <row r="717" ht="14.25" customHeight="1">
      <c r="B717" s="484"/>
    </row>
    <row r="718" ht="14.25" customHeight="1">
      <c r="B718" s="484"/>
    </row>
    <row r="719" ht="14.25" customHeight="1">
      <c r="B719" s="484"/>
    </row>
    <row r="720" ht="14.25" customHeight="1">
      <c r="B720" s="484"/>
    </row>
    <row r="721" ht="14.25" customHeight="1">
      <c r="B721" s="484"/>
    </row>
    <row r="722" ht="14.25" customHeight="1">
      <c r="B722" s="484"/>
    </row>
    <row r="723" ht="14.25" customHeight="1">
      <c r="B723" s="484"/>
    </row>
    <row r="724" ht="14.25" customHeight="1">
      <c r="B724" s="484"/>
    </row>
    <row r="725" ht="14.25" customHeight="1">
      <c r="B725" s="484"/>
    </row>
    <row r="726" ht="14.25" customHeight="1">
      <c r="B726" s="484"/>
    </row>
    <row r="727" ht="14.25" customHeight="1">
      <c r="B727" s="484"/>
    </row>
    <row r="728" ht="14.25" customHeight="1">
      <c r="B728" s="484"/>
    </row>
    <row r="729" ht="14.25" customHeight="1">
      <c r="B729" s="484"/>
    </row>
    <row r="730" ht="14.25" customHeight="1">
      <c r="B730" s="484"/>
    </row>
    <row r="731" ht="14.25" customHeight="1">
      <c r="B731" s="484"/>
    </row>
    <row r="732" ht="14.25" customHeight="1">
      <c r="B732" s="484"/>
    </row>
    <row r="733" ht="14.25" customHeight="1">
      <c r="B733" s="484"/>
    </row>
    <row r="734" ht="14.25" customHeight="1">
      <c r="B734" s="484"/>
    </row>
    <row r="735" ht="14.25" customHeight="1">
      <c r="B735" s="484"/>
    </row>
    <row r="736" ht="14.25" customHeight="1">
      <c r="B736" s="484"/>
    </row>
    <row r="737" ht="14.25" customHeight="1">
      <c r="B737" s="484"/>
    </row>
    <row r="738" ht="14.25" customHeight="1">
      <c r="B738" s="484"/>
    </row>
    <row r="739" ht="14.25" customHeight="1">
      <c r="B739" s="484"/>
    </row>
    <row r="740" ht="14.25" customHeight="1">
      <c r="B740" s="484"/>
    </row>
    <row r="741" ht="14.25" customHeight="1">
      <c r="B741" s="484"/>
    </row>
    <row r="742" ht="14.25" customHeight="1">
      <c r="B742" s="484"/>
    </row>
    <row r="743" ht="14.25" customHeight="1">
      <c r="B743" s="484"/>
    </row>
    <row r="744" ht="14.25" customHeight="1">
      <c r="B744" s="484"/>
    </row>
    <row r="745" ht="14.25" customHeight="1">
      <c r="B745" s="484"/>
    </row>
    <row r="746" ht="14.25" customHeight="1">
      <c r="B746" s="484"/>
    </row>
    <row r="747" ht="14.25" customHeight="1">
      <c r="B747" s="484"/>
    </row>
    <row r="748" ht="14.25" customHeight="1">
      <c r="B748" s="484"/>
    </row>
    <row r="749" ht="14.25" customHeight="1">
      <c r="B749" s="484"/>
    </row>
    <row r="750" ht="14.25" customHeight="1">
      <c r="B750" s="484"/>
    </row>
    <row r="751" ht="14.25" customHeight="1">
      <c r="B751" s="484"/>
    </row>
    <row r="752" ht="14.25" customHeight="1">
      <c r="B752" s="484"/>
    </row>
    <row r="753" ht="14.25" customHeight="1">
      <c r="B753" s="484"/>
    </row>
    <row r="754" ht="14.25" customHeight="1">
      <c r="B754" s="484"/>
    </row>
    <row r="755" ht="14.25" customHeight="1">
      <c r="B755" s="484"/>
    </row>
    <row r="756" ht="14.25" customHeight="1">
      <c r="B756" s="484"/>
    </row>
    <row r="757" ht="14.25" customHeight="1">
      <c r="B757" s="484"/>
    </row>
    <row r="758" ht="14.25" customHeight="1">
      <c r="B758" s="484"/>
    </row>
    <row r="759" ht="14.25" customHeight="1">
      <c r="B759" s="484"/>
    </row>
    <row r="760" ht="14.25" customHeight="1">
      <c r="B760" s="484"/>
    </row>
    <row r="761" ht="14.25" customHeight="1">
      <c r="B761" s="484"/>
    </row>
    <row r="762" ht="14.25" customHeight="1">
      <c r="B762" s="484"/>
    </row>
    <row r="763" ht="14.25" customHeight="1">
      <c r="B763" s="484"/>
    </row>
    <row r="764" ht="14.25" customHeight="1">
      <c r="B764" s="484"/>
    </row>
    <row r="765" ht="14.25" customHeight="1">
      <c r="B765" s="484"/>
    </row>
    <row r="766" ht="14.25" customHeight="1">
      <c r="B766" s="484"/>
    </row>
    <row r="767" ht="14.25" customHeight="1">
      <c r="B767" s="484"/>
    </row>
    <row r="768" ht="14.25" customHeight="1">
      <c r="B768" s="484"/>
    </row>
    <row r="769" ht="14.25" customHeight="1">
      <c r="B769" s="484"/>
    </row>
    <row r="770" ht="14.25" customHeight="1">
      <c r="B770" s="484"/>
    </row>
    <row r="771" ht="14.25" customHeight="1">
      <c r="B771" s="484"/>
    </row>
    <row r="772" ht="14.25" customHeight="1">
      <c r="B772" s="484"/>
    </row>
    <row r="773" ht="14.25" customHeight="1">
      <c r="B773" s="484"/>
    </row>
    <row r="774" ht="14.25" customHeight="1">
      <c r="B774" s="484"/>
    </row>
    <row r="775" ht="14.25" customHeight="1">
      <c r="B775" s="484"/>
    </row>
    <row r="776" ht="14.25" customHeight="1">
      <c r="B776" s="484"/>
    </row>
    <row r="777" ht="14.25" customHeight="1">
      <c r="B777" s="484"/>
    </row>
    <row r="778" ht="14.25" customHeight="1">
      <c r="B778" s="484"/>
    </row>
    <row r="779" ht="14.25" customHeight="1">
      <c r="B779" s="484"/>
    </row>
    <row r="780" ht="14.25" customHeight="1">
      <c r="B780" s="484"/>
    </row>
    <row r="781" ht="14.25" customHeight="1">
      <c r="B781" s="484"/>
    </row>
    <row r="782" ht="14.25" customHeight="1">
      <c r="B782" s="484"/>
    </row>
    <row r="783" ht="14.25" customHeight="1">
      <c r="B783" s="484"/>
    </row>
    <row r="784" ht="14.25" customHeight="1">
      <c r="B784" s="484"/>
    </row>
    <row r="785" ht="14.25" customHeight="1">
      <c r="B785" s="484"/>
    </row>
    <row r="786" ht="14.25" customHeight="1">
      <c r="B786" s="484"/>
    </row>
    <row r="787" ht="14.25" customHeight="1">
      <c r="B787" s="484"/>
    </row>
    <row r="788" ht="14.25" customHeight="1">
      <c r="B788" s="484"/>
    </row>
    <row r="789" ht="14.25" customHeight="1">
      <c r="B789" s="484"/>
    </row>
    <row r="790" ht="14.25" customHeight="1">
      <c r="B790" s="484"/>
    </row>
    <row r="791" ht="14.25" customHeight="1">
      <c r="B791" s="484"/>
    </row>
    <row r="792" ht="14.25" customHeight="1">
      <c r="B792" s="484"/>
    </row>
    <row r="793" ht="14.25" customHeight="1">
      <c r="B793" s="484"/>
    </row>
    <row r="794" ht="14.25" customHeight="1">
      <c r="B794" s="484"/>
    </row>
    <row r="795" ht="14.25" customHeight="1">
      <c r="B795" s="484"/>
    </row>
    <row r="796" ht="14.25" customHeight="1">
      <c r="B796" s="484"/>
    </row>
    <row r="797" ht="14.25" customHeight="1">
      <c r="B797" s="484"/>
    </row>
    <row r="798" ht="14.25" customHeight="1">
      <c r="B798" s="484"/>
    </row>
    <row r="799" ht="14.25" customHeight="1">
      <c r="B799" s="484"/>
    </row>
    <row r="800" ht="14.25" customHeight="1">
      <c r="B800" s="484"/>
    </row>
    <row r="801" ht="14.25" customHeight="1">
      <c r="B801" s="484"/>
    </row>
    <row r="802" ht="14.25" customHeight="1">
      <c r="B802" s="484"/>
    </row>
    <row r="803" ht="14.25" customHeight="1">
      <c r="B803" s="484"/>
    </row>
    <row r="804" ht="14.25" customHeight="1">
      <c r="B804" s="484"/>
    </row>
    <row r="805" ht="14.25" customHeight="1">
      <c r="B805" s="484"/>
    </row>
    <row r="806" ht="14.25" customHeight="1">
      <c r="B806" s="484"/>
    </row>
    <row r="807" ht="14.25" customHeight="1">
      <c r="B807" s="484"/>
    </row>
    <row r="808" ht="14.25" customHeight="1">
      <c r="B808" s="484"/>
    </row>
    <row r="809" ht="14.25" customHeight="1">
      <c r="B809" s="484"/>
    </row>
    <row r="810" ht="14.25" customHeight="1">
      <c r="B810" s="484"/>
    </row>
    <row r="811" ht="14.25" customHeight="1">
      <c r="B811" s="484"/>
    </row>
    <row r="812" ht="14.25" customHeight="1">
      <c r="B812" s="484"/>
    </row>
    <row r="813" ht="14.25" customHeight="1">
      <c r="B813" s="484"/>
    </row>
    <row r="814" ht="14.25" customHeight="1">
      <c r="B814" s="484"/>
    </row>
    <row r="815" ht="14.25" customHeight="1">
      <c r="B815" s="484"/>
    </row>
    <row r="816" ht="14.25" customHeight="1">
      <c r="B816" s="484"/>
    </row>
    <row r="817" ht="14.25" customHeight="1">
      <c r="B817" s="484"/>
    </row>
    <row r="818" ht="14.25" customHeight="1">
      <c r="B818" s="484"/>
    </row>
    <row r="819" ht="14.25" customHeight="1">
      <c r="B819" s="484"/>
    </row>
    <row r="820" ht="14.25" customHeight="1">
      <c r="B820" s="484"/>
    </row>
    <row r="821" ht="14.25" customHeight="1">
      <c r="B821" s="484"/>
    </row>
    <row r="822" ht="14.25" customHeight="1">
      <c r="B822" s="484"/>
    </row>
    <row r="823" ht="14.25" customHeight="1">
      <c r="B823" s="484"/>
    </row>
    <row r="824" ht="14.25" customHeight="1">
      <c r="B824" s="484"/>
    </row>
    <row r="825" ht="14.25" customHeight="1">
      <c r="B825" s="484"/>
    </row>
    <row r="826" ht="14.25" customHeight="1">
      <c r="B826" s="484"/>
    </row>
    <row r="827" ht="14.25" customHeight="1">
      <c r="B827" s="484"/>
    </row>
    <row r="828" ht="14.25" customHeight="1">
      <c r="B828" s="484"/>
    </row>
    <row r="829" ht="14.25" customHeight="1">
      <c r="B829" s="484"/>
    </row>
    <row r="830" ht="14.25" customHeight="1">
      <c r="B830" s="484"/>
    </row>
    <row r="831" ht="14.25" customHeight="1">
      <c r="B831" s="484"/>
    </row>
    <row r="832" ht="14.25" customHeight="1">
      <c r="B832" s="484"/>
    </row>
    <row r="833" ht="14.25" customHeight="1">
      <c r="B833" s="484"/>
    </row>
    <row r="834" ht="14.25" customHeight="1">
      <c r="B834" s="484"/>
    </row>
    <row r="835" ht="14.25" customHeight="1">
      <c r="B835" s="484"/>
    </row>
    <row r="836" ht="14.25" customHeight="1">
      <c r="B836" s="484"/>
    </row>
    <row r="837" ht="14.25" customHeight="1">
      <c r="B837" s="484"/>
    </row>
    <row r="838" ht="14.25" customHeight="1">
      <c r="B838" s="484"/>
    </row>
    <row r="839" ht="14.25" customHeight="1">
      <c r="B839" s="484"/>
    </row>
    <row r="840" ht="14.25" customHeight="1">
      <c r="B840" s="484"/>
    </row>
    <row r="841" ht="14.25" customHeight="1">
      <c r="B841" s="484"/>
    </row>
    <row r="842" ht="14.25" customHeight="1">
      <c r="B842" s="484"/>
    </row>
    <row r="843" ht="14.25" customHeight="1">
      <c r="B843" s="484"/>
    </row>
    <row r="844" ht="14.25" customHeight="1">
      <c r="B844" s="484"/>
    </row>
    <row r="845" ht="14.25" customHeight="1">
      <c r="B845" s="484"/>
    </row>
    <row r="846" ht="14.25" customHeight="1">
      <c r="B846" s="484"/>
    </row>
    <row r="847" ht="14.25" customHeight="1">
      <c r="B847" s="484"/>
    </row>
    <row r="848" ht="14.25" customHeight="1">
      <c r="B848" s="484"/>
    </row>
    <row r="849" ht="14.25" customHeight="1">
      <c r="B849" s="484"/>
    </row>
    <row r="850" ht="14.25" customHeight="1">
      <c r="B850" s="484"/>
    </row>
    <row r="851" ht="14.25" customHeight="1">
      <c r="B851" s="484"/>
    </row>
    <row r="852" ht="14.25" customHeight="1">
      <c r="B852" s="484"/>
    </row>
    <row r="853" ht="14.25" customHeight="1">
      <c r="B853" s="484"/>
    </row>
    <row r="854" ht="14.25" customHeight="1">
      <c r="B854" s="484"/>
    </row>
    <row r="855" ht="14.25" customHeight="1">
      <c r="B855" s="484"/>
    </row>
    <row r="856" ht="14.25" customHeight="1">
      <c r="B856" s="484"/>
    </row>
    <row r="857" ht="14.25" customHeight="1">
      <c r="B857" s="484"/>
    </row>
    <row r="858" ht="14.25" customHeight="1">
      <c r="B858" s="484"/>
    </row>
    <row r="859" ht="14.25" customHeight="1">
      <c r="B859" s="484"/>
    </row>
    <row r="860" ht="14.25" customHeight="1">
      <c r="B860" s="484"/>
    </row>
    <row r="861" ht="14.25" customHeight="1">
      <c r="B861" s="484"/>
    </row>
    <row r="862" ht="14.25" customHeight="1">
      <c r="B862" s="484"/>
    </row>
    <row r="863" ht="14.25" customHeight="1">
      <c r="B863" s="484"/>
    </row>
    <row r="864" ht="14.25" customHeight="1">
      <c r="B864" s="484"/>
    </row>
    <row r="865" ht="14.25" customHeight="1">
      <c r="B865" s="484"/>
    </row>
    <row r="866" ht="14.25" customHeight="1">
      <c r="B866" s="484"/>
    </row>
    <row r="867" ht="14.25" customHeight="1">
      <c r="B867" s="484"/>
    </row>
    <row r="868" ht="14.25" customHeight="1">
      <c r="B868" s="484"/>
    </row>
    <row r="869" ht="14.25" customHeight="1">
      <c r="B869" s="484"/>
    </row>
    <row r="870" ht="14.25" customHeight="1">
      <c r="B870" s="484"/>
    </row>
    <row r="871" ht="14.25" customHeight="1">
      <c r="B871" s="484"/>
    </row>
    <row r="872" ht="14.25" customHeight="1">
      <c r="B872" s="484"/>
    </row>
    <row r="873" ht="14.25" customHeight="1">
      <c r="B873" s="484"/>
    </row>
    <row r="874" ht="14.25" customHeight="1">
      <c r="B874" s="484"/>
    </row>
    <row r="875" ht="14.25" customHeight="1">
      <c r="B875" s="484"/>
    </row>
    <row r="876" ht="14.25" customHeight="1">
      <c r="B876" s="484"/>
    </row>
    <row r="877" ht="14.25" customHeight="1">
      <c r="B877" s="484"/>
    </row>
    <row r="878" ht="14.25" customHeight="1">
      <c r="B878" s="484"/>
    </row>
    <row r="879" ht="14.25" customHeight="1">
      <c r="B879" s="484"/>
    </row>
    <row r="880" ht="14.25" customHeight="1">
      <c r="B880" s="484"/>
    </row>
    <row r="881" ht="14.25" customHeight="1">
      <c r="B881" s="484"/>
    </row>
    <row r="882" ht="14.25" customHeight="1">
      <c r="B882" s="484"/>
    </row>
    <row r="883" ht="14.25" customHeight="1">
      <c r="B883" s="484"/>
    </row>
    <row r="884" ht="14.25" customHeight="1">
      <c r="B884" s="484"/>
    </row>
    <row r="885" ht="14.25" customHeight="1">
      <c r="B885" s="484"/>
    </row>
    <row r="886" ht="14.25" customHeight="1">
      <c r="B886" s="484"/>
    </row>
    <row r="887" ht="14.25" customHeight="1">
      <c r="B887" s="484"/>
    </row>
    <row r="888" ht="14.25" customHeight="1">
      <c r="B888" s="484"/>
    </row>
    <row r="889" ht="14.25" customHeight="1">
      <c r="B889" s="484"/>
    </row>
    <row r="890" ht="14.25" customHeight="1">
      <c r="B890" s="484"/>
    </row>
    <row r="891" ht="14.25" customHeight="1">
      <c r="B891" s="484"/>
    </row>
    <row r="892" ht="14.25" customHeight="1">
      <c r="B892" s="484"/>
    </row>
    <row r="893" ht="14.25" customHeight="1">
      <c r="B893" s="484"/>
    </row>
    <row r="894" ht="14.25" customHeight="1">
      <c r="B894" s="484"/>
    </row>
    <row r="895" ht="14.25" customHeight="1">
      <c r="B895" s="484"/>
    </row>
    <row r="896" ht="14.25" customHeight="1">
      <c r="B896" s="484"/>
    </row>
    <row r="897" ht="14.25" customHeight="1">
      <c r="B897" s="484"/>
    </row>
    <row r="898" ht="14.25" customHeight="1">
      <c r="B898" s="484"/>
    </row>
    <row r="899" ht="14.25" customHeight="1">
      <c r="B899" s="484"/>
    </row>
    <row r="900" ht="14.25" customHeight="1">
      <c r="B900" s="484"/>
    </row>
    <row r="901" ht="14.25" customHeight="1">
      <c r="B901" s="484"/>
    </row>
    <row r="902" ht="14.25" customHeight="1">
      <c r="B902" s="484"/>
    </row>
    <row r="903" ht="14.25" customHeight="1">
      <c r="B903" s="484"/>
    </row>
    <row r="904" ht="14.25" customHeight="1">
      <c r="B904" s="484"/>
    </row>
    <row r="905" ht="14.25" customHeight="1">
      <c r="B905" s="484"/>
    </row>
    <row r="906" ht="14.25" customHeight="1">
      <c r="B906" s="484"/>
    </row>
    <row r="907" ht="14.25" customHeight="1">
      <c r="B907" s="484"/>
    </row>
    <row r="908" ht="14.25" customHeight="1">
      <c r="B908" s="484"/>
    </row>
    <row r="909" ht="14.25" customHeight="1">
      <c r="B909" s="484"/>
    </row>
    <row r="910" ht="14.25" customHeight="1">
      <c r="B910" s="484"/>
    </row>
    <row r="911" ht="14.25" customHeight="1">
      <c r="B911" s="484"/>
    </row>
    <row r="912" ht="14.25" customHeight="1">
      <c r="B912" s="484"/>
    </row>
    <row r="913" ht="14.25" customHeight="1">
      <c r="B913" s="484"/>
    </row>
    <row r="914" ht="14.25" customHeight="1">
      <c r="B914" s="484"/>
    </row>
    <row r="915" ht="14.25" customHeight="1">
      <c r="B915" s="484"/>
    </row>
    <row r="916" ht="14.25" customHeight="1">
      <c r="B916" s="484"/>
    </row>
    <row r="917" ht="14.25" customHeight="1">
      <c r="B917" s="484"/>
    </row>
    <row r="918" ht="14.25" customHeight="1">
      <c r="B918" s="484"/>
    </row>
    <row r="919" ht="14.25" customHeight="1">
      <c r="B919" s="484"/>
    </row>
    <row r="920" ht="14.25" customHeight="1">
      <c r="B920" s="484"/>
    </row>
    <row r="921" ht="14.25" customHeight="1">
      <c r="B921" s="484"/>
    </row>
    <row r="922" ht="14.25" customHeight="1">
      <c r="B922" s="484"/>
    </row>
    <row r="923" ht="14.25" customHeight="1">
      <c r="B923" s="484"/>
    </row>
    <row r="924" ht="14.25" customHeight="1">
      <c r="B924" s="484"/>
    </row>
    <row r="925" ht="14.25" customHeight="1">
      <c r="B925" s="484"/>
    </row>
    <row r="926" ht="14.25" customHeight="1">
      <c r="B926" s="484"/>
    </row>
    <row r="927" ht="14.25" customHeight="1">
      <c r="B927" s="484"/>
    </row>
    <row r="928" ht="14.25" customHeight="1">
      <c r="B928" s="484"/>
    </row>
    <row r="929" ht="14.25" customHeight="1">
      <c r="B929" s="484"/>
    </row>
    <row r="930" ht="14.25" customHeight="1">
      <c r="B930" s="484"/>
    </row>
    <row r="931" ht="14.25" customHeight="1">
      <c r="B931" s="484"/>
    </row>
    <row r="932" ht="14.25" customHeight="1">
      <c r="B932" s="484"/>
    </row>
    <row r="933" ht="14.25" customHeight="1">
      <c r="B933" s="484"/>
    </row>
    <row r="934" ht="14.25" customHeight="1">
      <c r="B934" s="484"/>
    </row>
    <row r="935" ht="14.25" customHeight="1">
      <c r="B935" s="484"/>
    </row>
    <row r="936" ht="14.25" customHeight="1">
      <c r="B936" s="484"/>
    </row>
    <row r="937" ht="14.25" customHeight="1">
      <c r="B937" s="484"/>
    </row>
    <row r="938" ht="14.25" customHeight="1">
      <c r="B938" s="484"/>
    </row>
    <row r="939" ht="14.25" customHeight="1">
      <c r="B939" s="484"/>
    </row>
    <row r="940" ht="14.25" customHeight="1">
      <c r="B940" s="484"/>
    </row>
    <row r="941" ht="14.25" customHeight="1">
      <c r="B941" s="484"/>
    </row>
    <row r="942" ht="14.25" customHeight="1">
      <c r="B942" s="484"/>
    </row>
    <row r="943" ht="14.25" customHeight="1">
      <c r="B943" s="484"/>
    </row>
    <row r="944" ht="14.25" customHeight="1">
      <c r="B944" s="484"/>
    </row>
    <row r="945" ht="14.25" customHeight="1">
      <c r="B945" s="484"/>
    </row>
    <row r="946" ht="14.25" customHeight="1">
      <c r="B946" s="484"/>
    </row>
    <row r="947" ht="14.25" customHeight="1">
      <c r="B947" s="484"/>
    </row>
    <row r="948" ht="14.25" customHeight="1">
      <c r="B948" s="484"/>
    </row>
    <row r="949" ht="14.25" customHeight="1">
      <c r="B949" s="484"/>
    </row>
    <row r="950" ht="14.25" customHeight="1">
      <c r="B950" s="484"/>
    </row>
    <row r="951" ht="14.25" customHeight="1">
      <c r="B951" s="484"/>
    </row>
    <row r="952" ht="14.25" customHeight="1">
      <c r="B952" s="484"/>
    </row>
    <row r="953" ht="14.25" customHeight="1">
      <c r="B953" s="484"/>
    </row>
    <row r="954" ht="14.25" customHeight="1">
      <c r="B954" s="484"/>
    </row>
    <row r="955" ht="14.25" customHeight="1">
      <c r="B955" s="484"/>
    </row>
    <row r="956" ht="14.25" customHeight="1">
      <c r="B956" s="484"/>
    </row>
    <row r="957" ht="14.25" customHeight="1">
      <c r="B957" s="484"/>
    </row>
    <row r="958" ht="14.25" customHeight="1">
      <c r="B958" s="484"/>
    </row>
    <row r="959" ht="14.25" customHeight="1">
      <c r="B959" s="484"/>
    </row>
    <row r="960" ht="14.25" customHeight="1">
      <c r="B960" s="484"/>
    </row>
    <row r="961" ht="14.25" customHeight="1">
      <c r="B961" s="484"/>
    </row>
    <row r="962" ht="14.25" customHeight="1">
      <c r="B962" s="484"/>
    </row>
    <row r="963" ht="14.25" customHeight="1">
      <c r="B963" s="484"/>
    </row>
    <row r="964" ht="14.25" customHeight="1">
      <c r="B964" s="484"/>
    </row>
    <row r="965" ht="14.25" customHeight="1">
      <c r="B965" s="484"/>
    </row>
    <row r="966" ht="14.25" customHeight="1">
      <c r="B966" s="484"/>
    </row>
    <row r="967" ht="14.25" customHeight="1">
      <c r="B967" s="484"/>
    </row>
    <row r="968" ht="14.25" customHeight="1">
      <c r="B968" s="484"/>
    </row>
    <row r="969" ht="14.25" customHeight="1">
      <c r="B969" s="484"/>
    </row>
    <row r="970" ht="14.25" customHeight="1">
      <c r="B970" s="484"/>
    </row>
    <row r="971" ht="14.25" customHeight="1">
      <c r="B971" s="484"/>
    </row>
    <row r="972" ht="14.25" customHeight="1">
      <c r="B972" s="484"/>
    </row>
    <row r="973" ht="14.25" customHeight="1">
      <c r="B973" s="484"/>
    </row>
    <row r="974" ht="14.25" customHeight="1">
      <c r="B974" s="484"/>
    </row>
    <row r="975" ht="14.25" customHeight="1">
      <c r="B975" s="484"/>
    </row>
    <row r="976" ht="14.25" customHeight="1">
      <c r="B976" s="484"/>
    </row>
    <row r="977" ht="14.25" customHeight="1">
      <c r="B977" s="484"/>
    </row>
    <row r="978" ht="14.25" customHeight="1">
      <c r="B978" s="484"/>
    </row>
    <row r="979" ht="14.25" customHeight="1">
      <c r="B979" s="484"/>
    </row>
    <row r="980" ht="14.25" customHeight="1">
      <c r="B980" s="484"/>
    </row>
    <row r="981" ht="14.25" customHeight="1">
      <c r="B981" s="484"/>
    </row>
    <row r="982" ht="14.25" customHeight="1">
      <c r="B982" s="484"/>
    </row>
    <row r="983" ht="14.25" customHeight="1">
      <c r="B983" s="484"/>
    </row>
    <row r="984" ht="14.25" customHeight="1">
      <c r="B984" s="484"/>
    </row>
    <row r="985" ht="14.25" customHeight="1">
      <c r="B985" s="484"/>
    </row>
    <row r="986" ht="14.25" customHeight="1">
      <c r="B986" s="484"/>
    </row>
    <row r="987" ht="14.25" customHeight="1">
      <c r="B987" s="484"/>
    </row>
    <row r="988" ht="14.25" customHeight="1">
      <c r="B988" s="484"/>
    </row>
    <row r="989" ht="14.25" customHeight="1">
      <c r="B989" s="484"/>
    </row>
    <row r="990" ht="14.25" customHeight="1">
      <c r="B990" s="484"/>
    </row>
    <row r="991" ht="14.25" customHeight="1">
      <c r="B991" s="484"/>
    </row>
    <row r="992" ht="14.25" customHeight="1">
      <c r="B992" s="484"/>
    </row>
    <row r="993" ht="14.25" customHeight="1">
      <c r="B993" s="484"/>
    </row>
    <row r="994" ht="14.25" customHeight="1">
      <c r="B994" s="484"/>
    </row>
    <row r="995" ht="14.25" customHeight="1">
      <c r="B995" s="484"/>
    </row>
    <row r="996" ht="14.25" customHeight="1">
      <c r="B996" s="484"/>
    </row>
    <row r="997" ht="14.25" customHeight="1">
      <c r="B997" s="484"/>
    </row>
    <row r="998" ht="14.25" customHeight="1">
      <c r="B998" s="484"/>
    </row>
    <row r="999" ht="14.25" customHeight="1">
      <c r="B999" s="484"/>
    </row>
    <row r="1000" ht="14.25" customHeight="1">
      <c r="B1000" s="484"/>
    </row>
  </sheetData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29"/>
    <col customWidth="1" min="3" max="3" width="21.29"/>
    <col customWidth="1" min="4" max="4" width="19.43"/>
    <col customWidth="1" min="5" max="6" width="8.71"/>
    <col customWidth="1" min="7" max="7" width="18.57"/>
    <col customWidth="1" min="8" max="9" width="11.43"/>
    <col customWidth="1" min="10" max="26" width="8.71"/>
  </cols>
  <sheetData>
    <row r="1" ht="14.25" customHeight="1"/>
    <row r="2" ht="14.25" customHeight="1">
      <c r="B2" s="931"/>
      <c r="C2" s="932" t="s">
        <v>524</v>
      </c>
      <c r="D2" s="931"/>
      <c r="G2" s="561" t="s">
        <v>525</v>
      </c>
    </row>
    <row r="3" ht="14.25" customHeight="1">
      <c r="B3" s="561" t="s">
        <v>423</v>
      </c>
      <c r="C3" s="921" t="s">
        <v>526</v>
      </c>
      <c r="D3" s="561" t="s">
        <v>527</v>
      </c>
    </row>
    <row r="4" ht="14.25" customHeight="1">
      <c r="B4" s="561" t="s">
        <v>453</v>
      </c>
      <c r="C4" s="921" t="s">
        <v>528</v>
      </c>
      <c r="D4" s="561" t="s">
        <v>529</v>
      </c>
      <c r="G4" s="921" t="s">
        <v>530</v>
      </c>
      <c r="H4" s="561" t="s">
        <v>525</v>
      </c>
      <c r="I4" s="561" t="s">
        <v>531</v>
      </c>
    </row>
    <row r="5" ht="14.25" customHeight="1">
      <c r="B5" s="561" t="s">
        <v>529</v>
      </c>
      <c r="C5" s="921" t="s">
        <v>532</v>
      </c>
      <c r="D5" s="561" t="s">
        <v>533</v>
      </c>
      <c r="G5" s="561" t="s">
        <v>534</v>
      </c>
    </row>
    <row r="6" ht="14.25" customHeight="1">
      <c r="G6" s="561" t="s">
        <v>535</v>
      </c>
    </row>
    <row r="7" ht="14.25" customHeight="1">
      <c r="G7" s="561" t="s">
        <v>536</v>
      </c>
    </row>
    <row r="8" ht="14.25" customHeight="1"/>
    <row r="9" ht="14.25" customHeight="1"/>
    <row r="10" ht="14.25" customHeight="1">
      <c r="B10" s="933"/>
      <c r="C10" s="934" t="s">
        <v>537</v>
      </c>
      <c r="D10" s="933"/>
    </row>
    <row r="11" ht="14.25" customHeight="1">
      <c r="C11" s="561" t="s">
        <v>538</v>
      </c>
      <c r="D11" s="935" t="s">
        <v>539</v>
      </c>
    </row>
    <row r="12" ht="14.25" customHeight="1">
      <c r="C12" s="561" t="s">
        <v>538</v>
      </c>
      <c r="D12" s="174" t="s">
        <v>540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2023-06-01T15:22:25Z</dcterms:created>
  <dc:creator>user</dc:creator>
</cp:coreProperties>
</file>